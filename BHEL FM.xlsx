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Data Sheet" sheetId="1" state="visible" r:id="rId1"/>
    <sheet name="Sheet1" sheetId="2" state="visible" r:id="rId2"/>
    <sheet name="Assumptions" sheetId="3" state="visible" r:id="rId3"/>
    <sheet name="Forecast Engine" sheetId="4" state="visible" r:id="rId4"/>
    <sheet name="PL" sheetId="5" state="visible" r:id="rId5"/>
    <sheet name="BS" sheetId="6" state="visible" r:id="rId6"/>
    <sheet name="Discrepancie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&quot;A&quot;"/>
    <numFmt numFmtId="165" formatCode="0&quot;E&quot;"/>
    <numFmt numFmtId="166" formatCode="0.00_);\(0.00\)"/>
    <numFmt numFmtId="167" formatCode="0.0%"/>
    <numFmt numFmtId="168" formatCode="#,##0.0_);\(#,##0.0\)"/>
    <numFmt numFmtId="169" formatCode="#,##0.000_);\(#,##0.000\)"/>
    <numFmt numFmtId="170" formatCode="[$-409]mmm\-yy;@"/>
    <numFmt numFmtId="171" formatCode="_ * #,##0.00_ ;_ * \-#,##0.00_ ;_ * &quot;-&quot;??_ ;_ @_ "/>
    <numFmt numFmtId="172" formatCode="#,##0.0;(#,##0.0)"/>
  </numFmts>
  <fonts count="3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color rgb="FF22222F"/>
      <sz val="11"/>
    </font>
    <font>
      <b val="1"/>
      <color rgb="001F3864"/>
      <sz val="13"/>
    </font>
    <font>
      <b val="1"/>
    </font>
    <font>
      <sz val="10"/>
    </font>
    <font>
      <color rgb="00000000"/>
    </font>
    <font>
      <i val="1"/>
      <sz val="9"/>
    </font>
    <font>
      <b val="1"/>
      <color rgb="001F3864"/>
    </font>
    <font>
      <b val="1"/>
      <sz val="10"/>
    </font>
    <font>
      <color rgb="000000CC"/>
    </font>
    <font>
      <b val="1"/>
      <color rgb="001F3864"/>
      <sz val="12"/>
    </font>
    <font>
      <i val="1"/>
    </font>
    <font>
      <b val="1"/>
      <color rgb="000000CC"/>
    </font>
    <font>
      <b val="1"/>
      <color rgb="00C00000"/>
      <sz val="12"/>
    </font>
    <font>
      <b val="1"/>
      <color rgb="00C00000"/>
    </font>
    <font>
      <b val="1"/>
      <sz val="11"/>
    </font>
    <font>
      <i val="1"/>
      <color rgb="00808080"/>
      <sz val="9"/>
    </font>
    <font>
      <i val="1"/>
      <color rgb="001F3864"/>
      <sz val="9"/>
    </font>
    <font>
      <color rgb="00808080"/>
      <sz val="9"/>
    </font>
  </fonts>
  <fills count="8">
    <fill>
      <patternFill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7EEF8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5">
    <xf numFmtId="0" fontId="1" fillId="0" borderId="0"/>
    <xf numFmtId="43" fontId="1" fillId="0" borderId="0"/>
    <xf numFmtId="9" fontId="1" fillId="0" borderId="0"/>
    <xf numFmtId="0" fontId="4" fillId="2" borderId="0"/>
    <xf numFmtId="0" fontId="10" fillId="0" borderId="0"/>
  </cellStyleXfs>
  <cellXfs count="83">
    <xf numFmtId="0" fontId="0" fillId="0" borderId="0" pivotButton="0" quotePrefix="0" xfId="0"/>
    <xf numFmtId="9" fontId="0" fillId="0" borderId="0" pivotButton="0" quotePrefix="0" xfId="2"/>
    <xf numFmtId="0" fontId="5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166" fontId="3" fillId="0" borderId="1" pivotButton="0" quotePrefix="0" xfId="0"/>
    <xf numFmtId="167" fontId="0" fillId="0" borderId="0" pivotButton="0" quotePrefix="0" xfId="2"/>
    <xf numFmtId="166" fontId="0" fillId="0" borderId="0" pivotButton="0" quotePrefix="0" xfId="0"/>
    <xf numFmtId="0" fontId="0" fillId="0" borderId="0" applyAlignment="1" pivotButton="0" quotePrefix="0" xfId="1">
      <alignment horizontal="left" indent="1"/>
    </xf>
    <xf numFmtId="166" fontId="6" fillId="0" borderId="0" pivotButton="0" quotePrefix="0" xfId="0"/>
    <xf numFmtId="0" fontId="3" fillId="0" borderId="1" pivotButton="0" quotePrefix="0" xfId="0"/>
    <xf numFmtId="166" fontId="7" fillId="0" borderId="1" pivotButton="0" quotePrefix="0" xfId="0"/>
    <xf numFmtId="167" fontId="0" fillId="0" borderId="0" pivotButton="0" quotePrefix="0" xfId="0"/>
    <xf numFmtId="166" fontId="8" fillId="0" borderId="0" pivotButton="0" quotePrefix="0" xfId="0"/>
    <xf numFmtId="166" fontId="0" fillId="0" borderId="1" pivotButton="0" quotePrefix="0" xfId="0"/>
    <xf numFmtId="0" fontId="3" fillId="0" borderId="2" pivotButton="0" quotePrefix="0" xfId="0"/>
    <xf numFmtId="166" fontId="3" fillId="0" borderId="2" pivotButton="0" quotePrefix="0" xfId="0"/>
    <xf numFmtId="168" fontId="0" fillId="0" borderId="0" pivotButton="0" quotePrefix="0" xfId="0"/>
    <xf numFmtId="169" fontId="0" fillId="0" borderId="0" pivotButton="0" quotePrefix="0" xfId="0"/>
    <xf numFmtId="43" fontId="3" fillId="0" borderId="0" pivotButton="0" quotePrefix="0" xfId="1"/>
    <xf numFmtId="43" fontId="0" fillId="0" borderId="0" pivotButton="0" quotePrefix="0" xfId="1"/>
    <xf numFmtId="170" fontId="2" fillId="3" borderId="0" pivotButton="0" quotePrefix="0" xfId="1"/>
    <xf numFmtId="170" fontId="2" fillId="3" borderId="0" applyAlignment="1" pivotButton="0" quotePrefix="0" xfId="0">
      <alignment horizontal="center"/>
    </xf>
    <xf numFmtId="170" fontId="9" fillId="0" borderId="0" pivotButton="0" quotePrefix="0" xfId="1"/>
    <xf numFmtId="43" fontId="1" fillId="0" borderId="0" pivotButton="0" quotePrefix="0" xfId="1"/>
    <xf numFmtId="1" fontId="0" fillId="0" borderId="0" pivotButton="0" quotePrefix="0" xfId="0"/>
    <xf numFmtId="0" fontId="11" fillId="0" borderId="0" pivotButton="0" quotePrefix="0" xfId="0"/>
    <xf numFmtId="1" fontId="11" fillId="0" borderId="0" pivotButton="0" quotePrefix="0" xfId="0"/>
    <xf numFmtId="2" fontId="0" fillId="0" borderId="0" pivotButton="0" quotePrefix="0" xfId="0"/>
    <xf numFmtId="2" fontId="11" fillId="0" borderId="0" pivotButton="0" quotePrefix="0" xfId="0"/>
    <xf numFmtId="2" fontId="6" fillId="0" borderId="0" pivotButton="0" quotePrefix="0" xfId="0"/>
    <xf numFmtId="166" fontId="12" fillId="0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 indent="1"/>
    </xf>
    <xf numFmtId="171" fontId="10" fillId="0" borderId="0" applyAlignment="1" pivotButton="0" quotePrefix="0" xfId="4">
      <alignment horizontal="center"/>
    </xf>
    <xf numFmtId="171" fontId="2" fillId="2" borderId="0" applyAlignment="1" pivotButton="0" quotePrefix="0" xfId="3">
      <alignment horizontal="center"/>
    </xf>
    <xf numFmtId="166" fontId="7" fillId="0" borderId="0" pivotButton="0" quotePrefix="0" xfId="0"/>
    <xf numFmtId="166" fontId="0" fillId="0" borderId="0" pivotButton="0" quotePrefix="0" xfId="0"/>
    <xf numFmtId="0" fontId="14" fillId="0" borderId="0" applyAlignment="1" pivotButton="0" quotePrefix="0" xfId="0">
      <alignment horizontal="right" vertical="center" wrapText="1"/>
    </xf>
    <xf numFmtId="3" fontId="14" fillId="0" borderId="0" applyAlignment="1" pivotButton="0" quotePrefix="0" xfId="0">
      <alignment horizontal="right" vertical="center" wrapText="1"/>
    </xf>
    <xf numFmtId="0" fontId="0" fillId="0" borderId="0" pivotButton="0" quotePrefix="0" xfId="0"/>
    <xf numFmtId="0" fontId="14" fillId="0" borderId="0" applyAlignment="1" pivotButton="0" quotePrefix="0" xfId="0">
      <alignment horizontal="left" vertical="center"/>
    </xf>
    <xf numFmtId="171" fontId="10" fillId="0" borderId="0" applyAlignment="1" pivotButton="0" quotePrefix="0" xfId="4">
      <alignment horizontal="center"/>
    </xf>
    <xf numFmtId="171" fontId="2" fillId="2" borderId="0" applyAlignment="1" pivotButton="0" quotePrefix="0" xfId="3">
      <alignment horizontal="center"/>
    </xf>
    <xf numFmtId="170" fontId="9" fillId="0" borderId="0" pivotButton="0" quotePrefix="0" xfId="1"/>
    <xf numFmtId="170" fontId="2" fillId="3" borderId="0" pivotButton="0" quotePrefix="0" xfId="1"/>
    <xf numFmtId="170" fontId="2" fillId="3" borderId="0" applyAlignment="1" pivotButton="0" quotePrefix="0" xfId="0">
      <alignment horizontal="center"/>
    </xf>
    <xf numFmtId="0" fontId="15" fillId="0" borderId="0" pivotButton="0" quotePrefix="0" xfId="0"/>
    <xf numFmtId="0" fontId="16" fillId="0" borderId="0" pivotButton="0" quotePrefix="0" xfId="0"/>
    <xf numFmtId="0" fontId="16" fillId="4" borderId="3" applyAlignment="1" pivotButton="0" quotePrefix="0" xfId="0">
      <alignment horizontal="center"/>
    </xf>
    <xf numFmtId="0" fontId="17" fillId="0" borderId="0" pivotButton="0" quotePrefix="0" xfId="0"/>
    <xf numFmtId="167" fontId="18" fillId="5" borderId="3" applyAlignment="1" pivotButton="0" quotePrefix="0" xfId="0">
      <alignment horizontal="right"/>
    </xf>
    <xf numFmtId="0" fontId="19" fillId="0" borderId="0" applyAlignment="1" pivotButton="0" quotePrefix="0" xfId="0">
      <alignment vertical="top" wrapText="1"/>
    </xf>
    <xf numFmtId="1" fontId="18" fillId="5" borderId="3" applyAlignment="1" pivotButton="0" quotePrefix="0" xfId="0">
      <alignment horizontal="right"/>
    </xf>
    <xf numFmtId="172" fontId="18" fillId="5" borderId="3" applyAlignment="1" pivotButton="0" quotePrefix="0" xfId="0">
      <alignment horizontal="right"/>
    </xf>
    <xf numFmtId="0" fontId="20" fillId="0" borderId="0" pivotButton="0" quotePrefix="0" xfId="0"/>
    <xf numFmtId="2" fontId="18" fillId="5" borderId="3" applyAlignment="1" pivotButton="0" quotePrefix="0" xfId="0">
      <alignment horizontal="right"/>
    </xf>
    <xf numFmtId="0" fontId="21" fillId="0" borderId="0" pivotButton="0" quotePrefix="0" xfId="0"/>
    <xf numFmtId="167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172" fontId="22" fillId="0" borderId="0" applyAlignment="1" pivotButton="0" quotePrefix="0" xfId="0">
      <alignment horizontal="right"/>
    </xf>
    <xf numFmtId="0" fontId="19" fillId="0" borderId="0" pivotButton="0" quotePrefix="0" xfId="0"/>
    <xf numFmtId="172" fontId="25" fillId="0" borderId="0" applyAlignment="1" pivotButton="0" quotePrefix="0" xfId="0">
      <alignment horizontal="right"/>
    </xf>
    <xf numFmtId="172" fontId="25" fillId="0" borderId="1" applyAlignment="1" pivotButton="0" quotePrefix="0" xfId="0">
      <alignment horizontal="right"/>
    </xf>
    <xf numFmtId="172" fontId="25" fillId="6" borderId="0" applyAlignment="1" pivotButton="0" quotePrefix="0" xfId="0">
      <alignment horizontal="right"/>
    </xf>
    <xf numFmtId="172" fontId="25" fillId="6" borderId="2" applyAlignment="1" pivotButton="0" quotePrefix="0" xfId="0">
      <alignment horizontal="right"/>
    </xf>
    <xf numFmtId="0" fontId="26" fillId="0" borderId="0" pivotButton="0" quotePrefix="0" xfId="0"/>
    <xf numFmtId="172" fontId="0" fillId="0" borderId="3" applyAlignment="1" pivotButton="0" quotePrefix="0" xfId="0">
      <alignment horizontal="right"/>
    </xf>
    <xf numFmtId="0" fontId="27" fillId="0" borderId="0" pivotButton="0" quotePrefix="0" xfId="0"/>
    <xf numFmtId="0" fontId="28" fillId="0" borderId="0" pivotButton="0" quotePrefix="0" xfId="0"/>
    <xf numFmtId="0" fontId="27" fillId="5" borderId="3" applyAlignment="1" pivotButton="0" quotePrefix="0" xfId="0">
      <alignment horizontal="center"/>
    </xf>
    <xf numFmtId="0" fontId="29" fillId="0" borderId="0" pivotButton="0" quotePrefix="0" xfId="0"/>
    <xf numFmtId="0" fontId="30" fillId="0" borderId="0" pivotButton="0" quotePrefix="0" xfId="0"/>
    <xf numFmtId="167" fontId="25" fillId="7" borderId="3" applyAlignment="1" pivotButton="0" quotePrefix="0" xfId="0">
      <alignment horizontal="right"/>
    </xf>
    <xf numFmtId="0" fontId="31" fillId="0" borderId="0" pivotButton="0" quotePrefix="0" xfId="0"/>
    <xf numFmtId="1" fontId="25" fillId="7" borderId="3" applyAlignment="1" pivotButton="0" quotePrefix="0" xfId="0">
      <alignment horizontal="right"/>
    </xf>
  </cellXfs>
  <cellStyles count="5">
    <cellStyle name="Normal" xfId="0" builtinId="0"/>
    <cellStyle name="Comma" xfId="1" builtinId="3"/>
    <cellStyle name="Percent" xfId="2" builtinId="5"/>
    <cellStyle name="Accent6" xfId="3" builtinId="49"/>
    <cellStyle name="Hyperlink" xfId="4" builtinId="8"/>
  </cellStyles>
  <dxfs count="1">
    <dxf>
      <font>
        <b val="1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B65" sqref="B65:B75"/>
    </sheetView>
  </sheetViews>
  <sheetFormatPr baseColWidth="8" defaultColWidth="8.77734375" defaultRowHeight="14.4"/>
  <cols>
    <col width="27.6640625" bestFit="1" customWidth="1" style="25" min="1" max="1"/>
    <col width="13.44140625" bestFit="1" customWidth="1" style="25" min="2" max="11"/>
    <col width="8.77734375" customWidth="1" style="25" min="12" max="16384"/>
  </cols>
  <sheetData>
    <row r="1" customFormat="1" s="24">
      <c r="A1" s="24" t="inlineStr">
        <is>
          <t>COMPANY NAME</t>
        </is>
      </c>
      <c r="B1" s="24" t="inlineStr">
        <is>
          <t>BHARAT HEAVY ELECTRICALS LTD</t>
        </is>
      </c>
      <c r="E1" s="48">
        <f>IF(B2&lt;&gt;B3, "A NEW VERSION OF THE WORKSHEET IS AVAILABLE", "")</f>
        <v/>
      </c>
    </row>
    <row r="2">
      <c r="A2" s="24" t="inlineStr">
        <is>
          <t>LATEST VERSION</t>
        </is>
      </c>
      <c r="B2" s="25" t="n">
        <v>2.1</v>
      </c>
      <c r="E2" s="49" t="inlineStr">
        <is>
          <t>PLEASE DO NOT MAKE ANY CHANGES TO THIS SHEET</t>
        </is>
      </c>
    </row>
    <row r="3">
      <c r="A3" s="24" t="inlineStr">
        <is>
          <t>CURRENT VERSION</t>
        </is>
      </c>
      <c r="B3" s="25" t="n">
        <v>2.1</v>
      </c>
    </row>
    <row r="4">
      <c r="A4" s="24" t="n"/>
    </row>
    <row r="5">
      <c r="A5" s="24" t="inlineStr">
        <is>
          <t>META</t>
        </is>
      </c>
    </row>
    <row r="6">
      <c r="A6" s="25" t="inlineStr">
        <is>
          <t>Number of shares</t>
        </is>
      </c>
      <c r="B6" s="25">
        <f>IF(B9&gt;0, B9/B8, 0)</f>
        <v/>
      </c>
    </row>
    <row r="7">
      <c r="A7" s="25" t="inlineStr">
        <is>
          <t>Face Value</t>
        </is>
      </c>
      <c r="B7" t="n">
        <v>2</v>
      </c>
    </row>
    <row r="8">
      <c r="A8" s="25" t="inlineStr">
        <is>
          <t>Current Price</t>
        </is>
      </c>
      <c r="B8" t="n">
        <v>402.7</v>
      </c>
    </row>
    <row r="9">
      <c r="A9" s="25" t="inlineStr">
        <is>
          <t>Market Capitalization</t>
        </is>
      </c>
      <c r="B9" t="n">
        <v>140222.69</v>
      </c>
    </row>
    <row r="15">
      <c r="A15" s="24" t="inlineStr">
        <is>
          <t>PROFIT &amp; LOSS</t>
        </is>
      </c>
    </row>
    <row r="16" customFormat="1" s="50">
      <c r="A16" s="51" t="inlineStr">
        <is>
          <t>Report Date</t>
        </is>
      </c>
      <c r="B16" s="52" t="n">
        <v>42825</v>
      </c>
      <c r="C16" s="52" t="n">
        <v>43190</v>
      </c>
      <c r="D16" s="52" t="n">
        <v>43555</v>
      </c>
      <c r="E16" s="52" t="n">
        <v>43921</v>
      </c>
      <c r="F16" s="52" t="n">
        <v>44286</v>
      </c>
      <c r="G16" s="52" t="n">
        <v>44651</v>
      </c>
      <c r="H16" s="52" t="n">
        <v>45016</v>
      </c>
      <c r="I16" s="52" t="n">
        <v>45382</v>
      </c>
      <c r="J16" s="52" t="n">
        <v>45747</v>
      </c>
      <c r="K16" s="52" t="n">
        <v>46112</v>
      </c>
    </row>
    <row r="17" customFormat="1" s="29">
      <c r="A17" s="29" t="inlineStr">
        <is>
          <t>Sales</t>
        </is>
      </c>
      <c r="B17" t="n">
        <v>28464.77</v>
      </c>
      <c r="C17" t="n">
        <v>28827.48</v>
      </c>
      <c r="D17" t="n">
        <v>30441.38</v>
      </c>
      <c r="E17" t="n">
        <v>21463.14</v>
      </c>
      <c r="F17" t="n">
        <v>17308.69</v>
      </c>
      <c r="G17" t="n">
        <v>21211.09</v>
      </c>
      <c r="H17" t="n">
        <v>23364.94</v>
      </c>
      <c r="I17" t="n">
        <v>23892.78</v>
      </c>
      <c r="J17" t="n">
        <v>28339.48</v>
      </c>
      <c r="K17" t="n">
        <v>33782.18</v>
      </c>
    </row>
    <row r="18" customFormat="1" s="29">
      <c r="A18" s="25" t="inlineStr">
        <is>
          <t>Raw Material Cost</t>
        </is>
      </c>
      <c r="B18" t="n">
        <v>13125.88</v>
      </c>
      <c r="C18" t="n">
        <v>12102.78</v>
      </c>
      <c r="D18" t="n">
        <v>14982.73</v>
      </c>
      <c r="E18" t="n">
        <v>11781.64</v>
      </c>
      <c r="F18" t="n">
        <v>8158.56</v>
      </c>
      <c r="G18" t="n">
        <v>9204.15</v>
      </c>
      <c r="H18" t="n">
        <v>10532.61</v>
      </c>
      <c r="I18" t="n">
        <v>11984.73</v>
      </c>
      <c r="J18" t="n">
        <v>14965.64</v>
      </c>
      <c r="K18" t="n">
        <v>24274.28</v>
      </c>
    </row>
    <row r="19" customFormat="1" s="29">
      <c r="A19" s="25" t="inlineStr">
        <is>
          <t>Change in Inventory</t>
        </is>
      </c>
      <c r="B19" t="n">
        <v>-992.9400000000001</v>
      </c>
      <c r="C19" t="n">
        <v>-739</v>
      </c>
      <c r="D19" t="n">
        <v>989.3099999999999</v>
      </c>
      <c r="E19" t="n">
        <v>-1042.43</v>
      </c>
      <c r="F19" t="n">
        <v>510.86</v>
      </c>
      <c r="G19" t="n">
        <v>525.64</v>
      </c>
      <c r="H19" t="n">
        <v>-57.15</v>
      </c>
      <c r="I19" t="n">
        <v>-436.74</v>
      </c>
      <c r="J19" t="n">
        <v>-1542.32</v>
      </c>
      <c r="K19" t="n">
        <v>-1291.19</v>
      </c>
    </row>
    <row r="20" customFormat="1" s="29">
      <c r="A20" s="25" t="inlineStr">
        <is>
          <t>Power and Fuel</t>
        </is>
      </c>
      <c r="B20" t="n">
        <v>451.55</v>
      </c>
      <c r="C20" t="n">
        <v>463.62</v>
      </c>
      <c r="D20" t="n">
        <v>496.94</v>
      </c>
      <c r="E20" t="n">
        <v>459.41</v>
      </c>
      <c r="F20" t="n">
        <v>319.57</v>
      </c>
      <c r="G20" t="n">
        <v>415.08</v>
      </c>
      <c r="H20" t="n">
        <v>487.67</v>
      </c>
      <c r="I20" t="n">
        <v>452.2</v>
      </c>
      <c r="J20" t="n">
        <v>490.64</v>
      </c>
    </row>
    <row r="21" customFormat="1" s="29">
      <c r="A21" s="25" t="inlineStr">
        <is>
          <t>Other Mfr. Exp</t>
        </is>
      </c>
      <c r="B21" t="n">
        <v>3740.25</v>
      </c>
      <c r="C21" t="n">
        <v>4329.32</v>
      </c>
      <c r="D21" t="n">
        <v>4560.74</v>
      </c>
      <c r="E21" t="n">
        <v>3522.22</v>
      </c>
      <c r="F21" t="n">
        <v>3384.61</v>
      </c>
      <c r="G21" t="n">
        <v>5229.76</v>
      </c>
      <c r="H21" t="n">
        <v>6008.66</v>
      </c>
      <c r="I21" t="n">
        <v>5472.07</v>
      </c>
      <c r="J21" t="n">
        <v>5685.56</v>
      </c>
    </row>
    <row r="22" customFormat="1" s="29">
      <c r="A22" s="25" t="inlineStr">
        <is>
          <t>Employee Cost</t>
        </is>
      </c>
      <c r="B22" t="n">
        <v>5402.71</v>
      </c>
      <c r="C22" t="n">
        <v>6075.55</v>
      </c>
      <c r="D22" t="n">
        <v>5509.25</v>
      </c>
      <c r="E22" t="n">
        <v>5431.88</v>
      </c>
      <c r="F22" t="n">
        <v>5378.36</v>
      </c>
      <c r="G22" t="n">
        <v>5519.05</v>
      </c>
      <c r="H22" t="n">
        <v>5700.63</v>
      </c>
      <c r="I22" t="n">
        <v>5628.84</v>
      </c>
      <c r="J22" t="n">
        <v>5923.42</v>
      </c>
      <c r="K22" t="n">
        <v>6467.62</v>
      </c>
    </row>
    <row r="23" customFormat="1" s="29">
      <c r="A23" s="25" t="inlineStr">
        <is>
          <t>Selling and admin</t>
        </is>
      </c>
      <c r="B23" t="n">
        <v>1448.06</v>
      </c>
      <c r="C23" t="n">
        <v>1365.75</v>
      </c>
      <c r="D23" t="n">
        <v>1795.59</v>
      </c>
      <c r="E23" t="n">
        <v>1542.87</v>
      </c>
      <c r="F23" t="n">
        <v>1136.43</v>
      </c>
      <c r="G23" t="n">
        <v>1047.14</v>
      </c>
      <c r="H23" t="n">
        <v>1142.85</v>
      </c>
      <c r="I23" t="n">
        <v>1145.12</v>
      </c>
      <c r="J23" t="n">
        <v>1311.68</v>
      </c>
    </row>
    <row r="24" customFormat="1" s="29">
      <c r="A24" s="25" t="inlineStr">
        <is>
          <t>Other Expenses</t>
        </is>
      </c>
      <c r="B24" t="n">
        <v>2208.37</v>
      </c>
      <c r="C24" t="n">
        <v>2098.33</v>
      </c>
      <c r="D24" t="n">
        <v>2053.19</v>
      </c>
      <c r="E24" t="n">
        <v>-99.3</v>
      </c>
      <c r="F24" t="n">
        <v>1468.98</v>
      </c>
      <c r="G24" t="n">
        <v>-1557.77</v>
      </c>
      <c r="H24" t="n">
        <v>-1493.98</v>
      </c>
      <c r="I24" t="n">
        <v>-1064.33</v>
      </c>
      <c r="J24" t="n">
        <v>105.54</v>
      </c>
      <c r="K24" t="n">
        <v>1989.28</v>
      </c>
    </row>
    <row r="25" customFormat="1" s="29">
      <c r="A25" s="29" t="inlineStr">
        <is>
          <t>Other Income</t>
        </is>
      </c>
      <c r="B25" t="n">
        <v>753.1900000000001</v>
      </c>
      <c r="C25" t="n">
        <v>679.24</v>
      </c>
      <c r="D25" t="n">
        <v>661.52</v>
      </c>
      <c r="E25" t="n">
        <v>590.02</v>
      </c>
      <c r="F25" t="n">
        <v>392.56</v>
      </c>
      <c r="G25" t="n">
        <v>404.67</v>
      </c>
      <c r="H25" t="n">
        <v>544.49</v>
      </c>
      <c r="I25" t="n">
        <v>608.3099999999999</v>
      </c>
      <c r="J25" t="n">
        <v>524.3200000000001</v>
      </c>
      <c r="K25" t="n">
        <v>868.7</v>
      </c>
    </row>
    <row r="26" customFormat="1" s="29">
      <c r="A26" s="29" t="inlineStr">
        <is>
          <t>Depreciation</t>
        </is>
      </c>
      <c r="B26" t="n">
        <v>849.79</v>
      </c>
      <c r="C26" t="n">
        <v>787.33</v>
      </c>
      <c r="D26" t="n">
        <v>475.74</v>
      </c>
      <c r="E26" t="n">
        <v>503.27</v>
      </c>
      <c r="F26" t="n">
        <v>473.25</v>
      </c>
      <c r="G26" t="n">
        <v>314.12</v>
      </c>
      <c r="H26" t="n">
        <v>260.34</v>
      </c>
      <c r="I26" t="n">
        <v>248.9</v>
      </c>
      <c r="J26" t="n">
        <v>271.96</v>
      </c>
      <c r="K26" t="n">
        <v>315.87</v>
      </c>
    </row>
    <row r="27" customFormat="1" s="29">
      <c r="A27" s="29" t="inlineStr">
        <is>
          <t>Interest</t>
        </is>
      </c>
      <c r="B27" t="n">
        <v>412.84</v>
      </c>
      <c r="C27" t="n">
        <v>330.17</v>
      </c>
      <c r="D27" t="n">
        <v>378.29</v>
      </c>
      <c r="E27" t="n">
        <v>612.67</v>
      </c>
      <c r="F27" t="n">
        <v>466.56</v>
      </c>
      <c r="G27" t="n">
        <v>448.13</v>
      </c>
      <c r="H27" t="n">
        <v>612.1900000000001</v>
      </c>
      <c r="I27" t="n">
        <v>827.64</v>
      </c>
      <c r="J27" t="n">
        <v>906.08</v>
      </c>
      <c r="K27" t="n">
        <v>756.41</v>
      </c>
    </row>
    <row r="28" customFormat="1" s="29">
      <c r="A28" s="29" t="inlineStr">
        <is>
          <t>Profit before tax</t>
        </is>
      </c>
      <c r="B28" t="n">
        <v>585.5700000000001</v>
      </c>
      <c r="C28" t="n">
        <v>1214.87</v>
      </c>
      <c r="D28" t="n">
        <v>1839.74</v>
      </c>
      <c r="E28" t="n">
        <v>-659.0700000000001</v>
      </c>
      <c r="F28" t="n">
        <v>-3595.93</v>
      </c>
      <c r="G28" t="n">
        <v>470.46</v>
      </c>
      <c r="H28" t="n">
        <v>715.61</v>
      </c>
      <c r="I28" t="n">
        <v>242.66</v>
      </c>
      <c r="J28" t="n">
        <v>745.6</v>
      </c>
      <c r="K28" t="n">
        <v>2138.61</v>
      </c>
    </row>
    <row r="29" customFormat="1" s="29">
      <c r="A29" s="29" t="inlineStr">
        <is>
          <t>Tax</t>
        </is>
      </c>
      <c r="B29" t="n">
        <v>130.39</v>
      </c>
      <c r="C29" t="n">
        <v>776.6799999999999</v>
      </c>
      <c r="D29" t="n">
        <v>837.3200000000001</v>
      </c>
      <c r="E29" t="n">
        <v>809.28</v>
      </c>
      <c r="F29" t="n">
        <v>-896.23</v>
      </c>
      <c r="G29" t="n">
        <v>25.75</v>
      </c>
      <c r="H29" t="n">
        <v>61.49</v>
      </c>
      <c r="I29" t="n">
        <v>-39.56</v>
      </c>
      <c r="J29" t="n">
        <v>211.7</v>
      </c>
      <c r="K29" t="n">
        <v>538.35</v>
      </c>
    </row>
    <row r="30" customFormat="1" s="29">
      <c r="A30" s="29" t="inlineStr">
        <is>
          <t>Net profit</t>
        </is>
      </c>
      <c r="B30" t="n">
        <v>457.26</v>
      </c>
      <c r="C30" t="n">
        <v>441.16</v>
      </c>
      <c r="D30" t="n">
        <v>1005.1</v>
      </c>
      <c r="E30" t="n">
        <v>-1466.01</v>
      </c>
      <c r="F30" t="n">
        <v>-2697.11</v>
      </c>
      <c r="G30" t="n">
        <v>446.03</v>
      </c>
      <c r="H30" t="n">
        <v>654.12</v>
      </c>
      <c r="I30" t="n">
        <v>282.22</v>
      </c>
      <c r="J30" t="n">
        <v>533.9</v>
      </c>
      <c r="K30" t="n">
        <v>1600.26</v>
      </c>
    </row>
    <row r="31" customFormat="1" s="29">
      <c r="A31" s="29" t="inlineStr">
        <is>
          <t>Dividend Amount</t>
        </is>
      </c>
      <c r="B31" t="n">
        <v>386.72</v>
      </c>
      <c r="C31" t="n">
        <v>668.1900000000001</v>
      </c>
      <c r="D31" t="n">
        <v>696.41</v>
      </c>
      <c r="G31" t="n">
        <v>139.28</v>
      </c>
      <c r="H31" t="n">
        <v>139.28</v>
      </c>
      <c r="I31" t="n">
        <v>87.05</v>
      </c>
      <c r="J31" t="n">
        <v>174.1</v>
      </c>
      <c r="K31" t="n">
        <v>487.49</v>
      </c>
    </row>
    <row r="32" customFormat="1" s="29">
      <c r="E32" s="33" t="n">
        <v>22712.23</v>
      </c>
      <c r="F32" s="33" t="n">
        <v>21297.18</v>
      </c>
      <c r="G32" s="33" t="n">
        <v>21145.59</v>
      </c>
      <c r="H32" s="33" t="n">
        <v>23430.15</v>
      </c>
      <c r="I32" s="33" t="n">
        <v>24260.37</v>
      </c>
      <c r="J32" s="33" t="n">
        <v>28118.2</v>
      </c>
      <c r="K32" s="33" t="n">
        <v>32512.27</v>
      </c>
    </row>
    <row r="33">
      <c r="A33" s="29" t="n"/>
      <c r="E33" s="25">
        <f>SUM(E18:E24)+E26+E27</f>
        <v/>
      </c>
      <c r="F33" s="25">
        <f>SUM(F18:F24)+F26+F27</f>
        <v/>
      </c>
      <c r="G33" s="25">
        <f>SUM(G18:G24)+G26+G27</f>
        <v/>
      </c>
      <c r="H33" s="25">
        <f>SUM(H18:H24)+H26+H27</f>
        <v/>
      </c>
      <c r="I33" s="25">
        <f>SUM(I18:I24)+I26+I27</f>
        <v/>
      </c>
      <c r="J33" s="25">
        <f>SUM(J18:J24)+J26+J27</f>
        <v/>
      </c>
      <c r="K33" s="25">
        <f>SUM(K18:K24)+K26+K27</f>
        <v/>
      </c>
    </row>
    <row r="34">
      <c r="A34" s="29" t="n"/>
      <c r="E34" s="25">
        <f>E23+E24</f>
        <v/>
      </c>
      <c r="F34" s="25">
        <f>F23+F24</f>
        <v/>
      </c>
      <c r="G34" s="25">
        <f>G23+G24</f>
        <v/>
      </c>
      <c r="H34" s="25">
        <f>H23+H24</f>
        <v/>
      </c>
      <c r="I34" s="25">
        <f>I23+I24</f>
        <v/>
      </c>
      <c r="J34" s="25">
        <f>J23+J24</f>
        <v/>
      </c>
      <c r="K34" s="25">
        <f>K23+K24</f>
        <v/>
      </c>
    </row>
    <row r="35">
      <c r="A35" s="29" t="n"/>
    </row>
    <row r="36">
      <c r="A36" s="29" t="n"/>
    </row>
    <row r="37">
      <c r="A37" s="29" t="n"/>
      <c r="E37" s="25" t="n">
        <v>21596</v>
      </c>
      <c r="F37" s="25" t="n">
        <v>20357</v>
      </c>
      <c r="G37" s="25" t="n">
        <v>20383</v>
      </c>
      <c r="H37" s="25" t="n">
        <v>22321</v>
      </c>
      <c r="I37" s="25" t="n">
        <v>23182</v>
      </c>
      <c r="J37" s="25" t="n">
        <v>26940</v>
      </c>
      <c r="K37" s="25" t="n">
        <v>31440</v>
      </c>
    </row>
    <row r="38">
      <c r="A38" s="29" t="n"/>
      <c r="E38" s="25">
        <f>E37-E18-E19-E20-E21-E22</f>
        <v/>
      </c>
      <c r="F38" s="25">
        <f>F37-F18-F19-F20-F21-F22</f>
        <v/>
      </c>
      <c r="G38" s="25">
        <f>G37-G18-G19-G20-G21-G22</f>
        <v/>
      </c>
      <c r="H38" s="25">
        <f>H37-H18-H19-H20-H21-H22</f>
        <v/>
      </c>
      <c r="I38" s="25">
        <f>I37-I18-I19-I20-I21-I22</f>
        <v/>
      </c>
      <c r="J38" s="25">
        <f>J37-J18-J19-J20-J21-J22</f>
        <v/>
      </c>
      <c r="K38" s="25">
        <f>K37-K18-K19-K20-K21-K22</f>
        <v/>
      </c>
    </row>
    <row r="39">
      <c r="A39" s="29" t="n"/>
    </row>
    <row r="40">
      <c r="A40" s="29" t="n"/>
    </row>
    <row r="41">
      <c r="A41" s="29" t="n"/>
    </row>
    <row r="42">
      <c r="A42" s="29" t="n"/>
      <c r="E42" s="33" t="n"/>
      <c r="F42" s="33" t="n"/>
      <c r="G42" s="33" t="n"/>
      <c r="H42" s="33" t="n"/>
      <c r="I42" s="33" t="n"/>
      <c r="J42" s="33" t="n"/>
      <c r="K42" s="33" t="n"/>
    </row>
    <row r="43">
      <c r="A43" s="24" t="inlineStr">
        <is>
          <t>Quarters</t>
        </is>
      </c>
    </row>
    <row r="44" customFormat="1" s="50">
      <c r="A44" s="51" t="inlineStr">
        <is>
          <t>Report Date</t>
        </is>
      </c>
      <c r="B44" s="52" t="n">
        <v>45291</v>
      </c>
      <c r="C44" s="52" t="n">
        <v>45382</v>
      </c>
      <c r="D44" s="52" t="n">
        <v>45473</v>
      </c>
      <c r="E44" s="52" t="n">
        <v>45565</v>
      </c>
      <c r="F44" s="52" t="n">
        <v>45657</v>
      </c>
      <c r="G44" s="52" t="n">
        <v>45747</v>
      </c>
      <c r="H44" s="52" t="n">
        <v>45838</v>
      </c>
      <c r="I44" s="52" t="n">
        <v>45930</v>
      </c>
      <c r="J44" s="52" t="n">
        <v>46022</v>
      </c>
      <c r="K44" s="52" t="n">
        <v>46112</v>
      </c>
    </row>
    <row r="45" customFormat="1" s="29">
      <c r="A45" s="29" t="inlineStr">
        <is>
          <t>Sales</t>
        </is>
      </c>
      <c r="B45" t="n">
        <v>5503.81</v>
      </c>
      <c r="C45" t="n">
        <v>8260.25</v>
      </c>
      <c r="D45" t="n">
        <v>5484.92</v>
      </c>
      <c r="E45" t="n">
        <v>6584.1</v>
      </c>
      <c r="F45" t="n">
        <v>7277.09</v>
      </c>
      <c r="G45" t="n">
        <v>8993.370000000001</v>
      </c>
      <c r="H45" t="n">
        <v>5486.91</v>
      </c>
      <c r="I45" t="n">
        <v>7511.8</v>
      </c>
      <c r="J45" t="n">
        <v>8473.1</v>
      </c>
      <c r="K45" t="n">
        <v>12310.37</v>
      </c>
    </row>
    <row r="46" customFormat="1" s="29">
      <c r="A46" s="29" t="inlineStr">
        <is>
          <t>Expenses</t>
        </is>
      </c>
      <c r="B46" t="n">
        <v>5287.26</v>
      </c>
      <c r="C46" t="n">
        <v>7532.39</v>
      </c>
      <c r="D46" t="n">
        <v>5654.27</v>
      </c>
      <c r="E46" t="n">
        <v>6309.1</v>
      </c>
      <c r="F46" t="n">
        <v>6972.85</v>
      </c>
      <c r="G46" t="n">
        <v>8161.69</v>
      </c>
      <c r="H46" t="n">
        <v>6024.05</v>
      </c>
      <c r="I46" t="n">
        <v>6930.87</v>
      </c>
      <c r="J46" t="n">
        <v>7927.8</v>
      </c>
      <c r="K46" t="n">
        <v>10557.27</v>
      </c>
    </row>
    <row r="47" customFormat="1" s="29">
      <c r="A47" s="29" t="inlineStr">
        <is>
          <t>Other Income</t>
        </is>
      </c>
      <c r="B47" t="n">
        <v>118.15</v>
      </c>
      <c r="C47" t="n">
        <v>170.18</v>
      </c>
      <c r="D47" t="n">
        <v>111.07</v>
      </c>
      <c r="E47" t="n">
        <v>127.89</v>
      </c>
      <c r="F47" t="n">
        <v>126.17</v>
      </c>
      <c r="G47" t="n">
        <v>159.19</v>
      </c>
      <c r="H47" t="n">
        <v>184.83</v>
      </c>
      <c r="I47" t="n">
        <v>188.97</v>
      </c>
      <c r="J47" t="n">
        <v>234.99</v>
      </c>
      <c r="K47" t="n">
        <v>259.91</v>
      </c>
    </row>
    <row r="48" customFormat="1" s="29">
      <c r="A48" s="29" t="inlineStr">
        <is>
          <t>Depreciation</t>
        </is>
      </c>
      <c r="B48" t="n">
        <v>60.6</v>
      </c>
      <c r="C48" t="n">
        <v>68.40000000000001</v>
      </c>
      <c r="D48" t="n">
        <v>58.97</v>
      </c>
      <c r="E48" t="n">
        <v>60.09</v>
      </c>
      <c r="F48" t="n">
        <v>67.88</v>
      </c>
      <c r="G48" t="n">
        <v>85.02</v>
      </c>
      <c r="H48" t="n">
        <v>74.52</v>
      </c>
      <c r="I48" t="n">
        <v>75.45999999999999</v>
      </c>
      <c r="J48" t="n">
        <v>77.98999999999999</v>
      </c>
      <c r="K48" t="n">
        <v>87.90000000000001</v>
      </c>
    </row>
    <row r="49" customFormat="1" s="29">
      <c r="A49" s="29" t="inlineStr">
        <is>
          <t>Interest</t>
        </is>
      </c>
      <c r="B49" t="n">
        <v>189.6</v>
      </c>
      <c r="C49" t="n">
        <v>193.32</v>
      </c>
      <c r="D49" t="n">
        <v>161.74</v>
      </c>
      <c r="E49" t="n">
        <v>201.38</v>
      </c>
      <c r="F49" t="n">
        <v>183.78</v>
      </c>
      <c r="G49" t="n">
        <v>201.43</v>
      </c>
      <c r="H49" t="n">
        <v>181.21</v>
      </c>
      <c r="I49" t="n">
        <v>195.21</v>
      </c>
      <c r="J49" t="n">
        <v>182.47</v>
      </c>
      <c r="K49" t="n">
        <v>197.52</v>
      </c>
    </row>
    <row r="50" customFormat="1" s="29">
      <c r="A50" s="29" t="inlineStr">
        <is>
          <t>Profit before tax</t>
        </is>
      </c>
      <c r="B50" t="n">
        <v>84.5</v>
      </c>
      <c r="C50" t="n">
        <v>636.3200000000001</v>
      </c>
      <c r="D50" t="n">
        <v>-278.99</v>
      </c>
      <c r="E50" t="n">
        <v>141.42</v>
      </c>
      <c r="F50" t="n">
        <v>178.75</v>
      </c>
      <c r="G50" t="n">
        <v>704.42</v>
      </c>
      <c r="H50" t="n">
        <v>-608.04</v>
      </c>
      <c r="I50" t="n">
        <v>499.23</v>
      </c>
      <c r="J50" t="n">
        <v>519.83</v>
      </c>
      <c r="K50" t="n">
        <v>1727.59</v>
      </c>
    </row>
    <row r="51" customFormat="1" s="29">
      <c r="A51" s="29" t="inlineStr">
        <is>
          <t>Tax</t>
        </is>
      </c>
      <c r="B51" t="n">
        <v>24.18</v>
      </c>
      <c r="C51" t="n">
        <v>146.7</v>
      </c>
      <c r="D51" t="n">
        <v>-67.59</v>
      </c>
      <c r="E51" t="n">
        <v>35.27</v>
      </c>
      <c r="F51" t="n">
        <v>44.05</v>
      </c>
      <c r="G51" t="n">
        <v>199.97</v>
      </c>
      <c r="H51" t="n">
        <v>-152.54</v>
      </c>
      <c r="I51" t="n">
        <v>124.34</v>
      </c>
      <c r="J51" t="n">
        <v>129.43</v>
      </c>
      <c r="K51" t="n">
        <v>437.12</v>
      </c>
    </row>
    <row r="52" customFormat="1" s="29">
      <c r="A52" s="29" t="inlineStr">
        <is>
          <t>Net profit</t>
        </is>
      </c>
      <c r="B52" t="n">
        <v>60.32</v>
      </c>
      <c r="C52" t="n">
        <v>489.62</v>
      </c>
      <c r="D52" t="n">
        <v>-211.4</v>
      </c>
      <c r="E52" t="n">
        <v>106.15</v>
      </c>
      <c r="F52" t="n">
        <v>134.7</v>
      </c>
      <c r="G52" t="n">
        <v>504.45</v>
      </c>
      <c r="H52" t="n">
        <v>-455.5</v>
      </c>
      <c r="I52" t="n">
        <v>374.89</v>
      </c>
      <c r="J52" t="n">
        <v>390.4</v>
      </c>
      <c r="K52" t="n">
        <v>1290.47</v>
      </c>
    </row>
    <row r="53">
      <c r="A53" s="29" t="inlineStr">
        <is>
          <t>Operating Profit</t>
        </is>
      </c>
      <c r="B53" t="n">
        <v>216.55</v>
      </c>
      <c r="C53" t="n">
        <v>727.86</v>
      </c>
      <c r="D53" t="n">
        <v>-169.35</v>
      </c>
      <c r="E53" t="n">
        <v>275</v>
      </c>
      <c r="F53" t="n">
        <v>304.24</v>
      </c>
      <c r="G53" t="n">
        <v>831.6799999999999</v>
      </c>
      <c r="H53" t="n">
        <v>-537.14</v>
      </c>
      <c r="I53" t="n">
        <v>580.9299999999999</v>
      </c>
      <c r="J53" t="n">
        <v>545.3</v>
      </c>
      <c r="K53" t="n">
        <v>1753.1</v>
      </c>
    </row>
    <row r="54">
      <c r="A54" s="29" t="n"/>
    </row>
    <row r="55">
      <c r="A55" s="29" t="n"/>
    </row>
    <row r="56">
      <c r="A56" s="29" t="n"/>
    </row>
    <row r="57">
      <c r="A57" s="29" t="n"/>
    </row>
    <row r="58">
      <c r="A58" s="24" t="inlineStr">
        <is>
          <t>BALANCE SHEET</t>
        </is>
      </c>
    </row>
    <row r="59" customFormat="1" s="50">
      <c r="A59" s="51" t="inlineStr">
        <is>
          <t>Report Date</t>
        </is>
      </c>
      <c r="B59" s="52" t="n">
        <v>42825</v>
      </c>
      <c r="C59" s="52" t="n">
        <v>43190</v>
      </c>
      <c r="D59" s="52" t="n">
        <v>43555</v>
      </c>
      <c r="E59" s="52" t="n">
        <v>43921</v>
      </c>
      <c r="F59" s="52" t="n">
        <v>44286</v>
      </c>
      <c r="G59" s="52" t="n">
        <v>44651</v>
      </c>
      <c r="H59" s="52" t="n">
        <v>45016</v>
      </c>
      <c r="I59" s="52" t="n">
        <v>45382</v>
      </c>
      <c r="J59" s="52" t="n">
        <v>45747</v>
      </c>
      <c r="K59" s="52" t="n">
        <v>46112</v>
      </c>
    </row>
    <row r="60">
      <c r="A60" s="29" t="inlineStr">
        <is>
          <t>Equity Share Capital</t>
        </is>
      </c>
      <c r="B60" t="n">
        <v>489.52</v>
      </c>
      <c r="C60" t="n">
        <v>734.28</v>
      </c>
      <c r="D60" t="n">
        <v>696.41</v>
      </c>
      <c r="E60" t="n">
        <v>696.41</v>
      </c>
      <c r="F60" t="n">
        <v>696.41</v>
      </c>
      <c r="G60" t="n">
        <v>696.41</v>
      </c>
      <c r="H60" t="n">
        <v>696.41</v>
      </c>
      <c r="I60" t="n">
        <v>696.41</v>
      </c>
      <c r="J60" t="n">
        <v>696.41</v>
      </c>
      <c r="K60" t="n">
        <v>696.41</v>
      </c>
    </row>
    <row r="61">
      <c r="A61" s="29" t="inlineStr">
        <is>
          <t>Reserves</t>
        </is>
      </c>
      <c r="B61" t="n">
        <v>31899.47</v>
      </c>
      <c r="C61" t="n">
        <v>31600.71</v>
      </c>
      <c r="D61" t="n">
        <v>30207.93</v>
      </c>
      <c r="E61" t="n">
        <v>27964.31</v>
      </c>
      <c r="F61" t="n">
        <v>25287.25</v>
      </c>
      <c r="G61" t="n">
        <v>25810.19</v>
      </c>
      <c r="H61" t="n">
        <v>23681.85</v>
      </c>
      <c r="I61" t="n">
        <v>23742.24</v>
      </c>
      <c r="J61" t="n">
        <v>24025.75</v>
      </c>
      <c r="K61" t="n">
        <v>25450.19</v>
      </c>
    </row>
    <row r="62">
      <c r="A62" s="29" t="inlineStr">
        <is>
          <t>Borrowings</t>
        </is>
      </c>
      <c r="B62" t="n">
        <v>155.89</v>
      </c>
      <c r="C62" t="n">
        <v>109.73</v>
      </c>
      <c r="D62" t="n">
        <v>2598.47</v>
      </c>
      <c r="E62" t="n">
        <v>5079.96</v>
      </c>
      <c r="F62" t="n">
        <v>4950.89</v>
      </c>
      <c r="G62" t="n">
        <v>4829.93</v>
      </c>
      <c r="H62" t="n">
        <v>5453.51</v>
      </c>
      <c r="I62" t="n">
        <v>8856.459999999999</v>
      </c>
      <c r="J62" t="n">
        <v>9014.6</v>
      </c>
      <c r="K62" t="n">
        <v>8186.95</v>
      </c>
    </row>
    <row r="63">
      <c r="A63" s="29" t="inlineStr">
        <is>
          <t>Other Liabilities</t>
        </is>
      </c>
      <c r="B63" t="n">
        <v>29152.84</v>
      </c>
      <c r="C63" t="n">
        <v>31495.34</v>
      </c>
      <c r="D63" t="n">
        <v>30987.02</v>
      </c>
      <c r="E63" t="n">
        <v>26550.33</v>
      </c>
      <c r="F63" t="n">
        <v>25025.18</v>
      </c>
      <c r="G63" t="n">
        <v>25654.31</v>
      </c>
      <c r="H63" t="n">
        <v>27832.04</v>
      </c>
      <c r="I63" t="n">
        <v>26488.97</v>
      </c>
      <c r="J63" t="n">
        <v>35112.19</v>
      </c>
      <c r="K63" t="n">
        <v>41852.06</v>
      </c>
    </row>
    <row r="64" customFormat="1" s="24">
      <c r="A64" s="24" t="inlineStr">
        <is>
          <t>Total</t>
        </is>
      </c>
      <c r="B64" t="n">
        <v>61697.72</v>
      </c>
      <c r="C64" t="n">
        <v>63940.06</v>
      </c>
      <c r="D64" t="n">
        <v>64489.83</v>
      </c>
      <c r="E64" t="n">
        <v>60291.01</v>
      </c>
      <c r="F64" t="n">
        <v>55959.73</v>
      </c>
      <c r="G64" t="n">
        <v>56990.84</v>
      </c>
      <c r="H64" t="n">
        <v>57663.81</v>
      </c>
      <c r="I64" t="n">
        <v>59784.08</v>
      </c>
      <c r="J64" t="n">
        <v>68848.95</v>
      </c>
      <c r="K64" t="n">
        <v>76185.61</v>
      </c>
    </row>
    <row r="65">
      <c r="A65" s="29" t="inlineStr">
        <is>
          <t>Net Block</t>
        </is>
      </c>
      <c r="B65" t="n">
        <v>3601.19</v>
      </c>
      <c r="C65" t="n">
        <v>3073.21</v>
      </c>
      <c r="D65" t="n">
        <v>2970.46</v>
      </c>
      <c r="E65" t="n">
        <v>2817.12</v>
      </c>
      <c r="F65" t="n">
        <v>2491.14</v>
      </c>
      <c r="G65" t="n">
        <v>2398.46</v>
      </c>
      <c r="H65" t="n">
        <v>2475.98</v>
      </c>
      <c r="I65" t="n">
        <v>2574.04</v>
      </c>
      <c r="J65" t="n">
        <v>2947.18</v>
      </c>
      <c r="K65" t="n">
        <v>3094.38</v>
      </c>
    </row>
    <row r="66">
      <c r="A66" s="29" t="inlineStr">
        <is>
          <t>Capital Work in Progress</t>
        </is>
      </c>
      <c r="B66" t="n">
        <v>168.34</v>
      </c>
      <c r="C66" t="n">
        <v>202.76</v>
      </c>
      <c r="D66" t="n">
        <v>235.44</v>
      </c>
      <c r="E66" t="n">
        <v>314</v>
      </c>
      <c r="F66" t="n">
        <v>419.56</v>
      </c>
      <c r="G66" t="n">
        <v>430.98</v>
      </c>
      <c r="H66" t="n">
        <v>353.85</v>
      </c>
      <c r="I66" t="n">
        <v>308.36</v>
      </c>
      <c r="J66" t="n">
        <v>195.43</v>
      </c>
      <c r="K66" t="n">
        <v>399.2</v>
      </c>
    </row>
    <row r="67">
      <c r="A67" s="29" t="inlineStr">
        <is>
          <t>Investments</t>
        </is>
      </c>
      <c r="B67" t="n">
        <v>757.13</v>
      </c>
      <c r="C67" t="n">
        <v>428.97</v>
      </c>
      <c r="D67" t="n">
        <v>152.36</v>
      </c>
      <c r="E67" t="n">
        <v>162.06</v>
      </c>
      <c r="F67" t="n">
        <v>185.34</v>
      </c>
      <c r="G67" t="n">
        <v>205.15</v>
      </c>
      <c r="H67" t="n">
        <v>235.42</v>
      </c>
      <c r="I67" t="n">
        <v>255.67</v>
      </c>
      <c r="J67" t="n">
        <v>275.57</v>
      </c>
      <c r="K67" t="n">
        <v>302.06</v>
      </c>
    </row>
    <row r="68">
      <c r="A68" s="29" t="inlineStr">
        <is>
          <t>Other Assets</t>
        </is>
      </c>
      <c r="B68" t="n">
        <v>57171.06</v>
      </c>
      <c r="C68" t="n">
        <v>60235.12</v>
      </c>
      <c r="D68" t="n">
        <v>61131.57</v>
      </c>
      <c r="E68" t="n">
        <v>56997.83</v>
      </c>
      <c r="F68" t="n">
        <v>52863.69</v>
      </c>
      <c r="G68" t="n">
        <v>53956.25</v>
      </c>
      <c r="H68" t="n">
        <v>54598.56</v>
      </c>
      <c r="I68" t="n">
        <v>56646.01</v>
      </c>
      <c r="J68" t="n">
        <v>65430.77</v>
      </c>
      <c r="K68" t="n">
        <v>72389.97</v>
      </c>
    </row>
    <row r="69" customFormat="1" s="24">
      <c r="A69" s="24" t="inlineStr">
        <is>
          <t>Total</t>
        </is>
      </c>
      <c r="B69" t="n">
        <v>61697.72</v>
      </c>
      <c r="C69" t="n">
        <v>63940.06</v>
      </c>
      <c r="D69" t="n">
        <v>64489.83</v>
      </c>
      <c r="E69" t="n">
        <v>60291.01</v>
      </c>
      <c r="F69" t="n">
        <v>55959.73</v>
      </c>
      <c r="G69" t="n">
        <v>56990.84</v>
      </c>
      <c r="H69" t="n">
        <v>57663.81</v>
      </c>
      <c r="I69" t="n">
        <v>59784.08</v>
      </c>
      <c r="J69" t="n">
        <v>68848.95</v>
      </c>
      <c r="K69" t="n">
        <v>76185.61</v>
      </c>
    </row>
    <row r="70" customFormat="1" s="29">
      <c r="A70" s="29" t="inlineStr">
        <is>
          <t>Receivables</t>
        </is>
      </c>
      <c r="B70" t="n">
        <v>22077.58</v>
      </c>
      <c r="C70" t="n">
        <v>14064.68</v>
      </c>
      <c r="D70" t="n">
        <v>11863.14</v>
      </c>
      <c r="E70" t="n">
        <v>7108.6</v>
      </c>
      <c r="F70" t="n">
        <v>4035.07</v>
      </c>
      <c r="G70" t="n">
        <v>3024.75</v>
      </c>
      <c r="H70" t="n">
        <v>3128.35</v>
      </c>
      <c r="I70" t="n">
        <v>4785.38</v>
      </c>
      <c r="J70" t="n">
        <v>5884.35</v>
      </c>
      <c r="K70" t="n">
        <v>6796.27</v>
      </c>
    </row>
    <row r="71">
      <c r="A71" s="29" t="inlineStr">
        <is>
          <t>Inventory</t>
        </is>
      </c>
      <c r="B71" t="n">
        <v>7729.94</v>
      </c>
      <c r="C71" t="n">
        <v>6729.6</v>
      </c>
      <c r="D71" t="n">
        <v>8355.559999999999</v>
      </c>
      <c r="E71" t="n">
        <v>9450.68</v>
      </c>
      <c r="F71" t="n">
        <v>7913.97</v>
      </c>
      <c r="G71" t="n">
        <v>7307.29</v>
      </c>
      <c r="H71" t="n">
        <v>7499.69</v>
      </c>
      <c r="I71" t="n">
        <v>8002.73</v>
      </c>
      <c r="J71" t="n">
        <v>10635.26</v>
      </c>
      <c r="K71" t="n">
        <v>13334.58</v>
      </c>
    </row>
    <row r="72">
      <c r="A72" s="25" t="inlineStr">
        <is>
          <t>Cash &amp; Bank</t>
        </is>
      </c>
      <c r="B72" t="n">
        <v>10493.55</v>
      </c>
      <c r="C72" t="n">
        <v>11176.28</v>
      </c>
      <c r="D72" t="n">
        <v>7503.54</v>
      </c>
      <c r="E72" t="n">
        <v>6418.59</v>
      </c>
      <c r="F72" t="n">
        <v>6701.45</v>
      </c>
      <c r="G72" t="n">
        <v>7153.69</v>
      </c>
      <c r="H72" t="n">
        <v>6698.07</v>
      </c>
      <c r="I72" t="n">
        <v>6157.47</v>
      </c>
      <c r="J72" t="n">
        <v>7612.41</v>
      </c>
      <c r="K72" t="n">
        <v>11866.62</v>
      </c>
    </row>
    <row r="73">
      <c r="A73" s="25" t="inlineStr">
        <is>
          <t>No. of Equity Shares</t>
        </is>
      </c>
      <c r="B73" t="n">
        <v>2447600000</v>
      </c>
      <c r="C73" t="n">
        <v>3671400000</v>
      </c>
      <c r="D73" t="n">
        <v>3482063355</v>
      </c>
      <c r="E73" t="n">
        <v>3482063355</v>
      </c>
      <c r="F73" t="n">
        <v>3482063355</v>
      </c>
      <c r="G73" t="n">
        <v>3482063355</v>
      </c>
      <c r="H73" t="n">
        <v>3482063355</v>
      </c>
      <c r="I73" t="n">
        <v>3482063355</v>
      </c>
      <c r="J73" t="n">
        <v>3482063355</v>
      </c>
    </row>
    <row r="74">
      <c r="A74" s="25" t="inlineStr">
        <is>
          <t>New Bonus Shares</t>
        </is>
      </c>
      <c r="C74" t="n">
        <v>1223800000</v>
      </c>
      <c r="D74" t="n">
        <v>1223800000</v>
      </c>
    </row>
    <row r="75">
      <c r="A75" s="25" t="inlineStr">
        <is>
          <t>Face value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</row>
    <row r="77">
      <c r="A77" s="29" t="n"/>
    </row>
    <row r="78">
      <c r="A78" s="29" t="n"/>
    </row>
    <row r="79">
      <c r="A79" s="29" t="n"/>
    </row>
    <row r="80">
      <c r="A80" s="29" t="n"/>
    </row>
    <row r="81">
      <c r="A81" s="29" t="n"/>
    </row>
    <row r="82">
      <c r="A82" s="29" t="n"/>
    </row>
    <row r="83">
      <c r="A83" s="24" t="inlineStr">
        <is>
          <t>CASH FLOW:</t>
        </is>
      </c>
    </row>
    <row r="84" customFormat="1" s="50">
      <c r="A84" s="51" t="inlineStr">
        <is>
          <t>Report Date</t>
        </is>
      </c>
      <c r="B84" s="52" t="n">
        <v>42825</v>
      </c>
      <c r="C84" s="52" t="n">
        <v>43190</v>
      </c>
      <c r="D84" s="52" t="n">
        <v>43555</v>
      </c>
      <c r="E84" s="52" t="n">
        <v>43921</v>
      </c>
      <c r="F84" s="52" t="n">
        <v>44286</v>
      </c>
      <c r="G84" s="52" t="n">
        <v>44651</v>
      </c>
      <c r="H84" s="52" t="n">
        <v>45016</v>
      </c>
      <c r="I84" s="52" t="n">
        <v>45382</v>
      </c>
      <c r="J84" s="52" t="n">
        <v>45747</v>
      </c>
      <c r="K84" s="52" t="n">
        <v>46112</v>
      </c>
    </row>
    <row r="85" customFormat="1" s="24">
      <c r="A85" s="29" t="inlineStr">
        <is>
          <t>Cash from Operating Activity</t>
        </is>
      </c>
      <c r="B85" t="n">
        <v>560.41</v>
      </c>
      <c r="C85" t="n">
        <v>989.0700000000001</v>
      </c>
      <c r="D85" t="n">
        <v>-3860.15</v>
      </c>
      <c r="E85" t="n">
        <v>-2891.5</v>
      </c>
      <c r="F85" t="n">
        <v>559.95</v>
      </c>
      <c r="G85" t="n">
        <v>660.25</v>
      </c>
      <c r="H85" t="n">
        <v>-740.7</v>
      </c>
      <c r="I85" t="n">
        <v>-3712.9</v>
      </c>
      <c r="J85" t="n">
        <v>2191.89</v>
      </c>
      <c r="K85" t="n">
        <v>5837.38</v>
      </c>
    </row>
    <row r="86" customFormat="1" s="29">
      <c r="A86" s="29" t="inlineStr">
        <is>
          <t>Cash from Investing Activity</t>
        </is>
      </c>
      <c r="B86" t="n">
        <v>-565.16</v>
      </c>
      <c r="C86" t="n">
        <v>961.21</v>
      </c>
      <c r="D86" t="n">
        <v>1918.85</v>
      </c>
      <c r="E86" t="n">
        <v>1877.06</v>
      </c>
      <c r="F86" t="n">
        <v>-42.5</v>
      </c>
      <c r="G86" t="n">
        <v>-1118.04</v>
      </c>
      <c r="H86" t="n">
        <v>1480.46</v>
      </c>
      <c r="I86" t="n">
        <v>1330.86</v>
      </c>
      <c r="J86" t="n">
        <v>-2730.91</v>
      </c>
      <c r="K86" t="n">
        <v>-3035.41</v>
      </c>
    </row>
    <row r="87" customFormat="1" s="29">
      <c r="A87" s="29" t="inlineStr">
        <is>
          <t>Cash from Financing Activity</t>
        </is>
      </c>
      <c r="B87" t="n">
        <v>-467.87</v>
      </c>
      <c r="C87" t="n">
        <v>-667.39</v>
      </c>
      <c r="D87" t="n">
        <v>-31.64</v>
      </c>
      <c r="E87" t="n">
        <v>1621.99</v>
      </c>
      <c r="F87" t="n">
        <v>-394.15</v>
      </c>
      <c r="G87" t="n">
        <v>-329.49</v>
      </c>
      <c r="H87" t="n">
        <v>88.95999999999999</v>
      </c>
      <c r="I87" t="n">
        <v>2655.74</v>
      </c>
      <c r="J87" t="n">
        <v>-856.8099999999999</v>
      </c>
      <c r="K87" t="n">
        <v>-1805.73</v>
      </c>
    </row>
    <row r="88" customFormat="1" s="24">
      <c r="A88" s="29" t="inlineStr">
        <is>
          <t>Net Cash Flow</t>
        </is>
      </c>
      <c r="B88" t="n">
        <v>-472.62</v>
      </c>
      <c r="C88" t="n">
        <v>1282.89</v>
      </c>
      <c r="D88" t="n">
        <v>-1972.94</v>
      </c>
      <c r="E88" t="n">
        <v>607.55</v>
      </c>
      <c r="F88" t="n">
        <v>123.3</v>
      </c>
      <c r="G88" t="n">
        <v>-787.28</v>
      </c>
      <c r="H88" t="n">
        <v>828.72</v>
      </c>
      <c r="I88" t="n">
        <v>273.7</v>
      </c>
      <c r="J88" t="n">
        <v>-1395.83</v>
      </c>
      <c r="K88" t="n">
        <v>996.24</v>
      </c>
    </row>
    <row r="89">
      <c r="A89" s="29" t="n"/>
    </row>
    <row r="90">
      <c r="A90" s="29" t="n"/>
    </row>
    <row r="91">
      <c r="A91" s="29" t="n"/>
    </row>
    <row r="92">
      <c r="A92" s="29" t="n"/>
    </row>
    <row r="93" customFormat="1" s="24">
      <c r="A93" s="24" t="inlineStr">
        <is>
          <t>PRICE:</t>
        </is>
      </c>
      <c r="B93" t="n">
        <v>108.57</v>
      </c>
      <c r="C93" t="n">
        <v>81.34999999999999</v>
      </c>
      <c r="D93" t="n">
        <v>74.95</v>
      </c>
      <c r="E93" t="n">
        <v>20.8</v>
      </c>
      <c r="F93" t="n">
        <v>48.75</v>
      </c>
      <c r="G93" t="n">
        <v>49.35</v>
      </c>
      <c r="H93" t="n">
        <v>70.05</v>
      </c>
      <c r="I93" t="n">
        <v>247.3</v>
      </c>
      <c r="J93" t="n">
        <v>216.43</v>
      </c>
      <c r="K93" t="n">
        <v>245.5</v>
      </c>
    </row>
    <row r="95" customFormat="1" s="24">
      <c r="A95" s="24" t="inlineStr">
        <is>
          <t>DERIVED:</t>
        </is>
      </c>
    </row>
    <row r="96">
      <c r="A96" s="25" t="inlineStr">
        <is>
          <t>Adjusted Equity Shares in Cr</t>
        </is>
      </c>
      <c r="B96" s="25" t="n">
        <v>367.14</v>
      </c>
      <c r="C96" s="25" t="n">
        <v>367.14</v>
      </c>
      <c r="D96" s="25" t="n">
        <v>348.21</v>
      </c>
      <c r="E96" s="25" t="n">
        <v>348.21</v>
      </c>
      <c r="F96" s="25" t="n">
        <v>348.21</v>
      </c>
      <c r="G96" s="25" t="n">
        <v>348.21</v>
      </c>
      <c r="H96" s="25" t="n">
        <v>348.21</v>
      </c>
      <c r="I96" s="25" t="n">
        <v>348.21</v>
      </c>
      <c r="J96" s="25" t="n">
        <v>348.21</v>
      </c>
      <c r="K96" s="25" t="n">
        <v>348.21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2"/>
  <sheetViews>
    <sheetView showGridLines="0" topLeftCell="A3" workbookViewId="0">
      <selection activeCell="H17" sqref="H17"/>
    </sheetView>
  </sheetViews>
  <sheetFormatPr baseColWidth="8" defaultRowHeight="14.4"/>
  <cols>
    <col width="50.88671875" bestFit="1" customWidth="1" style="46" min="1" max="1"/>
    <col width="9.88671875" bestFit="1" customWidth="1" style="46" min="2" max="6"/>
    <col width="9.88671875" bestFit="1" customWidth="1" style="46" min="8" max="9"/>
    <col width="9.88671875" bestFit="1" customWidth="1" style="46" min="25" max="35"/>
  </cols>
  <sheetData>
    <row r="1">
      <c r="A1" t="inlineStr">
        <is>
          <t>Indicator</t>
        </is>
      </c>
      <c r="C1" s="30" t="inlineStr">
        <is>
          <t>Mar 20</t>
        </is>
      </c>
      <c r="D1" s="30" t="inlineStr">
        <is>
          <t>Mar 21</t>
        </is>
      </c>
      <c r="E1" s="30" t="inlineStr">
        <is>
          <t>Mar 22</t>
        </is>
      </c>
      <c r="F1" s="30" t="inlineStr">
        <is>
          <t>Mar 23</t>
        </is>
      </c>
      <c r="G1" s="30" t="inlineStr">
        <is>
          <t>Mar 24</t>
        </is>
      </c>
      <c r="H1" s="30" t="inlineStr">
        <is>
          <t>Mar 25</t>
        </is>
      </c>
      <c r="I1" s="30" t="inlineStr">
        <is>
          <t>Mar 26</t>
        </is>
      </c>
      <c r="Y1" s="30" t="inlineStr">
        <is>
          <t>Mar 19</t>
        </is>
      </c>
      <c r="Z1" s="30" t="inlineStr">
        <is>
          <t>Mar 18</t>
        </is>
      </c>
      <c r="AA1" s="30" t="inlineStr">
        <is>
          <t>Mar 17</t>
        </is>
      </c>
      <c r="AB1" s="30" t="inlineStr">
        <is>
          <t>Mar 16</t>
        </is>
      </c>
      <c r="AC1" s="30" t="inlineStr">
        <is>
          <t>Mar 15</t>
        </is>
      </c>
      <c r="AD1" s="30" t="inlineStr">
        <is>
          <t>Mar 14</t>
        </is>
      </c>
      <c r="AE1" s="30" t="inlineStr">
        <is>
          <t>Mar 13</t>
        </is>
      </c>
      <c r="AF1" s="30" t="inlineStr">
        <is>
          <t>Mar 12</t>
        </is>
      </c>
      <c r="AG1" s="30" t="inlineStr">
        <is>
          <t>Mar 11</t>
        </is>
      </c>
      <c r="AH1" s="30" t="inlineStr">
        <is>
          <t>Mar 10</t>
        </is>
      </c>
      <c r="AI1" s="30" t="inlineStr">
        <is>
          <t>Mar 09</t>
        </is>
      </c>
    </row>
    <row r="2">
      <c r="A2" t="inlineStr">
        <is>
          <t>INCOME</t>
        </is>
      </c>
      <c r="C2" s="30" t="inlineStr"/>
      <c r="D2" s="30" t="inlineStr"/>
      <c r="E2" s="30" t="inlineStr"/>
      <c r="F2" s="30" t="inlineStr"/>
      <c r="G2" s="30" t="inlineStr"/>
      <c r="H2" s="30" t="inlineStr"/>
      <c r="I2" s="30" t="inlineStr"/>
      <c r="Y2" s="30" t="inlineStr"/>
      <c r="Z2" s="30" t="inlineStr"/>
      <c r="AA2" s="30" t="inlineStr"/>
      <c r="AB2" s="30" t="inlineStr"/>
      <c r="AC2" s="30" t="inlineStr"/>
      <c r="AD2" s="30" t="inlineStr"/>
      <c r="AE2" s="30" t="inlineStr"/>
      <c r="AF2" s="30" t="inlineStr"/>
      <c r="AG2" s="30" t="inlineStr"/>
      <c r="AH2" s="30" t="inlineStr"/>
      <c r="AI2" s="30" t="inlineStr"/>
    </row>
    <row r="3">
      <c r="A3" t="inlineStr">
        <is>
          <t>Revenue From Operations [Gross]</t>
        </is>
      </c>
      <c r="C3" s="33" t="n">
        <v>20494.59</v>
      </c>
      <c r="D3" s="33" t="n">
        <v>16295.8</v>
      </c>
      <c r="E3" s="33" t="n">
        <v>20153.38</v>
      </c>
      <c r="F3" s="33" t="n">
        <v>22136.3</v>
      </c>
      <c r="G3" s="33" t="n">
        <v>22920.52</v>
      </c>
      <c r="H3" s="33" t="n">
        <v>27355.17</v>
      </c>
      <c r="I3" s="33" t="n">
        <v>33782.18</v>
      </c>
      <c r="L3">
        <f>VALUE(C3)</f>
        <v/>
      </c>
      <c r="M3">
        <f>VALUE(D3)</f>
        <v/>
      </c>
      <c r="N3">
        <f>VALUE(E3)</f>
        <v/>
      </c>
      <c r="O3">
        <f>VALUE(F3)</f>
        <v/>
      </c>
      <c r="P3">
        <f>VALUE(G3)</f>
        <v/>
      </c>
      <c r="Q3">
        <f>VALUE(H3)</f>
        <v/>
      </c>
      <c r="R3">
        <f>VALUE(I3)</f>
        <v/>
      </c>
      <c r="Y3" s="30" t="inlineStr">
        <is>
          <t>29,441.59</t>
        </is>
      </c>
      <c r="Z3" s="30" t="inlineStr">
        <is>
          <t>28,112.82</t>
        </is>
      </c>
      <c r="AA3" s="30" t="inlineStr">
        <is>
          <t>28,871.89</t>
        </is>
      </c>
      <c r="AB3" s="30" t="inlineStr">
        <is>
          <t>27,541.19</t>
        </is>
      </c>
      <c r="AC3" s="30" t="inlineStr">
        <is>
          <t>31,554.76</t>
        </is>
      </c>
      <c r="AD3" s="30" t="inlineStr">
        <is>
          <t>40,801.99</t>
        </is>
      </c>
      <c r="AE3" s="30" t="inlineStr">
        <is>
          <t>50,672.84</t>
        </is>
      </c>
      <c r="AF3" s="30" t="inlineStr">
        <is>
          <t>49,897.57</t>
        </is>
      </c>
      <c r="AG3" s="30" t="inlineStr">
        <is>
          <t>43,635.73</t>
        </is>
      </c>
      <c r="AH3" s="30" t="inlineStr">
        <is>
          <t>34,687.55</t>
        </is>
      </c>
      <c r="AI3" s="30" t="inlineStr">
        <is>
          <t>28,564.81</t>
        </is>
      </c>
    </row>
    <row r="4">
      <c r="A4" t="inlineStr">
        <is>
          <t>Less: Excise/Sevice Tax/Other Levies</t>
        </is>
      </c>
      <c r="C4" s="33" t="n">
        <v>0</v>
      </c>
      <c r="D4" s="33" t="n">
        <v>0</v>
      </c>
      <c r="E4" s="33" t="n">
        <v>0</v>
      </c>
      <c r="F4" s="33" t="n">
        <v>0</v>
      </c>
      <c r="G4" s="33" t="n">
        <v>0</v>
      </c>
      <c r="H4" s="33" t="n">
        <v>0</v>
      </c>
      <c r="I4" s="33" t="n">
        <v>0</v>
      </c>
      <c r="L4">
        <f>VALUE(C4)</f>
        <v/>
      </c>
      <c r="M4">
        <f>VALUE(D4)</f>
        <v/>
      </c>
      <c r="N4">
        <f>VALUE(E4)</f>
        <v/>
      </c>
      <c r="O4">
        <f>VALUE(F4)</f>
        <v/>
      </c>
      <c r="P4">
        <f>VALUE(G4)</f>
        <v/>
      </c>
      <c r="Q4">
        <f>VALUE(H4)</f>
        <v/>
      </c>
      <c r="R4">
        <f>VALUE(I4)</f>
        <v/>
      </c>
      <c r="Y4" s="30" t="inlineStr">
        <is>
          <t>0.00</t>
        </is>
      </c>
      <c r="Z4" s="30" t="inlineStr">
        <is>
          <t>135.04</t>
        </is>
      </c>
      <c r="AA4" s="30" t="inlineStr">
        <is>
          <t>1,254.47</t>
        </is>
      </c>
      <c r="AB4" s="30" t="inlineStr">
        <is>
          <t>1,451.02</t>
        </is>
      </c>
      <c r="AC4" s="30" t="inlineStr">
        <is>
          <t>1,407.24</t>
        </is>
      </c>
      <c r="AD4" s="30" t="inlineStr">
        <is>
          <t>1,953.70</t>
        </is>
      </c>
      <c r="AE4" s="30" t="inlineStr">
        <is>
          <t>2,566.53</t>
        </is>
      </c>
      <c r="AF4" s="30" t="inlineStr">
        <is>
          <t>2,298.62</t>
        </is>
      </c>
      <c r="AG4" s="30" t="inlineStr">
        <is>
          <t>1,781.07</t>
        </is>
      </c>
      <c r="AH4" s="30" t="inlineStr">
        <is>
          <t>1,394.28</t>
        </is>
      </c>
      <c r="AI4" s="30" t="inlineStr">
        <is>
          <t>1,896.03</t>
        </is>
      </c>
    </row>
    <row r="5" ht="15.6" customHeight="1" s="46">
      <c r="A5" s="31" t="inlineStr">
        <is>
          <t>Revenue From Operations [Net]</t>
        </is>
      </c>
      <c r="C5" s="34" t="n">
        <v>20494.59</v>
      </c>
      <c r="D5" s="34" t="n">
        <v>16295.8</v>
      </c>
      <c r="E5" s="34" t="n">
        <v>20153.38</v>
      </c>
      <c r="F5" s="34" t="n">
        <v>22136.3</v>
      </c>
      <c r="G5" s="34" t="n">
        <v>22920.52</v>
      </c>
      <c r="H5" s="34" t="n">
        <v>27355.17</v>
      </c>
      <c r="I5" s="34" t="n">
        <v>33782.18</v>
      </c>
      <c r="L5">
        <f>VALUE(C5)</f>
        <v/>
      </c>
      <c r="M5">
        <f>VALUE(D5)</f>
        <v/>
      </c>
      <c r="N5">
        <f>VALUE(E5)</f>
        <v/>
      </c>
      <c r="O5">
        <f>VALUE(F5)</f>
        <v/>
      </c>
      <c r="P5">
        <f>VALUE(G5)</f>
        <v/>
      </c>
      <c r="Q5">
        <f>VALUE(H5)</f>
        <v/>
      </c>
      <c r="R5">
        <f>VALUE(I5)</f>
        <v/>
      </c>
      <c r="Y5" s="32" t="inlineStr">
        <is>
          <t>29,441.59</t>
        </is>
      </c>
      <c r="Z5" s="32" t="inlineStr">
        <is>
          <t>27,977.78</t>
        </is>
      </c>
      <c r="AA5" s="32" t="inlineStr">
        <is>
          <t>27,617.42</t>
        </is>
      </c>
      <c r="AB5" s="32" t="inlineStr">
        <is>
          <t>26,090.17</t>
        </is>
      </c>
      <c r="AC5" s="32" t="inlineStr">
        <is>
          <t>30,147.52</t>
        </is>
      </c>
      <c r="AD5" s="32" t="inlineStr">
        <is>
          <t>38,848.29</t>
        </is>
      </c>
      <c r="AE5" s="32" t="inlineStr">
        <is>
          <t>48,106.31</t>
        </is>
      </c>
      <c r="AF5" s="32" t="inlineStr">
        <is>
          <t>47,598.95</t>
        </is>
      </c>
      <c r="AG5" s="32" t="inlineStr">
        <is>
          <t>41,854.66</t>
        </is>
      </c>
      <c r="AH5" s="32" t="inlineStr">
        <is>
          <t>33,293.27</t>
        </is>
      </c>
      <c r="AI5" s="32" t="inlineStr">
        <is>
          <t>26,668.78</t>
        </is>
      </c>
    </row>
    <row r="6">
      <c r="A6" t="inlineStr">
        <is>
          <t>Total Operating Revenues</t>
        </is>
      </c>
      <c r="C6" s="33" t="n">
        <v>21463.14</v>
      </c>
      <c r="D6" s="33" t="n">
        <v>17308.69</v>
      </c>
      <c r="E6" s="33" t="n">
        <v>21211.09</v>
      </c>
      <c r="F6" s="33" t="n">
        <v>23364.94</v>
      </c>
      <c r="G6" s="33" t="n">
        <v>23892.78</v>
      </c>
      <c r="H6" s="33" t="n">
        <v>28339.48</v>
      </c>
      <c r="I6" s="33" t="n">
        <v>33782.18</v>
      </c>
      <c r="L6">
        <f>VALUE(C6)</f>
        <v/>
      </c>
      <c r="M6">
        <f>VALUE(D6)</f>
        <v/>
      </c>
      <c r="N6">
        <f>VALUE(E6)</f>
        <v/>
      </c>
      <c r="O6">
        <f>VALUE(F6)</f>
        <v/>
      </c>
      <c r="P6">
        <f>VALUE(G6)</f>
        <v/>
      </c>
      <c r="Q6">
        <f>VALUE(H6)</f>
        <v/>
      </c>
      <c r="R6">
        <f>VALUE(I6)</f>
        <v/>
      </c>
      <c r="Y6" s="30" t="inlineStr">
        <is>
          <t>30,441.38</t>
        </is>
      </c>
      <c r="Z6" s="30" t="inlineStr">
        <is>
          <t>28,940.42</t>
        </is>
      </c>
      <c r="AA6" s="30" t="inlineStr">
        <is>
          <t>28,477.03</t>
        </is>
      </c>
      <c r="AB6" s="30" t="inlineStr">
        <is>
          <t>26,678.52</t>
        </is>
      </c>
      <c r="AC6" s="30" t="inlineStr">
        <is>
          <t>30,788.59</t>
        </is>
      </c>
      <c r="AD6" s="30" t="inlineStr">
        <is>
          <t>39,569.41</t>
        </is>
      </c>
      <c r="AE6" s="30" t="inlineStr">
        <is>
          <t>48,915.84</t>
        </is>
      </c>
      <c r="AF6" s="30" t="inlineStr">
        <is>
          <t>48,355.22</t>
        </is>
      </c>
      <c r="AG6" s="30" t="inlineStr">
        <is>
          <t>42,538.24</t>
        </is>
      </c>
      <c r="AH6" s="30" t="inlineStr">
        <is>
          <t>33,293.27</t>
        </is>
      </c>
      <c r="AI6" s="30" t="inlineStr">
        <is>
          <t>26,668.78</t>
        </is>
      </c>
    </row>
    <row r="7" ht="15.6" customHeight="1" s="46">
      <c r="A7" s="31" t="inlineStr">
        <is>
          <t>Other Income</t>
        </is>
      </c>
      <c r="C7" s="34" t="n">
        <v>564.3</v>
      </c>
      <c r="D7" s="34" t="n">
        <v>348.42</v>
      </c>
      <c r="E7" s="34" t="n">
        <v>354.54</v>
      </c>
      <c r="F7" s="34" t="n">
        <v>488.63</v>
      </c>
      <c r="G7" s="34" t="n">
        <v>546.27</v>
      </c>
      <c r="H7" s="34" t="n">
        <v>465.31</v>
      </c>
      <c r="I7" s="34" t="n">
        <v>807.65</v>
      </c>
      <c r="L7">
        <f>VALUE(C7)</f>
        <v/>
      </c>
      <c r="M7">
        <f>VALUE(D7)</f>
        <v/>
      </c>
      <c r="N7">
        <f>VALUE(E7)</f>
        <v/>
      </c>
      <c r="O7">
        <f>VALUE(F7)</f>
        <v/>
      </c>
      <c r="P7">
        <f>VALUE(G7)</f>
        <v/>
      </c>
      <c r="Q7">
        <f>VALUE(H7)</f>
        <v/>
      </c>
      <c r="R7">
        <f>VALUE(I7)</f>
        <v/>
      </c>
      <c r="Y7" s="32" t="inlineStr">
        <is>
          <t>661.52</t>
        </is>
      </c>
      <c r="Z7" s="32" t="inlineStr">
        <is>
          <t>678.01</t>
        </is>
      </c>
      <c r="AA7" s="32" t="inlineStr">
        <is>
          <t>753.19</t>
        </is>
      </c>
      <c r="AB7" s="32" t="inlineStr">
        <is>
          <t>1,476.43</t>
        </is>
      </c>
      <c r="AC7" s="32" t="inlineStr">
        <is>
          <t>1,230.59</t>
        </is>
      </c>
      <c r="AD7" s="32" t="inlineStr">
        <is>
          <t>1,623.02</t>
        </is>
      </c>
      <c r="AE7" s="32" t="inlineStr">
        <is>
          <t>1,128.76</t>
        </is>
      </c>
      <c r="AF7" s="32" t="inlineStr">
        <is>
          <t>1,272.03</t>
        </is>
      </c>
      <c r="AG7" s="32" t="inlineStr">
        <is>
          <t>1,026.93</t>
        </is>
      </c>
      <c r="AH7" s="32" t="inlineStr">
        <is>
          <t>1,429.24</t>
        </is>
      </c>
      <c r="AI7" s="32" t="inlineStr">
        <is>
          <t>1,252.44</t>
        </is>
      </c>
    </row>
    <row r="8" ht="15.6" customHeight="1" s="46">
      <c r="A8" s="31" t="inlineStr">
        <is>
          <t>Total Revenue</t>
        </is>
      </c>
      <c r="C8" s="34" t="n">
        <v>22027.44</v>
      </c>
      <c r="D8" s="34" t="n">
        <v>17657.11</v>
      </c>
      <c r="E8" s="34" t="n">
        <v>21565.63</v>
      </c>
      <c r="F8" s="34" t="n">
        <v>23853.57</v>
      </c>
      <c r="G8" s="34" t="n">
        <v>24439.05</v>
      </c>
      <c r="H8" s="34" t="n">
        <v>28804.79</v>
      </c>
      <c r="I8" s="34" t="n">
        <v>34589.83</v>
      </c>
      <c r="L8">
        <f>VALUE(C8)</f>
        <v/>
      </c>
      <c r="M8">
        <f>VALUE(D8)</f>
        <v/>
      </c>
      <c r="N8">
        <f>VALUE(E8)</f>
        <v/>
      </c>
      <c r="O8">
        <f>VALUE(F8)</f>
        <v/>
      </c>
      <c r="P8">
        <f>VALUE(G8)</f>
        <v/>
      </c>
      <c r="Q8">
        <f>VALUE(H8)</f>
        <v/>
      </c>
      <c r="R8">
        <f>VALUE(I8)</f>
        <v/>
      </c>
      <c r="Y8" s="32" t="inlineStr">
        <is>
          <t>31,102.90</t>
        </is>
      </c>
      <c r="Z8" s="32" t="inlineStr">
        <is>
          <t>29,618.43</t>
        </is>
      </c>
      <c r="AA8" s="32" t="inlineStr">
        <is>
          <t>29,230.22</t>
        </is>
      </c>
      <c r="AB8" s="32" t="inlineStr">
        <is>
          <t>28,154.95</t>
        </is>
      </c>
      <c r="AC8" s="32" t="inlineStr">
        <is>
          <t>32,019.18</t>
        </is>
      </c>
      <c r="AD8" s="32" t="inlineStr">
        <is>
          <t>41,192.43</t>
        </is>
      </c>
      <c r="AE8" s="32" t="inlineStr">
        <is>
          <t>50,044.60</t>
        </is>
      </c>
      <c r="AF8" s="32" t="inlineStr">
        <is>
          <t>49,627.25</t>
        </is>
      </c>
      <c r="AG8" s="32" t="inlineStr">
        <is>
          <t>43,565.17</t>
        </is>
      </c>
      <c r="AH8" s="32" t="inlineStr">
        <is>
          <t>34,722.51</t>
        </is>
      </c>
      <c r="AI8" s="32" t="inlineStr">
        <is>
          <t>27,921.22</t>
        </is>
      </c>
    </row>
    <row r="9">
      <c r="A9" t="inlineStr">
        <is>
          <t>EXPENSES</t>
        </is>
      </c>
      <c r="C9" s="33" t="n"/>
      <c r="D9" s="33" t="n"/>
      <c r="E9" s="33" t="n"/>
      <c r="F9" s="33" t="n"/>
      <c r="G9" s="33" t="n"/>
      <c r="H9" s="33" t="n"/>
      <c r="I9" s="33" t="n"/>
      <c r="Y9" s="30" t="inlineStr"/>
      <c r="Z9" s="30" t="inlineStr"/>
      <c r="AA9" s="30" t="inlineStr"/>
      <c r="AB9" s="30" t="inlineStr"/>
      <c r="AC9" s="30" t="inlineStr"/>
      <c r="AD9" s="30" t="inlineStr"/>
      <c r="AE9" s="30" t="inlineStr"/>
      <c r="AF9" s="30" t="inlineStr"/>
      <c r="AG9" s="30" t="inlineStr"/>
      <c r="AH9" s="30" t="inlineStr"/>
      <c r="AI9" s="30" t="inlineStr"/>
    </row>
    <row r="10">
      <c r="A10" t="inlineStr">
        <is>
          <t>Cost Of Materials Consumed</t>
        </is>
      </c>
      <c r="C10" s="33" t="n">
        <v>12134.55</v>
      </c>
      <c r="D10" s="33" t="n">
        <v>8447.299999999999</v>
      </c>
      <c r="E10" s="33" t="n">
        <v>5327.07</v>
      </c>
      <c r="F10" s="33" t="n">
        <v>6279.46</v>
      </c>
      <c r="G10" s="33" t="n">
        <v>6466.55</v>
      </c>
      <c r="H10" s="33" t="n">
        <v>8640.26</v>
      </c>
      <c r="I10" s="33" t="n">
        <v>24274.28</v>
      </c>
      <c r="L10">
        <f>VALUE(C10)</f>
        <v/>
      </c>
      <c r="M10">
        <f>VALUE(D10)</f>
        <v/>
      </c>
      <c r="N10">
        <f>VALUE(E10)</f>
        <v/>
      </c>
      <c r="O10">
        <f>VALUE(F10)</f>
        <v/>
      </c>
      <c r="P10">
        <f>VALUE(G10)</f>
        <v/>
      </c>
      <c r="Q10">
        <f>VALUE(H10)</f>
        <v/>
      </c>
      <c r="R10">
        <f>VALUE(I10)</f>
        <v/>
      </c>
      <c r="Y10" s="30" t="inlineStr">
        <is>
          <t>15,394.44</t>
        </is>
      </c>
      <c r="Z10" s="30" t="inlineStr">
        <is>
          <t>12,488.60</t>
        </is>
      </c>
      <c r="AA10" s="30" t="inlineStr">
        <is>
          <t>13,535.17</t>
        </is>
      </c>
      <c r="AB10" s="30" t="inlineStr">
        <is>
          <t>13,428.64</t>
        </is>
      </c>
      <c r="AC10" s="30" t="inlineStr">
        <is>
          <t>14,674.40</t>
        </is>
      </c>
      <c r="AD10" s="30" t="inlineStr">
        <is>
          <t>18,032.61</t>
        </is>
      </c>
      <c r="AE10" s="30" t="inlineStr">
        <is>
          <t>28,171.38</t>
        </is>
      </c>
      <c r="AF10" s="30" t="inlineStr">
        <is>
          <t>25,266.60</t>
        </is>
      </c>
      <c r="AG10" s="30" t="inlineStr">
        <is>
          <t>20,016.64</t>
        </is>
      </c>
      <c r="AH10" s="30" t="inlineStr">
        <is>
          <t>18,256.99</t>
        </is>
      </c>
      <c r="AI10" s="30" t="inlineStr">
        <is>
          <t>16,091.21</t>
        </is>
      </c>
    </row>
    <row r="11">
      <c r="A11" t="inlineStr">
        <is>
          <t xml:space="preserve">Purchase Of Stock-In Trade </t>
        </is>
      </c>
      <c r="C11" s="33" t="n">
        <v>0</v>
      </c>
      <c r="D11" s="33" t="n">
        <v>0</v>
      </c>
      <c r="E11" s="33" t="n">
        <v>4141.75</v>
      </c>
      <c r="F11" s="33" t="n">
        <v>4657.33</v>
      </c>
      <c r="G11" s="33" t="n">
        <v>5868.46</v>
      </c>
      <c r="H11" s="33" t="n">
        <v>6757.99</v>
      </c>
      <c r="I11" s="33" t="n">
        <v>0</v>
      </c>
      <c r="L11">
        <f>VALUE(C11)</f>
        <v/>
      </c>
      <c r="M11">
        <f>VALUE(D11)</f>
        <v/>
      </c>
      <c r="N11">
        <f>VALUE(E11)</f>
        <v/>
      </c>
      <c r="O11">
        <f>VALUE(F11)</f>
        <v/>
      </c>
      <c r="P11">
        <f>VALUE(G11)</f>
        <v/>
      </c>
      <c r="Q11">
        <f>VALUE(H11)</f>
        <v/>
      </c>
      <c r="R11">
        <f>VALUE(I11)</f>
        <v/>
      </c>
      <c r="Y11" s="30" t="inlineStr">
        <is>
          <t>0.00</t>
        </is>
      </c>
      <c r="Z11" s="30" t="inlineStr">
        <is>
          <t>0.00</t>
        </is>
      </c>
      <c r="AA11" s="30" t="inlineStr">
        <is>
          <t>0.00</t>
        </is>
      </c>
      <c r="AB11" s="30" t="inlineStr">
        <is>
          <t>0.00</t>
        </is>
      </c>
      <c r="AC11" s="30" t="inlineStr">
        <is>
          <t>0.00</t>
        </is>
      </c>
      <c r="AD11" s="30" t="inlineStr">
        <is>
          <t>0.00</t>
        </is>
      </c>
      <c r="AE11" s="30" t="inlineStr">
        <is>
          <t>0.00</t>
        </is>
      </c>
      <c r="AF11" s="30" t="inlineStr">
        <is>
          <t>0.00</t>
        </is>
      </c>
      <c r="AG11" s="30" t="inlineStr">
        <is>
          <t>0.00</t>
        </is>
      </c>
      <c r="AH11" s="30" t="inlineStr">
        <is>
          <t>0.00</t>
        </is>
      </c>
      <c r="AI11" s="30" t="inlineStr">
        <is>
          <t>0.00</t>
        </is>
      </c>
    </row>
    <row r="12">
      <c r="A12" t="inlineStr">
        <is>
          <t>Operating And Direct Expenses</t>
        </is>
      </c>
      <c r="C12" s="33" t="n">
        <v>2947.17</v>
      </c>
      <c r="D12" s="33" t="n">
        <v>2912.47</v>
      </c>
      <c r="E12" s="33" t="n">
        <v>4792.61</v>
      </c>
      <c r="F12" s="33" t="n">
        <v>5421.08</v>
      </c>
      <c r="G12" s="33" t="n">
        <v>4908.84</v>
      </c>
      <c r="H12" s="33" t="n">
        <v>4989.22</v>
      </c>
      <c r="I12" s="33" t="n">
        <v>0</v>
      </c>
      <c r="L12">
        <f>VALUE(C12)</f>
        <v/>
      </c>
      <c r="M12">
        <f>VALUE(D12)</f>
        <v/>
      </c>
      <c r="N12">
        <f>VALUE(E12)</f>
        <v/>
      </c>
      <c r="O12">
        <f>VALUE(F12)</f>
        <v/>
      </c>
      <c r="P12">
        <f>VALUE(G12)</f>
        <v/>
      </c>
      <c r="Q12">
        <f>VALUE(H12)</f>
        <v/>
      </c>
      <c r="R12">
        <f>VALUE(I12)</f>
        <v/>
      </c>
      <c r="Y12" s="30" t="inlineStr">
        <is>
          <t>3,866.88</t>
        </is>
      </c>
      <c r="Z12" s="30" t="inlineStr">
        <is>
          <t>3,418.67</t>
        </is>
      </c>
      <c r="AA12" s="30" t="inlineStr">
        <is>
          <t>3,055.51</t>
        </is>
      </c>
      <c r="AB12" s="30" t="inlineStr">
        <is>
          <t>2,978.08</t>
        </is>
      </c>
      <c r="AC12" s="30" t="inlineStr">
        <is>
          <t>3,604.10</t>
        </is>
      </c>
      <c r="AD12" s="30" t="inlineStr">
        <is>
          <t>4,428.91</t>
        </is>
      </c>
      <c r="AE12" s="30" t="inlineStr">
        <is>
          <t>0.00</t>
        </is>
      </c>
      <c r="AF12" s="30" t="inlineStr">
        <is>
          <t>3,865.84</t>
        </is>
      </c>
      <c r="AG12" s="30" t="inlineStr">
        <is>
          <t>3,350.01</t>
        </is>
      </c>
      <c r="AH12" s="30" t="inlineStr">
        <is>
          <t>3,010.67</t>
        </is>
      </c>
      <c r="AI12" s="30" t="inlineStr">
        <is>
          <t>2,149.53</t>
        </is>
      </c>
    </row>
    <row r="13">
      <c r="A13" t="inlineStr">
        <is>
          <t>Changes In Inventories Of FG,WIP And Stock-In Trade</t>
        </is>
      </c>
      <c r="C13" s="33" t="n">
        <v>-1042.43</v>
      </c>
      <c r="D13" s="33" t="n">
        <v>510.86</v>
      </c>
      <c r="E13" s="33" t="n">
        <v>532.41</v>
      </c>
      <c r="F13" s="33" t="n">
        <v>-57.15</v>
      </c>
      <c r="G13" s="33" t="n">
        <v>-436.74</v>
      </c>
      <c r="H13" s="33" t="n">
        <v>-1542.32</v>
      </c>
      <c r="I13" s="33" t="n">
        <v>-1291.19</v>
      </c>
      <c r="L13">
        <f>VALUE(C13)</f>
        <v/>
      </c>
      <c r="M13">
        <f>VALUE(D13)</f>
        <v/>
      </c>
      <c r="N13">
        <f>VALUE(E13)</f>
        <v/>
      </c>
      <c r="O13">
        <f>VALUE(F13)</f>
        <v/>
      </c>
      <c r="P13">
        <f>VALUE(G13)</f>
        <v/>
      </c>
      <c r="Q13">
        <f>VALUE(H13)</f>
        <v/>
      </c>
      <c r="R13">
        <f>VALUE(I13)</f>
        <v/>
      </c>
      <c r="Y13" s="30" t="inlineStr">
        <is>
          <t>-989.31</t>
        </is>
      </c>
      <c r="Z13" s="30" t="inlineStr">
        <is>
          <t>739.00</t>
        </is>
      </c>
      <c r="AA13" s="30" t="inlineStr">
        <is>
          <t>992.94</t>
        </is>
      </c>
      <c r="AB13" s="30" t="inlineStr">
        <is>
          <t>210.05</t>
        </is>
      </c>
      <c r="AC13" s="30" t="inlineStr">
        <is>
          <t>-339.50</t>
        </is>
      </c>
      <c r="AD13" s="30" t="inlineStr">
        <is>
          <t>1,057.14</t>
        </is>
      </c>
      <c r="AE13" s="30" t="inlineStr">
        <is>
          <t>121.20</t>
        </is>
      </c>
      <c r="AF13" s="30" t="inlineStr">
        <is>
          <t>-829.65</t>
        </is>
      </c>
      <c r="AG13" s="30" t="inlineStr">
        <is>
          <t>-126.18</t>
        </is>
      </c>
      <c r="AH13" s="30" t="inlineStr">
        <is>
          <t>-775.80</t>
        </is>
      </c>
      <c r="AI13" s="30" t="inlineStr">
        <is>
          <t>-1,163.99</t>
        </is>
      </c>
    </row>
    <row r="14">
      <c r="A14" t="inlineStr">
        <is>
          <t>Employee Benefit Expenses</t>
        </is>
      </c>
      <c r="C14" s="33" t="n">
        <v>5431.88</v>
      </c>
      <c r="D14" s="33" t="n">
        <v>5378.15</v>
      </c>
      <c r="E14" s="33" t="n">
        <v>5519.05</v>
      </c>
      <c r="F14" s="33" t="n">
        <v>5700.63</v>
      </c>
      <c r="G14" s="33" t="n">
        <v>5628.84</v>
      </c>
      <c r="H14" s="33" t="n">
        <v>5923.42</v>
      </c>
      <c r="I14" s="33" t="n">
        <v>6467.62</v>
      </c>
      <c r="L14">
        <f>VALUE(C14)</f>
        <v/>
      </c>
      <c r="M14">
        <f>VALUE(D14)</f>
        <v/>
      </c>
      <c r="N14">
        <f>VALUE(E14)</f>
        <v/>
      </c>
      <c r="O14">
        <f>VALUE(F14)</f>
        <v/>
      </c>
      <c r="P14">
        <f>VALUE(G14)</f>
        <v/>
      </c>
      <c r="Q14">
        <f>VALUE(H14)</f>
        <v/>
      </c>
      <c r="R14">
        <f>VALUE(I14)</f>
        <v/>
      </c>
      <c r="Y14" s="30" t="inlineStr">
        <is>
          <t>5,509.25</t>
        </is>
      </c>
      <c r="Z14" s="30" t="inlineStr">
        <is>
          <t>6,034.68</t>
        </is>
      </c>
      <c r="AA14" s="30" t="inlineStr">
        <is>
          <t>5,402.71</t>
        </is>
      </c>
      <c r="AB14" s="30" t="inlineStr">
        <is>
          <t>5,387.33</t>
        </is>
      </c>
      <c r="AC14" s="30" t="inlineStr">
        <is>
          <t>5,475.48</t>
        </is>
      </c>
      <c r="AD14" s="30" t="inlineStr">
        <is>
          <t>5,956.57</t>
        </is>
      </c>
      <c r="AE14" s="30" t="inlineStr">
        <is>
          <t>5,824.00</t>
        </is>
      </c>
      <c r="AF14" s="30" t="inlineStr">
        <is>
          <t>5,529.77</t>
        </is>
      </c>
      <c r="AG14" s="30" t="inlineStr">
        <is>
          <t>5,452.60</t>
        </is>
      </c>
      <c r="AH14" s="30" t="inlineStr">
        <is>
          <t>6,499.83</t>
        </is>
      </c>
      <c r="AI14" s="30" t="inlineStr">
        <is>
          <t>3,027.12</t>
        </is>
      </c>
    </row>
    <row r="15">
      <c r="A15" t="inlineStr">
        <is>
          <t>Finance Costs</t>
        </is>
      </c>
      <c r="C15" s="33" t="n">
        <v>508.45</v>
      </c>
      <c r="D15" s="33" t="n">
        <v>373.95</v>
      </c>
      <c r="E15" s="33" t="n">
        <v>355.96</v>
      </c>
      <c r="F15" s="33" t="n">
        <v>521.4299999999999</v>
      </c>
      <c r="G15" s="33" t="n">
        <v>731.29</v>
      </c>
      <c r="H15" s="33" t="n">
        <v>748.33</v>
      </c>
      <c r="I15" s="33" t="n">
        <v>756.41</v>
      </c>
      <c r="L15">
        <f>VALUE(C15)</f>
        <v/>
      </c>
      <c r="M15">
        <f>VALUE(D15)</f>
        <v/>
      </c>
      <c r="N15">
        <f>VALUE(E15)</f>
        <v/>
      </c>
      <c r="O15">
        <f>VALUE(F15)</f>
        <v/>
      </c>
      <c r="P15">
        <f>VALUE(G15)</f>
        <v/>
      </c>
      <c r="Q15">
        <f>VALUE(H15)</f>
        <v/>
      </c>
      <c r="R15">
        <f>VALUE(I15)</f>
        <v/>
      </c>
      <c r="Y15" s="30" t="inlineStr">
        <is>
          <t>288.37</t>
        </is>
      </c>
      <c r="Z15" s="30" t="inlineStr">
        <is>
          <t>255.16</t>
        </is>
      </c>
      <c r="AA15" s="30" t="inlineStr">
        <is>
          <t>351.30</t>
        </is>
      </c>
      <c r="AB15" s="30" t="inlineStr">
        <is>
          <t>359.81</t>
        </is>
      </c>
      <c r="AC15" s="30" t="inlineStr">
        <is>
          <t>92.43</t>
        </is>
      </c>
      <c r="AD15" s="30" t="inlineStr">
        <is>
          <t>133.46</t>
        </is>
      </c>
      <c r="AE15" s="30" t="inlineStr">
        <is>
          <t>127.61</t>
        </is>
      </c>
      <c r="AF15" s="30" t="inlineStr">
        <is>
          <t>53.07</t>
        </is>
      </c>
      <c r="AG15" s="30" t="inlineStr">
        <is>
          <t>56.38</t>
        </is>
      </c>
      <c r="AH15" s="30" t="inlineStr">
        <is>
          <t>36.69</t>
        </is>
      </c>
      <c r="AI15" s="30" t="inlineStr">
        <is>
          <t>35.18</t>
        </is>
      </c>
    </row>
    <row r="16">
      <c r="A16" t="inlineStr">
        <is>
          <t>Depreciation And Amortisation Expenses</t>
        </is>
      </c>
      <c r="C16" s="33" t="n">
        <v>503.27</v>
      </c>
      <c r="D16" s="33" t="n">
        <v>473.25</v>
      </c>
      <c r="E16" s="33" t="n">
        <v>314.12</v>
      </c>
      <c r="F16" s="33" t="n">
        <v>260.34</v>
      </c>
      <c r="G16" s="33" t="n">
        <v>248.9</v>
      </c>
      <c r="H16" s="33" t="n">
        <v>271.96</v>
      </c>
      <c r="I16" s="33" t="n">
        <v>315.87</v>
      </c>
      <c r="L16">
        <f>VALUE(C16)</f>
        <v/>
      </c>
      <c r="M16">
        <f>VALUE(D16)</f>
        <v/>
      </c>
      <c r="N16">
        <f>VALUE(E16)</f>
        <v/>
      </c>
      <c r="O16">
        <f>VALUE(F16)</f>
        <v/>
      </c>
      <c r="P16">
        <f>VALUE(G16)</f>
        <v/>
      </c>
      <c r="Q16">
        <f>VALUE(H16)</f>
        <v/>
      </c>
      <c r="R16">
        <f>VALUE(I16)</f>
        <v/>
      </c>
      <c r="Y16" s="30" t="inlineStr">
        <is>
          <t>475.74</t>
        </is>
      </c>
      <c r="Z16" s="30" t="inlineStr">
        <is>
          <t>787.33</t>
        </is>
      </c>
      <c r="AA16" s="30" t="inlineStr">
        <is>
          <t>849.79</t>
        </is>
      </c>
      <c r="AB16" s="30" t="inlineStr">
        <is>
          <t>936.70</t>
        </is>
      </c>
      <c r="AC16" s="30" t="inlineStr">
        <is>
          <t>1,082.01</t>
        </is>
      </c>
      <c r="AD16" s="30" t="inlineStr">
        <is>
          <t>985.36</t>
        </is>
      </c>
      <c r="AE16" s="30" t="inlineStr">
        <is>
          <t>957.18</t>
        </is>
      </c>
      <c r="AF16" s="30" t="inlineStr">
        <is>
          <t>803.24</t>
        </is>
      </c>
      <c r="AG16" s="30" t="inlineStr">
        <is>
          <t>546.37</t>
        </is>
      </c>
      <c r="AH16" s="30" t="inlineStr">
        <is>
          <t>460.26</t>
        </is>
      </c>
      <c r="AI16" s="30" t="inlineStr">
        <is>
          <t>343.07</t>
        </is>
      </c>
    </row>
    <row r="17">
      <c r="A17" t="inlineStr">
        <is>
          <t>Other Expenses</t>
        </is>
      </c>
      <c r="C17" s="33" t="n">
        <v>1995.54</v>
      </c>
      <c r="D17" s="33" t="n">
        <v>1733.74</v>
      </c>
      <c r="E17" s="33" t="n">
        <v>1688.87</v>
      </c>
      <c r="F17" s="33" t="n">
        <v>647.03</v>
      </c>
      <c r="G17" s="33" t="n">
        <v>844.23</v>
      </c>
      <c r="H17" s="33" t="n">
        <v>2329.34</v>
      </c>
      <c r="I17" s="33" t="n">
        <v>1989.28</v>
      </c>
      <c r="L17">
        <f>VALUE(C17)</f>
        <v/>
      </c>
      <c r="M17">
        <f>VALUE(D17)</f>
        <v/>
      </c>
      <c r="N17">
        <f>VALUE(E17)</f>
        <v/>
      </c>
      <c r="O17">
        <f>VALUE(F17)</f>
        <v/>
      </c>
      <c r="P17">
        <f>VALUE(G17)</f>
        <v/>
      </c>
      <c r="Q17">
        <f>VALUE(H17)</f>
        <v/>
      </c>
      <c r="R17">
        <f>VALUE(I17)</f>
        <v/>
      </c>
      <c r="Y17" s="30" t="inlineStr">
        <is>
          <t>2,698.13</t>
        </is>
      </c>
      <c r="Z17" s="30" t="inlineStr">
        <is>
          <t>2,155.94</t>
        </is>
      </c>
      <c r="AA17" s="30" t="inlineStr">
        <is>
          <t>3,013.33</t>
        </is>
      </c>
      <c r="AB17" s="30" t="inlineStr">
        <is>
          <t>4,037.97</t>
        </is>
      </c>
      <c r="AC17" s="30" t="inlineStr">
        <is>
          <t>3,655.50</t>
        </is>
      </c>
      <c r="AD17" s="30" t="inlineStr">
        <is>
          <t>3,323.55</t>
        </is>
      </c>
      <c r="AE17" s="30" t="inlineStr">
        <is>
          <t>3,808.31</t>
        </is>
      </c>
      <c r="AF17" s="30" t="inlineStr">
        <is>
          <t>3,250.76</t>
        </is>
      </c>
      <c r="AG17" s="30" t="inlineStr">
        <is>
          <t>2,557.00</t>
        </is>
      </c>
      <c r="AH17" s="30" t="inlineStr">
        <is>
          <t>612.99</t>
        </is>
      </c>
      <c r="AI17" s="30" t="inlineStr">
        <is>
          <t>2,608.46</t>
        </is>
      </c>
    </row>
    <row r="18">
      <c r="A18" t="inlineStr">
        <is>
          <t>Total Expenses</t>
        </is>
      </c>
      <c r="C18" s="33" t="n">
        <v>22712.23</v>
      </c>
      <c r="D18" s="33" t="n">
        <v>21297.18</v>
      </c>
      <c r="E18" s="33" t="n">
        <v>21145.59</v>
      </c>
      <c r="F18" s="33" t="n">
        <v>23430.15</v>
      </c>
      <c r="G18" s="33" t="n">
        <v>24260.37</v>
      </c>
      <c r="H18" s="33" t="n">
        <v>28118.2</v>
      </c>
      <c r="I18" s="33" t="n">
        <v>32512.27</v>
      </c>
      <c r="J18" s="33" t="n"/>
      <c r="L18">
        <f>VALUE(C18)</f>
        <v/>
      </c>
      <c r="M18">
        <f>VALUE(D18)</f>
        <v/>
      </c>
      <c r="N18">
        <f>VALUE(E18)</f>
        <v/>
      </c>
      <c r="O18">
        <f>VALUE(F18)</f>
        <v/>
      </c>
      <c r="P18">
        <f>VALUE(G18)</f>
        <v/>
      </c>
      <c r="Q18">
        <f>VALUE(H18)</f>
        <v/>
      </c>
      <c r="R18">
        <f>VALUE(I18)</f>
        <v/>
      </c>
      <c r="Y18" s="30" t="inlineStr">
        <is>
          <t>29,077.56</t>
        </is>
      </c>
      <c r="Z18" s="30" t="inlineStr">
        <is>
          <t>28,012.80</t>
        </is>
      </c>
      <c r="AA18" s="30" t="inlineStr">
        <is>
          <t>28,621.09</t>
        </is>
      </c>
      <c r="AB18" s="30" t="inlineStr">
        <is>
          <t>29,331.92</t>
        </is>
      </c>
      <c r="AC18" s="30" t="inlineStr">
        <is>
          <t>29,821.60</t>
        </is>
      </c>
      <c r="AD18" s="30" t="inlineStr">
        <is>
          <t>36,108.75</t>
        </is>
      </c>
      <c r="AE18" s="30" t="inlineStr">
        <is>
          <t>40,517.58</t>
        </is>
      </c>
      <c r="AF18" s="30" t="inlineStr">
        <is>
          <t>39,241.05</t>
        </is>
      </c>
      <c r="AG18" s="30" t="inlineStr">
        <is>
          <t>34,505.77</t>
        </is>
      </c>
      <c r="AH18" s="30" t="inlineStr">
        <is>
          <t>28,101.63</t>
        </is>
      </c>
      <c r="AI18" s="30" t="inlineStr">
        <is>
          <t>23,090.58</t>
        </is>
      </c>
    </row>
    <row r="19">
      <c r="C19" s="33">
        <f>SUM(C10:C17)</f>
        <v/>
      </c>
      <c r="D19" s="33">
        <f>SUM(D10:D17)</f>
        <v/>
      </c>
      <c r="E19" s="33">
        <f>SUM(E10:E17)</f>
        <v/>
      </c>
      <c r="F19" s="33">
        <f>SUM(F10:F17)</f>
        <v/>
      </c>
      <c r="G19" s="33">
        <f>SUM(G10:G17)</f>
        <v/>
      </c>
      <c r="H19" s="33">
        <f>SUM(H10:H17)</f>
        <v/>
      </c>
      <c r="I19" s="33">
        <f>SUM(I10:I17)</f>
        <v/>
      </c>
      <c r="J19" s="33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</row>
    <row r="20">
      <c r="C20" s="33">
        <f>C18-C19</f>
        <v/>
      </c>
      <c r="D20" s="33">
        <f>D18-D19</f>
        <v/>
      </c>
      <c r="E20" s="33">
        <f>E18-E19</f>
        <v/>
      </c>
      <c r="F20" s="33">
        <f>F18-F19</f>
        <v/>
      </c>
      <c r="G20" s="33">
        <f>G18-G19</f>
        <v/>
      </c>
      <c r="H20" s="33">
        <f>H18-H19</f>
        <v/>
      </c>
      <c r="I20" s="33">
        <f>I18-I19</f>
        <v/>
      </c>
      <c r="J20" s="33" t="n"/>
      <c r="Y20" s="30" t="n"/>
      <c r="Z20" s="30" t="n"/>
      <c r="AA20" s="30" t="n"/>
      <c r="AB20" s="30" t="n"/>
      <c r="AC20" s="30" t="n"/>
      <c r="AD20" s="30" t="n"/>
      <c r="AE20" s="30" t="n"/>
      <c r="AF20" s="30" t="n"/>
      <c r="AG20" s="30" t="n"/>
      <c r="AH20" s="30" t="n"/>
      <c r="AI20" s="30" t="n"/>
    </row>
    <row r="21">
      <c r="C21" s="33">
        <f>C8-C18</f>
        <v/>
      </c>
      <c r="D21" s="33">
        <f>D8-D18</f>
        <v/>
      </c>
      <c r="E21" s="33">
        <f>E8-E18</f>
        <v/>
      </c>
      <c r="F21" s="33">
        <f>F8-F18</f>
        <v/>
      </c>
      <c r="G21" s="33">
        <f>G8-G18</f>
        <v/>
      </c>
      <c r="H21" s="33">
        <f>H8-H18</f>
        <v/>
      </c>
      <c r="I21" s="33">
        <f>I8-I18</f>
        <v/>
      </c>
      <c r="J21" s="33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30" t="n"/>
      <c r="AI21" s="30" t="n"/>
    </row>
    <row r="22">
      <c r="A22" t="inlineStr">
        <is>
          <t>Profit/Loss Before Exceptional, ExtraOrdinary Items And Tax</t>
        </is>
      </c>
      <c r="C22" s="33" t="n">
        <v>-684.79</v>
      </c>
      <c r="D22" s="33" t="n">
        <v>-3640.07</v>
      </c>
      <c r="E22" s="33" t="n">
        <v>420.04</v>
      </c>
      <c r="F22" s="33" t="n">
        <v>423.42</v>
      </c>
      <c r="G22" s="33" t="n">
        <v>178.68</v>
      </c>
      <c r="H22" s="33" t="n">
        <v>686.59</v>
      </c>
      <c r="I22" s="33" t="n">
        <v>2077.56</v>
      </c>
      <c r="L22">
        <f>VALUE(C22)</f>
        <v/>
      </c>
      <c r="M22">
        <f>VALUE(D22)</f>
        <v/>
      </c>
      <c r="N22">
        <f>VALUE(E22)</f>
        <v/>
      </c>
      <c r="O22">
        <f>VALUE(F22)</f>
        <v/>
      </c>
      <c r="P22">
        <f>VALUE(G22)</f>
        <v/>
      </c>
      <c r="Q22">
        <f>VALUE(H22)</f>
        <v/>
      </c>
      <c r="R22">
        <f>VALUE(I22)</f>
        <v/>
      </c>
      <c r="Y22" s="30" t="inlineStr">
        <is>
          <t>2,025.34</t>
        </is>
      </c>
      <c r="Z22" s="30" t="inlineStr">
        <is>
          <t>1,605.63</t>
        </is>
      </c>
      <c r="AA22" s="30" t="inlineStr">
        <is>
          <t>609.13</t>
        </is>
      </c>
      <c r="AB22" s="30" t="inlineStr">
        <is>
          <t>-1,176.97</t>
        </is>
      </c>
      <c r="AC22" s="30" t="inlineStr">
        <is>
          <t>2,197.58</t>
        </is>
      </c>
      <c r="AD22" s="30" t="inlineStr">
        <is>
          <t>5,083.68</t>
        </is>
      </c>
      <c r="AE22" s="30" t="inlineStr">
        <is>
          <t>9,527.02</t>
        </is>
      </c>
      <c r="AF22" s="30" t="inlineStr">
        <is>
          <t>10,386.20</t>
        </is>
      </c>
      <c r="AG22" s="30" t="inlineStr">
        <is>
          <t>9,059.40</t>
        </is>
      </c>
      <c r="AH22" s="30" t="inlineStr">
        <is>
          <t>6,620.88</t>
        </is>
      </c>
      <c r="AI22" s="30" t="inlineStr">
        <is>
          <t>4,830.64</t>
        </is>
      </c>
    </row>
    <row r="23">
      <c r="A23" t="inlineStr">
        <is>
          <t>Exceptional Items</t>
        </is>
      </c>
      <c r="C23" s="33" t="n">
        <v>0</v>
      </c>
      <c r="D23" s="33" t="n">
        <v>0</v>
      </c>
      <c r="E23" s="33" t="n">
        <v>0</v>
      </c>
      <c r="F23" s="33" t="n">
        <v>0</v>
      </c>
      <c r="G23" s="33" t="n">
        <v>0</v>
      </c>
      <c r="H23" s="33" t="n">
        <v>0</v>
      </c>
      <c r="I23" s="33" t="n">
        <v>0</v>
      </c>
      <c r="L23">
        <f>VALUE(C23)</f>
        <v/>
      </c>
      <c r="M23">
        <f>VALUE(D23)</f>
        <v/>
      </c>
      <c r="N23">
        <f>VALUE(E23)</f>
        <v/>
      </c>
      <c r="O23">
        <f>VALUE(F23)</f>
        <v/>
      </c>
      <c r="P23">
        <f>VALUE(G23)</f>
        <v/>
      </c>
      <c r="Q23">
        <f>VALUE(H23)</f>
        <v/>
      </c>
      <c r="R23">
        <f>VALUE(I23)</f>
        <v/>
      </c>
      <c r="Y23" s="30" t="inlineStr">
        <is>
          <t>0.00</t>
        </is>
      </c>
      <c r="Z23" s="30" t="inlineStr">
        <is>
          <t>0.00</t>
        </is>
      </c>
      <c r="AA23" s="30" t="inlineStr">
        <is>
          <t>0.00</t>
        </is>
      </c>
      <c r="AB23" s="30" t="inlineStr">
        <is>
          <t>0.00</t>
        </is>
      </c>
      <c r="AC23" s="30" t="inlineStr">
        <is>
          <t>0.00</t>
        </is>
      </c>
      <c r="AD23" s="30" t="inlineStr">
        <is>
          <t>0.00</t>
        </is>
      </c>
      <c r="AE23" s="30" t="inlineStr">
        <is>
          <t>4.14</t>
        </is>
      </c>
      <c r="AF23" s="30" t="inlineStr">
        <is>
          <t>0.16</t>
        </is>
      </c>
      <c r="AG23" s="30" t="inlineStr">
        <is>
          <t>7.75</t>
        </is>
      </c>
      <c r="AH23" s="30" t="inlineStr">
        <is>
          <t>0.00</t>
        </is>
      </c>
      <c r="AI23" s="30" t="inlineStr">
        <is>
          <t>0.00</t>
        </is>
      </c>
    </row>
    <row r="24">
      <c r="A24" t="inlineStr">
        <is>
          <t>Profit/Loss Before Tax</t>
        </is>
      </c>
      <c r="C24" s="33" t="n">
        <v>-684.79</v>
      </c>
      <c r="D24" s="33" t="n">
        <v>-3640.07</v>
      </c>
      <c r="E24" s="33" t="n">
        <v>420.04</v>
      </c>
      <c r="F24" s="33" t="n">
        <v>423.42</v>
      </c>
      <c r="G24" s="33" t="n">
        <v>178.68</v>
      </c>
      <c r="H24" s="33" t="n">
        <v>686.59</v>
      </c>
      <c r="I24" s="33" t="n">
        <v>2077.56</v>
      </c>
      <c r="L24">
        <f>VALUE(C24)</f>
        <v/>
      </c>
      <c r="M24">
        <f>VALUE(D24)</f>
        <v/>
      </c>
      <c r="N24">
        <f>VALUE(E24)</f>
        <v/>
      </c>
      <c r="O24">
        <f>VALUE(F24)</f>
        <v/>
      </c>
      <c r="P24">
        <f>VALUE(G24)</f>
        <v/>
      </c>
      <c r="Q24">
        <f>VALUE(H24)</f>
        <v/>
      </c>
      <c r="R24">
        <f>VALUE(I24)</f>
        <v/>
      </c>
      <c r="Y24" s="30" t="inlineStr">
        <is>
          <t>2,025.34</t>
        </is>
      </c>
      <c r="Z24" s="30" t="inlineStr">
        <is>
          <t>1,605.63</t>
        </is>
      </c>
      <c r="AA24" s="30" t="inlineStr">
        <is>
          <t>609.13</t>
        </is>
      </c>
      <c r="AB24" s="30" t="inlineStr">
        <is>
          <t>-1,176.97</t>
        </is>
      </c>
      <c r="AC24" s="30" t="inlineStr">
        <is>
          <t>2,197.58</t>
        </is>
      </c>
      <c r="AD24" s="30" t="inlineStr">
        <is>
          <t>5,083.68</t>
        </is>
      </c>
      <c r="AE24" s="30" t="inlineStr">
        <is>
          <t>9,531.16</t>
        </is>
      </c>
      <c r="AF24" s="30" t="inlineStr">
        <is>
          <t>10,386.36</t>
        </is>
      </c>
      <c r="AG24" s="30" t="inlineStr">
        <is>
          <t>9,067.15</t>
        </is>
      </c>
      <c r="AH24" s="30" t="inlineStr">
        <is>
          <t>6,620.88</t>
        </is>
      </c>
      <c r="AI24" s="30" t="inlineStr">
        <is>
          <t>4,830.64</t>
        </is>
      </c>
    </row>
    <row r="25">
      <c r="A25" t="inlineStr">
        <is>
          <t>Tax Expenses-Continued Operations</t>
        </is>
      </c>
      <c r="C25" s="33" t="n"/>
      <c r="D25" s="33" t="n"/>
      <c r="E25" s="33" t="n"/>
      <c r="F25" s="33" t="n"/>
      <c r="G25" s="33" t="n"/>
      <c r="H25" s="33" t="n"/>
      <c r="I25" s="33" t="n"/>
      <c r="Y25" s="30" t="inlineStr"/>
      <c r="Z25" s="30" t="inlineStr"/>
      <c r="AA25" s="30" t="inlineStr"/>
      <c r="AB25" s="30" t="inlineStr"/>
      <c r="AC25" s="30" t="inlineStr"/>
      <c r="AD25" s="30" t="inlineStr"/>
      <c r="AE25" s="30" t="inlineStr"/>
      <c r="AF25" s="30" t="inlineStr"/>
      <c r="AG25" s="30" t="inlineStr"/>
      <c r="AH25" s="30" t="inlineStr"/>
      <c r="AI25" s="30" t="inlineStr"/>
    </row>
    <row r="26">
      <c r="A26" t="inlineStr">
        <is>
          <t>Current Tax</t>
        </is>
      </c>
      <c r="C26" s="33" t="n">
        <v>1.52</v>
      </c>
      <c r="D26" s="33" t="n">
        <v>15.82</v>
      </c>
      <c r="E26" s="33" t="n">
        <v>-77.13</v>
      </c>
      <c r="F26" s="33" t="n">
        <v>-111.22</v>
      </c>
      <c r="G26" s="33" t="n">
        <v>-112.56</v>
      </c>
      <c r="H26" s="33" t="n">
        <v>23.16</v>
      </c>
      <c r="I26" s="33" t="n">
        <v>538.35</v>
      </c>
      <c r="L26">
        <f>VALUE(C26)</f>
        <v/>
      </c>
      <c r="M26">
        <f>VALUE(D26)</f>
        <v/>
      </c>
      <c r="N26">
        <f>VALUE(E26)</f>
        <v/>
      </c>
      <c r="O26">
        <f>VALUE(F26)</f>
        <v/>
      </c>
      <c r="P26">
        <f>VALUE(G26)</f>
        <v/>
      </c>
      <c r="Q26">
        <f>VALUE(H26)</f>
        <v/>
      </c>
      <c r="R26">
        <f>VALUE(I26)</f>
        <v/>
      </c>
      <c r="Y26" s="30" t="inlineStr">
        <is>
          <t>735.07</t>
        </is>
      </c>
      <c r="Z26" s="30" t="inlineStr">
        <is>
          <t>578.67</t>
        </is>
      </c>
      <c r="AA26" s="30" t="inlineStr">
        <is>
          <t>298.35</t>
        </is>
      </c>
      <c r="AB26" s="30" t="inlineStr">
        <is>
          <t>391.08</t>
        </is>
      </c>
      <c r="AC26" s="30" t="inlineStr">
        <is>
          <t>968.87</t>
        </is>
      </c>
      <c r="AD26" s="30" t="inlineStr">
        <is>
          <t>1,923.63</t>
        </is>
      </c>
      <c r="AE26" s="30" t="inlineStr">
        <is>
          <t>3,063.78</t>
        </is>
      </c>
      <c r="AF26" s="30" t="inlineStr">
        <is>
          <t>2,664.28</t>
        </is>
      </c>
      <c r="AG26" s="30" t="inlineStr">
        <is>
          <t>3,648.55</t>
        </is>
      </c>
      <c r="AH26" s="30" t="inlineStr">
        <is>
          <t>2,020.64</t>
        </is>
      </c>
      <c r="AI26" s="30" t="inlineStr">
        <is>
          <t>2,261.77</t>
        </is>
      </c>
    </row>
    <row r="27">
      <c r="A27" t="inlineStr">
        <is>
          <t>Less: MAT Credit Entitlement</t>
        </is>
      </c>
      <c r="C27" s="33" t="n">
        <v>0</v>
      </c>
      <c r="D27" s="33" t="n">
        <v>0</v>
      </c>
      <c r="E27" s="33" t="n">
        <v>0</v>
      </c>
      <c r="F27" s="33" t="n">
        <v>0</v>
      </c>
      <c r="G27" s="33" t="n">
        <v>0</v>
      </c>
      <c r="H27" s="33" t="n">
        <v>0</v>
      </c>
      <c r="I27" s="33" t="n">
        <v>0</v>
      </c>
      <c r="L27">
        <f>VALUE(C27)</f>
        <v/>
      </c>
      <c r="M27">
        <f>VALUE(D27)</f>
        <v/>
      </c>
      <c r="N27">
        <f>VALUE(E27)</f>
        <v/>
      </c>
      <c r="O27">
        <f>VALUE(F27)</f>
        <v/>
      </c>
      <c r="P27">
        <f>VALUE(G27)</f>
        <v/>
      </c>
      <c r="Q27">
        <f>VALUE(H27)</f>
        <v/>
      </c>
      <c r="R27">
        <f>VALUE(I27)</f>
        <v/>
      </c>
      <c r="Y27" s="30" t="inlineStr">
        <is>
          <t>0.00</t>
        </is>
      </c>
      <c r="Z27" s="30" t="inlineStr">
        <is>
          <t>0.00</t>
        </is>
      </c>
      <c r="AA27" s="30" t="inlineStr">
        <is>
          <t>0.00</t>
        </is>
      </c>
      <c r="AB27" s="30" t="inlineStr">
        <is>
          <t>0.00</t>
        </is>
      </c>
      <c r="AC27" s="30" t="inlineStr">
        <is>
          <t>0.00</t>
        </is>
      </c>
      <c r="AD27" s="30" t="inlineStr">
        <is>
          <t>0.00</t>
        </is>
      </c>
      <c r="AE27" s="30" t="inlineStr">
        <is>
          <t>0.00</t>
        </is>
      </c>
      <c r="AF27" s="30" t="inlineStr">
        <is>
          <t>0.00</t>
        </is>
      </c>
      <c r="AG27" s="30" t="inlineStr">
        <is>
          <t>0.00</t>
        </is>
      </c>
      <c r="AH27" s="30" t="inlineStr">
        <is>
          <t>0.00</t>
        </is>
      </c>
      <c r="AI27" s="30" t="inlineStr">
        <is>
          <t>0.00</t>
        </is>
      </c>
    </row>
    <row r="28">
      <c r="A28" t="inlineStr">
        <is>
          <t>Deferred Tax</t>
        </is>
      </c>
      <c r="C28" s="33" t="n">
        <v>807.76</v>
      </c>
      <c r="D28" s="33" t="n">
        <v>-912.05</v>
      </c>
      <c r="E28" s="33" t="n">
        <v>102.88</v>
      </c>
      <c r="F28" s="33" t="n">
        <v>113.27</v>
      </c>
      <c r="G28" s="33" t="n">
        <v>73</v>
      </c>
      <c r="H28" s="33" t="n">
        <v>188.54</v>
      </c>
      <c r="I28" s="33" t="n">
        <v>0</v>
      </c>
      <c r="L28">
        <f>VALUE(C28)</f>
        <v/>
      </c>
      <c r="M28">
        <f>VALUE(D28)</f>
        <v/>
      </c>
      <c r="N28">
        <f>VALUE(E28)</f>
        <v/>
      </c>
      <c r="O28">
        <f>VALUE(F28)</f>
        <v/>
      </c>
      <c r="P28">
        <f>VALUE(G28)</f>
        <v/>
      </c>
      <c r="Q28">
        <f>VALUE(H28)</f>
        <v/>
      </c>
      <c r="R28">
        <f>VALUE(I28)</f>
        <v/>
      </c>
      <c r="Y28" s="30" t="inlineStr">
        <is>
          <t>102.25</t>
        </is>
      </c>
      <c r="Z28" s="30" t="inlineStr">
        <is>
          <t>198.01</t>
        </is>
      </c>
      <c r="AA28" s="30" t="inlineStr">
        <is>
          <t>-167.96</t>
        </is>
      </c>
      <c r="AB28" s="30" t="inlineStr">
        <is>
          <t>-846.63</t>
        </is>
      </c>
      <c r="AC28" s="30" t="inlineStr">
        <is>
          <t>-232.02</t>
        </is>
      </c>
      <c r="AD28" s="30" t="inlineStr">
        <is>
          <t>-316.96</t>
        </is>
      </c>
      <c r="AE28" s="30" t="inlineStr">
        <is>
          <t>-6.32</t>
        </is>
      </c>
      <c r="AF28" s="30" t="inlineStr">
        <is>
          <t>615.69</t>
        </is>
      </c>
      <c r="AG28" s="30" t="inlineStr">
        <is>
          <t>-636.55</t>
        </is>
      </c>
      <c r="AH28" s="30" t="inlineStr">
        <is>
          <t>312.39</t>
        </is>
      </c>
      <c r="AI28" s="30" t="inlineStr">
        <is>
          <t>-502.50</t>
        </is>
      </c>
    </row>
    <row r="29">
      <c r="A29" t="inlineStr">
        <is>
          <t>Other Direct Taxes</t>
        </is>
      </c>
      <c r="C29" s="33" t="n">
        <v>0</v>
      </c>
      <c r="D29" s="33" t="n">
        <v>0</v>
      </c>
      <c r="E29" s="33" t="n">
        <v>0</v>
      </c>
      <c r="F29" s="33" t="n">
        <v>0</v>
      </c>
      <c r="G29" s="33" t="n">
        <v>0</v>
      </c>
      <c r="H29" s="33" t="n">
        <v>0</v>
      </c>
      <c r="I29" s="33" t="n">
        <v>0</v>
      </c>
      <c r="L29">
        <f>VALUE(C29)</f>
        <v/>
      </c>
      <c r="M29">
        <f>VALUE(D29)</f>
        <v/>
      </c>
      <c r="N29">
        <f>VALUE(E29)</f>
        <v/>
      </c>
      <c r="O29">
        <f>VALUE(F29)</f>
        <v/>
      </c>
      <c r="P29">
        <f>VALUE(G29)</f>
        <v/>
      </c>
      <c r="Q29">
        <f>VALUE(H29)</f>
        <v/>
      </c>
      <c r="R29">
        <f>VALUE(I29)</f>
        <v/>
      </c>
      <c r="Y29" s="30" t="inlineStr">
        <is>
          <t>0.00</t>
        </is>
      </c>
      <c r="Z29" s="30" t="inlineStr">
        <is>
          <t>0.00</t>
        </is>
      </c>
      <c r="AA29" s="30" t="inlineStr">
        <is>
          <t>0.00</t>
        </is>
      </c>
      <c r="AB29" s="30" t="inlineStr">
        <is>
          <t>0.00</t>
        </is>
      </c>
      <c r="AC29" s="30" t="inlineStr">
        <is>
          <t>0.00</t>
        </is>
      </c>
      <c r="AD29" s="30" t="inlineStr">
        <is>
          <t>0.00</t>
        </is>
      </c>
      <c r="AE29" s="30" t="inlineStr">
        <is>
          <t>0.00</t>
        </is>
      </c>
      <c r="AF29" s="30" t="inlineStr">
        <is>
          <t>0.00</t>
        </is>
      </c>
      <c r="AG29" s="30" t="inlineStr">
        <is>
          <t>0.00</t>
        </is>
      </c>
      <c r="AH29" s="30" t="inlineStr">
        <is>
          <t>7.28</t>
        </is>
      </c>
      <c r="AI29" s="30" t="inlineStr">
        <is>
          <t>51.86</t>
        </is>
      </c>
    </row>
    <row r="30">
      <c r="A30" t="inlineStr">
        <is>
          <t>Total Tax Expenses</t>
        </is>
      </c>
      <c r="C30" s="33" t="n">
        <v>809.28</v>
      </c>
      <c r="D30" s="33" t="n">
        <v>-896.23</v>
      </c>
      <c r="E30" s="33" t="n">
        <v>25.75</v>
      </c>
      <c r="F30" s="33" t="n">
        <v>2.05</v>
      </c>
      <c r="G30" s="33" t="n">
        <v>-39.56</v>
      </c>
      <c r="H30" s="33" t="n">
        <v>211.7</v>
      </c>
      <c r="I30" s="33" t="n">
        <v>538.35</v>
      </c>
      <c r="L30">
        <f>VALUE(C30)</f>
        <v/>
      </c>
      <c r="M30">
        <f>VALUE(D30)</f>
        <v/>
      </c>
      <c r="N30">
        <f>VALUE(E30)</f>
        <v/>
      </c>
      <c r="O30">
        <f>VALUE(F30)</f>
        <v/>
      </c>
      <c r="P30">
        <f>VALUE(G30)</f>
        <v/>
      </c>
      <c r="Q30">
        <f>VALUE(H30)</f>
        <v/>
      </c>
      <c r="R30">
        <f>VALUE(I30)</f>
        <v/>
      </c>
      <c r="Y30" s="30" t="inlineStr">
        <is>
          <t>837.32</t>
        </is>
      </c>
      <c r="Z30" s="30" t="inlineStr">
        <is>
          <t>776.68</t>
        </is>
      </c>
      <c r="AA30" s="30" t="inlineStr">
        <is>
          <t>130.39</t>
        </is>
      </c>
      <c r="AB30" s="30" t="inlineStr">
        <is>
          <t>-455.55</t>
        </is>
      </c>
      <c r="AC30" s="30" t="inlineStr">
        <is>
          <t>736.85</t>
        </is>
      </c>
      <c r="AD30" s="30" t="inlineStr">
        <is>
          <t>1,575.34</t>
        </is>
      </c>
      <c r="AE30" s="30" t="inlineStr">
        <is>
          <t>2,837.61</t>
        </is>
      </c>
      <c r="AF30" s="30" t="inlineStr">
        <is>
          <t>3,279.97</t>
        </is>
      </c>
      <c r="AG30" s="30" t="inlineStr">
        <is>
          <t>3,012.00</t>
        </is>
      </c>
      <c r="AH30" s="30" t="inlineStr">
        <is>
          <t>2,340.31</t>
        </is>
      </c>
      <c r="AI30" s="30" t="inlineStr">
        <is>
          <t>1,811.13</t>
        </is>
      </c>
    </row>
    <row r="31">
      <c r="A31" t="inlineStr">
        <is>
          <t>Profit/Loss After Tax And Before ExtraOrdinary Items</t>
        </is>
      </c>
      <c r="C31" s="33" t="n">
        <v>-1494.07</v>
      </c>
      <c r="D31" s="33" t="n">
        <v>-2743.84</v>
      </c>
      <c r="E31" s="33" t="n">
        <v>394.29</v>
      </c>
      <c r="F31" s="33" t="n">
        <v>421.37</v>
      </c>
      <c r="G31" s="33" t="n">
        <v>218.24</v>
      </c>
      <c r="H31" s="33" t="n">
        <v>474.89</v>
      </c>
      <c r="I31" s="33" t="n">
        <v>1539.21</v>
      </c>
      <c r="L31">
        <f>VALUE(C31)</f>
        <v/>
      </c>
      <c r="M31">
        <f>VALUE(D31)</f>
        <v/>
      </c>
      <c r="N31">
        <f>VALUE(E31)</f>
        <v/>
      </c>
      <c r="O31">
        <f>VALUE(F31)</f>
        <v/>
      </c>
      <c r="P31">
        <f>VALUE(G31)</f>
        <v/>
      </c>
      <c r="Q31">
        <f>VALUE(H31)</f>
        <v/>
      </c>
      <c r="R31">
        <f>VALUE(I31)</f>
        <v/>
      </c>
      <c r="Y31" s="30" t="inlineStr">
        <is>
          <t>1,188.02</t>
        </is>
      </c>
      <c r="Z31" s="30" t="inlineStr">
        <is>
          <t>828.95</t>
        </is>
      </c>
      <c r="AA31" s="30" t="inlineStr">
        <is>
          <t>478.74</t>
        </is>
      </c>
      <c r="AB31" s="30" t="inlineStr">
        <is>
          <t>-721.42</t>
        </is>
      </c>
      <c r="AC31" s="30" t="inlineStr">
        <is>
          <t>1,460.73</t>
        </is>
      </c>
      <c r="AD31" s="30" t="inlineStr">
        <is>
          <t>3,508.34</t>
        </is>
      </c>
      <c r="AE31" s="30" t="inlineStr">
        <is>
          <t>6,693.55</t>
        </is>
      </c>
      <c r="AF31" s="30" t="inlineStr">
        <is>
          <t>7,106.39</t>
        </is>
      </c>
      <c r="AG31" s="30" t="inlineStr">
        <is>
          <t>6,055.15</t>
        </is>
      </c>
      <c r="AH31" s="30" t="inlineStr">
        <is>
          <t>4,280.57</t>
        </is>
      </c>
      <c r="AI31" s="30" t="inlineStr">
        <is>
          <t>3,019.51</t>
        </is>
      </c>
    </row>
    <row r="32">
      <c r="A32" t="inlineStr">
        <is>
          <t>Profit/Loss From Continuing Operations</t>
        </is>
      </c>
      <c r="C32" s="33" t="n">
        <v>-1494.07</v>
      </c>
      <c r="D32" s="33" t="n">
        <v>-2743.84</v>
      </c>
      <c r="E32" s="33" t="n">
        <v>394.29</v>
      </c>
      <c r="F32" s="33" t="n">
        <v>421.37</v>
      </c>
      <c r="G32" s="33" t="n">
        <v>218.24</v>
      </c>
      <c r="H32" s="33" t="n">
        <v>474.89</v>
      </c>
      <c r="I32" s="33" t="n">
        <v>1539.21</v>
      </c>
      <c r="L32">
        <f>VALUE(C32)</f>
        <v/>
      </c>
      <c r="M32">
        <f>VALUE(D32)</f>
        <v/>
      </c>
      <c r="N32">
        <f>VALUE(E32)</f>
        <v/>
      </c>
      <c r="O32">
        <f>VALUE(F32)</f>
        <v/>
      </c>
      <c r="P32">
        <f>VALUE(G32)</f>
        <v/>
      </c>
      <c r="Q32">
        <f>VALUE(H32)</f>
        <v/>
      </c>
      <c r="R32">
        <f>VALUE(I32)</f>
        <v/>
      </c>
      <c r="Y32" s="30" t="inlineStr">
        <is>
          <t>1,188.02</t>
        </is>
      </c>
      <c r="Z32" s="30" t="inlineStr">
        <is>
          <t>828.95</t>
        </is>
      </c>
      <c r="AA32" s="30" t="inlineStr">
        <is>
          <t>478.74</t>
        </is>
      </c>
      <c r="AB32" s="30" t="inlineStr">
        <is>
          <t>-721.42</t>
        </is>
      </c>
      <c r="AC32" s="30" t="inlineStr">
        <is>
          <t>1,450.44</t>
        </is>
      </c>
      <c r="AD32" s="30" t="inlineStr">
        <is>
          <t>3,502.34</t>
        </is>
      </c>
      <c r="AE32" s="30" t="inlineStr">
        <is>
          <t>6,693.10</t>
        </is>
      </c>
      <c r="AF32" s="30" t="inlineStr">
        <is>
          <t>7,087.26</t>
        </is>
      </c>
      <c r="AG32" s="30" t="inlineStr">
        <is>
          <t>6,053.36</t>
        </is>
      </c>
      <c r="AH32" s="30" t="inlineStr">
        <is>
          <t>4,326.92</t>
        </is>
      </c>
      <c r="AI32" s="30" t="inlineStr">
        <is>
          <t>3,115.17</t>
        </is>
      </c>
    </row>
    <row r="33">
      <c r="A33" t="inlineStr">
        <is>
          <t>Profit/Loss For The Period</t>
        </is>
      </c>
      <c r="C33" s="33" t="n">
        <v>-1494.07</v>
      </c>
      <c r="D33" s="33" t="n">
        <v>-2743.84</v>
      </c>
      <c r="E33" s="33" t="n">
        <v>394.29</v>
      </c>
      <c r="F33" s="33" t="n">
        <v>421.37</v>
      </c>
      <c r="G33" s="33" t="n">
        <v>218.24</v>
      </c>
      <c r="H33" s="33" t="n">
        <v>474.89</v>
      </c>
      <c r="I33" s="33" t="n">
        <v>1539.21</v>
      </c>
      <c r="L33">
        <f>VALUE(C33)</f>
        <v/>
      </c>
      <c r="M33">
        <f>VALUE(D33)</f>
        <v/>
      </c>
      <c r="N33">
        <f>VALUE(E33)</f>
        <v/>
      </c>
      <c r="O33">
        <f>VALUE(F33)</f>
        <v/>
      </c>
      <c r="P33">
        <f>VALUE(G33)</f>
        <v/>
      </c>
      <c r="Q33">
        <f>VALUE(H33)</f>
        <v/>
      </c>
      <c r="R33">
        <f>VALUE(I33)</f>
        <v/>
      </c>
      <c r="Y33" s="30" t="inlineStr">
        <is>
          <t>1,188.02</t>
        </is>
      </c>
      <c r="Z33" s="30" t="inlineStr">
        <is>
          <t>828.95</t>
        </is>
      </c>
      <c r="AA33" s="30" t="inlineStr">
        <is>
          <t>478.74</t>
        </is>
      </c>
      <c r="AB33" s="30" t="inlineStr">
        <is>
          <t>-721.42</t>
        </is>
      </c>
      <c r="AC33" s="30" t="inlineStr">
        <is>
          <t>1,450.44</t>
        </is>
      </c>
      <c r="AD33" s="30" t="inlineStr">
        <is>
          <t>3,502.34</t>
        </is>
      </c>
      <c r="AE33" s="30" t="inlineStr">
        <is>
          <t>6,693.10</t>
        </is>
      </c>
      <c r="AF33" s="30" t="inlineStr">
        <is>
          <t>7,087.26</t>
        </is>
      </c>
      <c r="AG33" s="30" t="inlineStr">
        <is>
          <t>6,053.36</t>
        </is>
      </c>
      <c r="AH33" s="30" t="inlineStr">
        <is>
          <t>4,326.92</t>
        </is>
      </c>
      <c r="AI33" s="30" t="inlineStr">
        <is>
          <t>3,115.17</t>
        </is>
      </c>
    </row>
    <row r="34">
      <c r="A34" t="inlineStr">
        <is>
          <t>Minority Interest</t>
        </is>
      </c>
      <c r="C34" s="33" t="n">
        <v>2.34</v>
      </c>
      <c r="D34" s="33" t="n">
        <v>2.59</v>
      </c>
      <c r="E34" s="33" t="n">
        <v>1.32</v>
      </c>
      <c r="F34" s="33" t="n">
        <v>0</v>
      </c>
      <c r="G34" s="33" t="n">
        <v>0</v>
      </c>
      <c r="H34" s="33" t="n">
        <v>0</v>
      </c>
      <c r="I34" s="33" t="n">
        <v>0</v>
      </c>
      <c r="L34">
        <f>VALUE(C34)</f>
        <v/>
      </c>
      <c r="M34">
        <f>VALUE(D34)</f>
        <v/>
      </c>
      <c r="N34">
        <f>VALUE(E34)</f>
        <v/>
      </c>
      <c r="O34">
        <f>VALUE(F34)</f>
        <v/>
      </c>
      <c r="P34">
        <f>VALUE(G34)</f>
        <v/>
      </c>
      <c r="Q34">
        <f>VALUE(H34)</f>
        <v/>
      </c>
      <c r="R34">
        <f>VALUE(I34)</f>
        <v/>
      </c>
      <c r="Y34" s="30" t="inlineStr">
        <is>
          <t>2.68</t>
        </is>
      </c>
      <c r="Z34" s="30" t="inlineStr">
        <is>
          <t>2.97</t>
        </is>
      </c>
      <c r="AA34" s="30" t="inlineStr">
        <is>
          <t>2.08</t>
        </is>
      </c>
      <c r="AB34" s="30" t="inlineStr">
        <is>
          <t>1.45</t>
        </is>
      </c>
      <c r="AC34" s="30" t="inlineStr">
        <is>
          <t>1.94</t>
        </is>
      </c>
      <c r="AD34" s="30" t="inlineStr">
        <is>
          <t>0.52</t>
        </is>
      </c>
      <c r="AE34" s="30" t="inlineStr">
        <is>
          <t>0.27</t>
        </is>
      </c>
      <c r="AF34" s="30" t="inlineStr">
        <is>
          <t>0.18</t>
        </is>
      </c>
      <c r="AG34" s="30" t="inlineStr">
        <is>
          <t>0.00</t>
        </is>
      </c>
      <c r="AH34" s="30" t="inlineStr">
        <is>
          <t>0.00</t>
        </is>
      </c>
      <c r="AI34" s="30" t="inlineStr">
        <is>
          <t>0.00</t>
        </is>
      </c>
    </row>
    <row r="35">
      <c r="A35" t="inlineStr">
        <is>
          <t>Consolidated Profit/Loss After MI And Associates</t>
        </is>
      </c>
      <c r="C35" s="33" t="n">
        <v>-1466.01</v>
      </c>
      <c r="D35" s="33" t="n">
        <v>-2697.11</v>
      </c>
      <c r="E35" s="33" t="n">
        <v>446.03</v>
      </c>
      <c r="F35" s="33" t="n">
        <v>477.39</v>
      </c>
      <c r="G35" s="33" t="n">
        <v>282.22</v>
      </c>
      <c r="H35" s="33" t="n">
        <v>533.9</v>
      </c>
      <c r="I35" s="33" t="n">
        <v>1600.26</v>
      </c>
      <c r="L35">
        <f>VALUE(C35)</f>
        <v/>
      </c>
      <c r="M35">
        <f>VALUE(D35)</f>
        <v/>
      </c>
      <c r="N35">
        <f>VALUE(E35)</f>
        <v/>
      </c>
      <c r="O35">
        <f>VALUE(F35)</f>
        <v/>
      </c>
      <c r="P35">
        <f>VALUE(G35)</f>
        <v/>
      </c>
      <c r="Q35">
        <f>VALUE(H35)</f>
        <v/>
      </c>
      <c r="R35">
        <f>VALUE(I35)</f>
        <v/>
      </c>
      <c r="Y35" s="30" t="inlineStr">
        <is>
          <t>1,005.10</t>
        </is>
      </c>
      <c r="Z35" s="30" t="inlineStr">
        <is>
          <t>441.16</t>
        </is>
      </c>
      <c r="AA35" s="30" t="inlineStr">
        <is>
          <t>457.26</t>
        </is>
      </c>
      <c r="AB35" s="30" t="inlineStr">
        <is>
          <t>-704.13</t>
        </is>
      </c>
      <c r="AC35" s="30" t="inlineStr">
        <is>
          <t>1,452.38</t>
        </is>
      </c>
      <c r="AD35" s="30" t="inlineStr">
        <is>
          <t>3,502.86</t>
        </is>
      </c>
      <c r="AE35" s="30" t="inlineStr">
        <is>
          <t>6,693.37</t>
        </is>
      </c>
      <c r="AF35" s="30" t="inlineStr">
        <is>
          <t>7,087.44</t>
        </is>
      </c>
      <c r="AG35" s="30" t="inlineStr">
        <is>
          <t>6,053.36</t>
        </is>
      </c>
      <c r="AH35" s="30" t="inlineStr">
        <is>
          <t>4,326.92</t>
        </is>
      </c>
      <c r="AI35" s="30" t="inlineStr">
        <is>
          <t>3,115.17</t>
        </is>
      </c>
    </row>
    <row r="36">
      <c r="A36" t="inlineStr">
        <is>
          <t>OTHER ADDITIONAL INFORMATION</t>
        </is>
      </c>
      <c r="C36" s="33" t="n"/>
      <c r="D36" s="33" t="n"/>
      <c r="E36" s="33" t="n"/>
      <c r="F36" s="33" t="n"/>
      <c r="G36" s="33" t="n"/>
      <c r="H36" s="33" t="n"/>
      <c r="I36" s="33" t="n"/>
      <c r="Y36" s="30" t="inlineStr"/>
      <c r="Z36" s="30" t="inlineStr"/>
      <c r="AA36" s="30" t="inlineStr"/>
      <c r="AB36" s="30" t="inlineStr"/>
      <c r="AC36" s="30" t="inlineStr"/>
      <c r="AD36" s="30" t="inlineStr"/>
      <c r="AE36" s="30" t="inlineStr"/>
      <c r="AF36" s="30" t="inlineStr"/>
      <c r="AG36" s="30" t="inlineStr"/>
      <c r="AH36" s="30" t="inlineStr"/>
      <c r="AI36" s="30" t="inlineStr"/>
    </row>
    <row r="37">
      <c r="A37" t="inlineStr">
        <is>
          <t>EARNINGS PER SHARE</t>
        </is>
      </c>
      <c r="C37" s="33" t="n"/>
      <c r="D37" s="33" t="n"/>
      <c r="E37" s="33" t="n"/>
      <c r="F37" s="33" t="n"/>
      <c r="G37" s="33" t="n"/>
      <c r="H37" s="33" t="n"/>
      <c r="I37" s="33" t="n"/>
      <c r="Y37" s="30" t="inlineStr"/>
      <c r="Z37" s="30" t="inlineStr"/>
      <c r="AA37" s="30" t="inlineStr"/>
      <c r="AB37" s="30" t="inlineStr"/>
      <c r="AC37" s="30" t="inlineStr"/>
      <c r="AD37" s="30" t="inlineStr"/>
      <c r="AE37" s="30" t="inlineStr"/>
      <c r="AF37" s="30" t="inlineStr"/>
      <c r="AG37" s="30" t="inlineStr"/>
      <c r="AH37" s="30" t="inlineStr"/>
      <c r="AI37" s="30" t="inlineStr"/>
    </row>
    <row r="38">
      <c r="A38" t="inlineStr">
        <is>
          <t>Basic EPS (Rs.)</t>
        </is>
      </c>
      <c r="C38" s="33" t="n">
        <v>-4</v>
      </c>
      <c r="D38" s="33" t="n">
        <v>-8</v>
      </c>
      <c r="E38" s="33" t="n">
        <v>1</v>
      </c>
      <c r="F38" s="33" t="n">
        <v>1</v>
      </c>
      <c r="G38" s="33" t="n">
        <v>1</v>
      </c>
      <c r="H38" s="33" t="n">
        <v>2</v>
      </c>
      <c r="I38" s="33" t="n">
        <v>5</v>
      </c>
      <c r="L38">
        <f>VALUE(C38)</f>
        <v/>
      </c>
      <c r="M38">
        <f>VALUE(D38)</f>
        <v/>
      </c>
      <c r="N38">
        <f>VALUE(E38)</f>
        <v/>
      </c>
      <c r="O38">
        <f>VALUE(F38)</f>
        <v/>
      </c>
      <c r="P38">
        <f>VALUE(G38)</f>
        <v/>
      </c>
      <c r="Q38">
        <f>VALUE(H38)</f>
        <v/>
      </c>
      <c r="R38">
        <f>VALUE(I38)</f>
        <v/>
      </c>
      <c r="Y38" s="30" t="inlineStr">
        <is>
          <t>3.00</t>
        </is>
      </c>
      <c r="Z38" s="30" t="inlineStr">
        <is>
          <t>1.00</t>
        </is>
      </c>
      <c r="AA38" s="30" t="inlineStr">
        <is>
          <t>1.00</t>
        </is>
      </c>
      <c r="AB38" s="30" t="inlineStr">
        <is>
          <t>-3.00</t>
        </is>
      </c>
      <c r="AC38" s="30" t="inlineStr">
        <is>
          <t>6.00</t>
        </is>
      </c>
      <c r="AD38" s="30" t="inlineStr">
        <is>
          <t>14.00</t>
        </is>
      </c>
      <c r="AE38" s="30" t="inlineStr">
        <is>
          <t>27.00</t>
        </is>
      </c>
      <c r="AF38" s="30" t="inlineStr">
        <is>
          <t>29.00</t>
        </is>
      </c>
      <c r="AG38" s="30" t="inlineStr">
        <is>
          <t>25.00</t>
        </is>
      </c>
      <c r="AH38" s="30" t="inlineStr">
        <is>
          <t>88.00</t>
        </is>
      </c>
      <c r="AI38" s="30" t="inlineStr">
        <is>
          <t>64.00</t>
        </is>
      </c>
    </row>
    <row r="39">
      <c r="A39" t="inlineStr">
        <is>
          <t>Diluted EPS (Rs.)</t>
        </is>
      </c>
      <c r="C39" s="33" t="n">
        <v>-4</v>
      </c>
      <c r="D39" s="33" t="n">
        <v>-8</v>
      </c>
      <c r="E39" s="33" t="n">
        <v>1</v>
      </c>
      <c r="F39" s="33" t="n">
        <v>1</v>
      </c>
      <c r="G39" s="33" t="n">
        <v>1</v>
      </c>
      <c r="H39" s="33" t="n">
        <v>2</v>
      </c>
      <c r="I39" s="33" t="n">
        <v>5</v>
      </c>
      <c r="L39">
        <f>VALUE(C39)</f>
        <v/>
      </c>
      <c r="M39">
        <f>VALUE(D39)</f>
        <v/>
      </c>
      <c r="N39">
        <f>VALUE(E39)</f>
        <v/>
      </c>
      <c r="O39">
        <f>VALUE(F39)</f>
        <v/>
      </c>
      <c r="P39">
        <f>VALUE(G39)</f>
        <v/>
      </c>
      <c r="Q39">
        <f>VALUE(H39)</f>
        <v/>
      </c>
      <c r="R39">
        <f>VALUE(I39)</f>
        <v/>
      </c>
      <c r="Y39" s="30" t="inlineStr">
        <is>
          <t>3.00</t>
        </is>
      </c>
      <c r="Z39" s="30" t="inlineStr">
        <is>
          <t>1.00</t>
        </is>
      </c>
      <c r="AA39" s="30" t="inlineStr">
        <is>
          <t>1.00</t>
        </is>
      </c>
      <c r="AB39" s="30" t="inlineStr">
        <is>
          <t>-3.00</t>
        </is>
      </c>
      <c r="AC39" s="30" t="inlineStr">
        <is>
          <t>6.00</t>
        </is>
      </c>
      <c r="AD39" s="30" t="inlineStr">
        <is>
          <t>14.00</t>
        </is>
      </c>
      <c r="AE39" s="30" t="inlineStr">
        <is>
          <t>27.00</t>
        </is>
      </c>
      <c r="AF39" s="30" t="inlineStr">
        <is>
          <t>29.00</t>
        </is>
      </c>
      <c r="AG39" s="30" t="inlineStr">
        <is>
          <t>25.00</t>
        </is>
      </c>
      <c r="AH39" s="30" t="inlineStr">
        <is>
          <t>88.00</t>
        </is>
      </c>
      <c r="AI39" s="30" t="inlineStr">
        <is>
          <t>64.00</t>
        </is>
      </c>
    </row>
    <row r="40">
      <c r="A40" t="inlineStr">
        <is>
          <t>DIVIDEND AND DIVIDEND PERCENTAGE</t>
        </is>
      </c>
      <c r="C40" s="33" t="n"/>
      <c r="D40" s="33" t="n"/>
      <c r="E40" s="33" t="n"/>
      <c r="F40" s="33" t="n"/>
      <c r="G40" s="33" t="n"/>
      <c r="H40" s="33" t="n"/>
      <c r="I40" s="33" t="n"/>
      <c r="Y40" s="30" t="inlineStr"/>
      <c r="Z40" s="30" t="inlineStr"/>
      <c r="AA40" s="30" t="inlineStr"/>
      <c r="AB40" s="30" t="inlineStr"/>
      <c r="AC40" s="30" t="inlineStr"/>
      <c r="AD40" s="30" t="inlineStr"/>
      <c r="AE40" s="30" t="inlineStr"/>
      <c r="AF40" s="30" t="inlineStr"/>
      <c r="AG40" s="30" t="inlineStr"/>
      <c r="AH40" s="30" t="inlineStr"/>
      <c r="AI40" s="30" t="inlineStr"/>
    </row>
    <row r="41">
      <c r="A41" t="inlineStr">
        <is>
          <t>Equity Share Dividend</t>
        </is>
      </c>
      <c r="C41" s="33" t="n">
        <v>0</v>
      </c>
      <c r="D41" s="33" t="n">
        <v>0</v>
      </c>
      <c r="E41" s="33" t="n">
        <v>0</v>
      </c>
      <c r="F41" s="33" t="n">
        <v>139.28</v>
      </c>
      <c r="G41" s="33" t="n">
        <v>139.28</v>
      </c>
      <c r="H41" s="33" t="n">
        <v>87.05</v>
      </c>
      <c r="I41" s="33" t="n">
        <v>0</v>
      </c>
      <c r="L41">
        <f>VALUE(C41)</f>
        <v/>
      </c>
      <c r="M41">
        <f>VALUE(D41)</f>
        <v/>
      </c>
      <c r="N41">
        <f>VALUE(E41)</f>
        <v/>
      </c>
      <c r="O41">
        <f>VALUE(F41)</f>
        <v/>
      </c>
      <c r="P41">
        <f>VALUE(G41)</f>
        <v/>
      </c>
      <c r="Q41">
        <f>VALUE(H41)</f>
        <v/>
      </c>
      <c r="R41">
        <f>VALUE(I41)</f>
        <v/>
      </c>
      <c r="Y41" s="30" t="inlineStr">
        <is>
          <t>278.57</t>
        </is>
      </c>
      <c r="Z41" s="30" t="inlineStr">
        <is>
          <t>293.71</t>
        </is>
      </c>
      <c r="AA41" s="30" t="inlineStr">
        <is>
          <t>195.81</t>
        </is>
      </c>
      <c r="AB41" s="30" t="inlineStr">
        <is>
          <t>151.75</t>
        </is>
      </c>
      <c r="AC41" s="30" t="inlineStr">
        <is>
          <t>300.82</t>
        </is>
      </c>
      <c r="AD41" s="30" t="inlineStr">
        <is>
          <t>709.57</t>
        </is>
      </c>
      <c r="AE41" s="30" t="inlineStr">
        <is>
          <t>804.11</t>
        </is>
      </c>
      <c r="AF41" s="30" t="inlineStr">
        <is>
          <t>1,582.65</t>
        </is>
      </c>
      <c r="AG41" s="30" t="inlineStr">
        <is>
          <t>1,541.81</t>
        </is>
      </c>
      <c r="AH41" s="30" t="inlineStr">
        <is>
          <t>1,155.81</t>
        </is>
      </c>
      <c r="AI41" s="30" t="inlineStr">
        <is>
          <t>842.89</t>
        </is>
      </c>
    </row>
    <row r="42">
      <c r="A42" t="inlineStr">
        <is>
          <t>Tax On Dividend</t>
        </is>
      </c>
      <c r="C42" s="33" t="n">
        <v>0</v>
      </c>
      <c r="D42" s="33" t="n">
        <v>0</v>
      </c>
      <c r="E42" s="33" t="n">
        <v>0</v>
      </c>
      <c r="F42" s="33" t="n">
        <v>0</v>
      </c>
      <c r="G42" s="33" t="n">
        <v>0</v>
      </c>
      <c r="H42" s="33" t="n">
        <v>0</v>
      </c>
      <c r="I42" s="33" t="n">
        <v>0</v>
      </c>
      <c r="L42">
        <f>VALUE(C42)</f>
        <v/>
      </c>
      <c r="M42">
        <f>VALUE(D42)</f>
        <v/>
      </c>
      <c r="N42">
        <f>VALUE(E42)</f>
        <v/>
      </c>
      <c r="O42">
        <f>VALUE(F42)</f>
        <v/>
      </c>
      <c r="P42">
        <f>VALUE(G42)</f>
        <v/>
      </c>
      <c r="Q42">
        <f>VALUE(H42)</f>
        <v/>
      </c>
      <c r="R42">
        <f>VALUE(I42)</f>
        <v/>
      </c>
      <c r="Y42" s="30" t="inlineStr">
        <is>
          <t>134.24</t>
        </is>
      </c>
      <c r="Z42" s="30" t="inlineStr">
        <is>
          <t>98.66</t>
        </is>
      </c>
      <c r="AA42" s="30" t="inlineStr">
        <is>
          <t>59.79</t>
        </is>
      </c>
      <c r="AB42" s="30" t="inlineStr">
        <is>
          <t>30.89</t>
        </is>
      </c>
      <c r="AC42" s="30" t="inlineStr">
        <is>
          <t>60.61</t>
        </is>
      </c>
      <c r="AD42" s="30" t="inlineStr">
        <is>
          <t>120.59</t>
        </is>
      </c>
      <c r="AE42" s="30" t="inlineStr">
        <is>
          <t>136.66</t>
        </is>
      </c>
      <c r="AF42" s="30" t="inlineStr">
        <is>
          <t>256.74</t>
        </is>
      </c>
      <c r="AG42" s="30" t="inlineStr">
        <is>
          <t>252.67</t>
        </is>
      </c>
      <c r="AH42" s="30" t="inlineStr">
        <is>
          <t>194.09</t>
        </is>
      </c>
      <c r="AI42" s="30" t="inlineStr">
        <is>
          <t>143.96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65"/>
  <sheetViews>
    <sheetView showGridLines="0" workbookViewId="0">
      <selection activeCell="A1" sqref="A1"/>
    </sheetView>
  </sheetViews>
  <sheetFormatPr baseColWidth="8" defaultRowHeight="15"/>
  <cols>
    <col width="2" customWidth="1" style="46" min="1" max="1"/>
    <col width="44" customWidth="1" style="46" min="2" max="2"/>
    <col width="11" customWidth="1" style="46" min="3" max="3"/>
    <col width="10" customWidth="1" style="46" min="10" max="10"/>
    <col width="10" customWidth="1" style="46" min="11" max="11"/>
    <col width="10" customWidth="1" style="46" min="12" max="12"/>
    <col width="10" customWidth="1" style="46" min="13" max="13"/>
    <col width="10" customWidth="1" style="46" min="14" max="14"/>
    <col width="10" customWidth="1" style="46" min="15" max="15"/>
    <col width="10" customWidth="1" style="46" min="16" max="16"/>
    <col width="66" customWidth="1" style="46" min="17" max="17"/>
  </cols>
  <sheetData>
    <row r="1">
      <c r="B1" s="53" t="inlineStr">
        <is>
          <t>FORECAST ASSUMPTIONS  -  variable (scenario-driven) &amp; fixed</t>
        </is>
      </c>
    </row>
    <row r="3">
      <c r="B3" s="76" t="inlineStr">
        <is>
          <t>Scenario Switch</t>
        </is>
      </c>
      <c r="C3" s="77" t="inlineStr">
        <is>
          <t>Base</t>
        </is>
      </c>
      <c r="E3" s="78" t="inlineStr">
        <is>
          <t>&lt;- toggle Base / Best / Bear and the whole PL, BS &amp; engine recalculate</t>
        </is>
      </c>
    </row>
    <row r="4">
      <c r="E4" s="79" t="inlineStr">
        <is>
          <t>Active scenario FY2033E:</t>
        </is>
      </c>
      <c r="G4" s="79">
        <f>"Sales "&amp;TEXT('PL'!P5,"#,##0")&amp;"  |  EBITDA "&amp;TEXT('PL'!P12,"#,##0")&amp;"  |  PAT "&amp;TEXT('PL'!P20,"#,##0")</f>
        <v/>
      </c>
    </row>
    <row r="6">
      <c r="B6" s="61" t="inlineStr">
        <is>
          <t>A.  VARIABLE ASSUMPTIONS  (Base / Best / Bear, selected by Scenario Switch)</t>
        </is>
      </c>
    </row>
    <row r="7">
      <c r="B7" s="68" t="inlineStr">
        <is>
          <t>ratios / INR Crore</t>
        </is>
      </c>
      <c r="J7" s="55" t="n">
        <v>2027</v>
      </c>
      <c r="K7" s="55" t="n">
        <v>2028</v>
      </c>
      <c r="L7" s="55" t="n">
        <v>2029</v>
      </c>
      <c r="M7" s="55" t="n">
        <v>2030</v>
      </c>
      <c r="N7" s="55" t="n">
        <v>2031</v>
      </c>
      <c r="O7" s="55" t="n">
        <v>2032</v>
      </c>
      <c r="P7" s="55" t="n">
        <v>2033</v>
      </c>
      <c r="Q7" s="54" t="inlineStr">
        <is>
          <t>Rationale</t>
        </is>
      </c>
    </row>
    <row r="8" ht="40" customHeight="1" s="46">
      <c r="B8" s="63" t="inlineStr">
        <is>
          <t>Revenue growth %</t>
        </is>
      </c>
      <c r="J8" s="80">
        <f>IF($C$3="Best",J10,IF($C$3="Bear",J11,J9))</f>
        <v/>
      </c>
      <c r="K8" s="80">
        <f>IF($C$3="Best",K10,IF($C$3="Bear",K11,K9))</f>
        <v/>
      </c>
      <c r="L8" s="80">
        <f>IF($C$3="Best",L10,IF($C$3="Bear",L11,L9))</f>
        <v/>
      </c>
      <c r="M8" s="80">
        <f>IF($C$3="Best",M10,IF($C$3="Bear",M11,M9))</f>
        <v/>
      </c>
      <c r="N8" s="80">
        <f>IF($C$3="Best",N10,IF($C$3="Bear",N11,N9))</f>
        <v/>
      </c>
      <c r="O8" s="80">
        <f>IF($C$3="Best",O10,IF($C$3="Bear",O11,O9))</f>
        <v/>
      </c>
      <c r="P8" s="80">
        <f>IF($C$3="Best",P10,IF($C$3="Bear",P11,P9))</f>
        <v/>
      </c>
      <c r="Q8" s="58" t="inlineStr">
        <is>
          <t>Demand driver. Base = order-book-supported double digits tapering; Best = faster execution/new ordering; Bear = slower power capex &amp; execution delays.</t>
        </is>
      </c>
    </row>
    <row r="9">
      <c r="B9" s="81" t="inlineStr">
        <is>
          <t xml:space="preserve">   Base</t>
        </is>
      </c>
      <c r="J9" s="57" t="n">
        <v>0.15</v>
      </c>
      <c r="K9" s="57" t="n">
        <v>0.14</v>
      </c>
      <c r="L9" s="57" t="n">
        <v>0.13</v>
      </c>
      <c r="M9" s="57" t="n">
        <v>0.12</v>
      </c>
      <c r="N9" s="57" t="n">
        <v>0.11</v>
      </c>
      <c r="O9" s="57" t="n">
        <v>0.1</v>
      </c>
      <c r="P9" s="57" t="n">
        <v>0.09</v>
      </c>
    </row>
    <row r="10">
      <c r="B10" s="81" t="inlineStr">
        <is>
          <t xml:space="preserve">   Best</t>
        </is>
      </c>
      <c r="J10" s="57" t="n">
        <v>0.18</v>
      </c>
      <c r="K10" s="57" t="n">
        <v>0.17</v>
      </c>
      <c r="L10" s="57" t="n">
        <v>0.16</v>
      </c>
      <c r="M10" s="57" t="n">
        <v>0.14</v>
      </c>
      <c r="N10" s="57" t="n">
        <v>0.13</v>
      </c>
      <c r="O10" s="57" t="n">
        <v>0.12</v>
      </c>
      <c r="P10" s="57" t="n">
        <v>0.11</v>
      </c>
    </row>
    <row r="11">
      <c r="B11" s="81" t="inlineStr">
        <is>
          <t xml:space="preserve">   Bear</t>
        </is>
      </c>
      <c r="J11" s="57" t="n">
        <v>0.1</v>
      </c>
      <c r="K11" s="57" t="n">
        <v>0.09</v>
      </c>
      <c r="L11" s="57" t="n">
        <v>0.08</v>
      </c>
      <c r="M11" s="57" t="n">
        <v>0.07000000000000001</v>
      </c>
      <c r="N11" s="57" t="n">
        <v>0.06</v>
      </c>
      <c r="O11" s="57" t="n">
        <v>0.06</v>
      </c>
      <c r="P11" s="57" t="n">
        <v>0.05</v>
      </c>
    </row>
    <row r="13" ht="40" customHeight="1" s="46">
      <c r="B13" s="63" t="inlineStr">
        <is>
          <t>Gross margin %</t>
        </is>
      </c>
      <c r="J13" s="80">
        <f>IF($C$3="Best",J15,IF($C$3="Bear",J16,J14))</f>
        <v/>
      </c>
      <c r="K13" s="80">
        <f>IF($C$3="Best",K15,IF($C$3="Bear",K16,K14))</f>
        <v/>
      </c>
      <c r="L13" s="80">
        <f>IF($C$3="Best",L15,IF($C$3="Bear",L16,L14))</f>
        <v/>
      </c>
      <c r="M13" s="80">
        <f>IF($C$3="Best",M15,IF($C$3="Bear",M16,M14))</f>
        <v/>
      </c>
      <c r="N13" s="80">
        <f>IF($C$3="Best",N15,IF($C$3="Bear",N16,N14))</f>
        <v/>
      </c>
      <c r="O13" s="80">
        <f>IF($C$3="Best",O15,IF($C$3="Bear",O16,O14))</f>
        <v/>
      </c>
      <c r="P13" s="80">
        <f>IF($C$3="Best",P15,IF($C$3="Bear",P16,P14))</f>
        <v/>
      </c>
      <c r="Q13" s="58" t="inlineStr">
        <is>
          <t>Margin driver. Actual FY26 32.0%. Best = favourable mix + benign steel/copper; Bear = commodity inflation &amp; competitive pricing.</t>
        </is>
      </c>
    </row>
    <row r="14">
      <c r="B14" s="81" t="inlineStr">
        <is>
          <t xml:space="preserve">   Base</t>
        </is>
      </c>
      <c r="J14" s="57" t="n">
        <v>0.325</v>
      </c>
      <c r="K14" s="57" t="n">
        <v>0.33</v>
      </c>
      <c r="L14" s="57" t="n">
        <v>0.335</v>
      </c>
      <c r="M14" s="57" t="n">
        <v>0.34</v>
      </c>
      <c r="N14" s="57" t="n">
        <v>0.34</v>
      </c>
      <c r="O14" s="57" t="n">
        <v>0.345</v>
      </c>
      <c r="P14" s="57" t="n">
        <v>0.35</v>
      </c>
    </row>
    <row r="15">
      <c r="B15" s="81" t="inlineStr">
        <is>
          <t xml:space="preserve">   Best</t>
        </is>
      </c>
      <c r="J15" s="57" t="n">
        <v>0.335</v>
      </c>
      <c r="K15" s="57" t="n">
        <v>0.345</v>
      </c>
      <c r="L15" s="57" t="n">
        <v>0.355</v>
      </c>
      <c r="M15" s="57" t="n">
        <v>0.36</v>
      </c>
      <c r="N15" s="57" t="n">
        <v>0.365</v>
      </c>
      <c r="O15" s="57" t="n">
        <v>0.37</v>
      </c>
      <c r="P15" s="57" t="n">
        <v>0.375</v>
      </c>
    </row>
    <row r="16">
      <c r="B16" s="81" t="inlineStr">
        <is>
          <t xml:space="preserve">   Bear</t>
        </is>
      </c>
      <c r="J16" s="57" t="n">
        <v>0.31</v>
      </c>
      <c r="K16" s="57" t="n">
        <v>0.31</v>
      </c>
      <c r="L16" s="57" t="n">
        <v>0.315</v>
      </c>
      <c r="M16" s="57" t="n">
        <v>0.315</v>
      </c>
      <c r="N16" s="57" t="n">
        <v>0.32</v>
      </c>
      <c r="O16" s="57" t="n">
        <v>0.32</v>
      </c>
      <c r="P16" s="57" t="n">
        <v>0.325</v>
      </c>
    </row>
    <row r="18" ht="40" customHeight="1" s="46">
      <c r="B18" s="63" t="inlineStr">
        <is>
          <t>EBITDA margin %</t>
        </is>
      </c>
      <c r="J18" s="80">
        <f>IF($C$3="Best",J20,IF($C$3="Bear",J21,J19))</f>
        <v/>
      </c>
      <c r="K18" s="80">
        <f>IF($C$3="Best",K20,IF($C$3="Bear",K21,K19))</f>
        <v/>
      </c>
      <c r="L18" s="80">
        <f>IF($C$3="Best",L20,IF($C$3="Bear",L21,L19))</f>
        <v/>
      </c>
      <c r="M18" s="80">
        <f>IF($C$3="Best",M20,IF($C$3="Bear",M21,M19))</f>
        <v/>
      </c>
      <c r="N18" s="80">
        <f>IF($C$3="Best",N20,IF($C$3="Bear",N21,N19))</f>
        <v/>
      </c>
      <c r="O18" s="80">
        <f>IF($C$3="Best",O20,IF($C$3="Bear",O21,O19))</f>
        <v/>
      </c>
      <c r="P18" s="80">
        <f>IF($C$3="Best",P20,IF($C$3="Bear",P21,P19))</f>
        <v/>
      </c>
      <c r="Q18" s="58" t="inlineStr">
        <is>
          <t>Operating leverage. Actual FY26 6.9%. Best = strong leverage to low-/mid-teens; Bear = limited leverage if growth disappoints.</t>
        </is>
      </c>
    </row>
    <row r="19">
      <c r="B19" s="81" t="inlineStr">
        <is>
          <t xml:space="preserve">   Base</t>
        </is>
      </c>
      <c r="J19" s="57" t="n">
        <v>0.08</v>
      </c>
      <c r="K19" s="57" t="n">
        <v>0.09</v>
      </c>
      <c r="L19" s="57" t="n">
        <v>0.1</v>
      </c>
      <c r="M19" s="57" t="n">
        <v>0.11</v>
      </c>
      <c r="N19" s="57" t="n">
        <v>0.115</v>
      </c>
      <c r="O19" s="57" t="n">
        <v>0.12</v>
      </c>
      <c r="P19" s="57" t="n">
        <v>0.125</v>
      </c>
    </row>
    <row r="20">
      <c r="B20" s="81" t="inlineStr">
        <is>
          <t xml:space="preserve">   Best</t>
        </is>
      </c>
      <c r="J20" s="57" t="n">
        <v>0.095</v>
      </c>
      <c r="K20" s="57" t="n">
        <v>0.11</v>
      </c>
      <c r="L20" s="57" t="n">
        <v>0.12</v>
      </c>
      <c r="M20" s="57" t="n">
        <v>0.13</v>
      </c>
      <c r="N20" s="57" t="n">
        <v>0.135</v>
      </c>
      <c r="O20" s="57" t="n">
        <v>0.14</v>
      </c>
      <c r="P20" s="57" t="n">
        <v>0.145</v>
      </c>
    </row>
    <row r="21">
      <c r="B21" s="81" t="inlineStr">
        <is>
          <t xml:space="preserve">   Bear</t>
        </is>
      </c>
      <c r="J21" s="57" t="n">
        <v>0.065</v>
      </c>
      <c r="K21" s="57" t="n">
        <v>0.07000000000000001</v>
      </c>
      <c r="L21" s="57" t="n">
        <v>0.078</v>
      </c>
      <c r="M21" s="57" t="n">
        <v>0.08500000000000001</v>
      </c>
      <c r="N21" s="57" t="n">
        <v>0.09</v>
      </c>
      <c r="O21" s="57" t="n">
        <v>0.095</v>
      </c>
      <c r="P21" s="57" t="n">
        <v>0.1</v>
      </c>
    </row>
    <row r="23" ht="40" customHeight="1" s="46">
      <c r="B23" s="63" t="inlineStr">
        <is>
          <t>Receivable days</t>
        </is>
      </c>
      <c r="J23" s="82">
        <f>IF($C$3="Best",J25,IF($C$3="Bear",J26,J24))</f>
        <v/>
      </c>
      <c r="K23" s="82">
        <f>IF($C$3="Best",K25,IF($C$3="Bear",K26,K24))</f>
        <v/>
      </c>
      <c r="L23" s="82">
        <f>IF($C$3="Best",L25,IF($C$3="Bear",L26,L24))</f>
        <v/>
      </c>
      <c r="M23" s="82">
        <f>IF($C$3="Best",M25,IF($C$3="Bear",M26,M24))</f>
        <v/>
      </c>
      <c r="N23" s="82">
        <f>IF($C$3="Best",N25,IF($C$3="Bear",N26,N24))</f>
        <v/>
      </c>
      <c r="O23" s="82">
        <f>IF($C$3="Best",O25,IF($C$3="Bear",O26,O24))</f>
        <v/>
      </c>
      <c r="P23" s="82">
        <f>IF($C$3="Best",P25,IF($C$3="Bear",P26,P24))</f>
        <v/>
      </c>
      <c r="Q23" s="58" t="inlineStr">
        <is>
          <t>Collections cycle. Best = faster realisation from PSU/SEB customers; Bear = stretched receivables in a weak cycle.</t>
        </is>
      </c>
    </row>
    <row r="24">
      <c r="B24" s="81" t="inlineStr">
        <is>
          <t xml:space="preserve">   Base</t>
        </is>
      </c>
      <c r="J24" s="59" t="n">
        <v>73</v>
      </c>
      <c r="K24" s="59" t="n">
        <v>73</v>
      </c>
      <c r="L24" s="59" t="n">
        <v>73</v>
      </c>
      <c r="M24" s="59" t="n">
        <v>72</v>
      </c>
      <c r="N24" s="59" t="n">
        <v>72</v>
      </c>
      <c r="O24" s="59" t="n">
        <v>72</v>
      </c>
      <c r="P24" s="59" t="n">
        <v>72</v>
      </c>
    </row>
    <row r="25">
      <c r="B25" s="81" t="inlineStr">
        <is>
          <t xml:space="preserve">   Best</t>
        </is>
      </c>
      <c r="J25" s="59" t="n">
        <v>70</v>
      </c>
      <c r="K25" s="59" t="n">
        <v>68</v>
      </c>
      <c r="L25" s="59" t="n">
        <v>66</v>
      </c>
      <c r="M25" s="59" t="n">
        <v>65</v>
      </c>
      <c r="N25" s="59" t="n">
        <v>64</v>
      </c>
      <c r="O25" s="59" t="n">
        <v>63</v>
      </c>
      <c r="P25" s="59" t="n">
        <v>62</v>
      </c>
    </row>
    <row r="26">
      <c r="B26" s="81" t="inlineStr">
        <is>
          <t xml:space="preserve">   Bear</t>
        </is>
      </c>
      <c r="J26" s="59" t="n">
        <v>80</v>
      </c>
      <c r="K26" s="59" t="n">
        <v>82</v>
      </c>
      <c r="L26" s="59" t="n">
        <v>84</v>
      </c>
      <c r="M26" s="59" t="n">
        <v>85</v>
      </c>
      <c r="N26" s="59" t="n">
        <v>86</v>
      </c>
      <c r="O26" s="59" t="n">
        <v>86</v>
      </c>
      <c r="P26" s="59" t="n">
        <v>86</v>
      </c>
    </row>
    <row r="28" ht="40" customHeight="1" s="46">
      <c r="B28" s="63" t="inlineStr">
        <is>
          <t>Inventory days (on COGS)</t>
        </is>
      </c>
      <c r="J28" s="82">
        <f>IF($C$3="Best",J30,IF($C$3="Bear",J31,J29))</f>
        <v/>
      </c>
      <c r="K28" s="82">
        <f>IF($C$3="Best",K30,IF($C$3="Bear",K31,K29))</f>
        <v/>
      </c>
      <c r="L28" s="82">
        <f>IF($C$3="Best",L30,IF($C$3="Bear",L31,L29))</f>
        <v/>
      </c>
      <c r="M28" s="82">
        <f>IF($C$3="Best",M30,IF($C$3="Bear",M31,M29))</f>
        <v/>
      </c>
      <c r="N28" s="82">
        <f>IF($C$3="Best",N30,IF($C$3="Bear",N31,N29))</f>
        <v/>
      </c>
      <c r="O28" s="82">
        <f>IF($C$3="Best",O30,IF($C$3="Bear",O31,O29))</f>
        <v/>
      </c>
      <c r="P28" s="82">
        <f>IF($C$3="Best",P30,IF($C$3="Bear",P31,P29))</f>
        <v/>
      </c>
      <c r="Q28" s="58" t="inlineStr">
        <is>
          <t>Project inventory cycle. Best = tighter planning/execution; Bear = slow-moving project inventory build-up.</t>
        </is>
      </c>
    </row>
    <row r="29">
      <c r="B29" s="81" t="inlineStr">
        <is>
          <t xml:space="preserve">   Base</t>
        </is>
      </c>
      <c r="J29" s="59" t="n">
        <v>210</v>
      </c>
      <c r="K29" s="59" t="n">
        <v>205</v>
      </c>
      <c r="L29" s="59" t="n">
        <v>202</v>
      </c>
      <c r="M29" s="59" t="n">
        <v>200</v>
      </c>
      <c r="N29" s="59" t="n">
        <v>198</v>
      </c>
      <c r="O29" s="59" t="n">
        <v>195</v>
      </c>
      <c r="P29" s="59" t="n">
        <v>193</v>
      </c>
    </row>
    <row r="30">
      <c r="B30" s="81" t="inlineStr">
        <is>
          <t xml:space="preserve">   Best</t>
        </is>
      </c>
      <c r="J30" s="59" t="n">
        <v>195</v>
      </c>
      <c r="K30" s="59" t="n">
        <v>188</v>
      </c>
      <c r="L30" s="59" t="n">
        <v>182</v>
      </c>
      <c r="M30" s="59" t="n">
        <v>178</v>
      </c>
      <c r="N30" s="59" t="n">
        <v>175</v>
      </c>
      <c r="O30" s="59" t="n">
        <v>172</v>
      </c>
      <c r="P30" s="59" t="n">
        <v>170</v>
      </c>
    </row>
    <row r="31">
      <c r="B31" s="81" t="inlineStr">
        <is>
          <t xml:space="preserve">   Bear</t>
        </is>
      </c>
      <c r="J31" s="59" t="n">
        <v>225</v>
      </c>
      <c r="K31" s="59" t="n">
        <v>225</v>
      </c>
      <c r="L31" s="59" t="n">
        <v>222</v>
      </c>
      <c r="M31" s="59" t="n">
        <v>220</v>
      </c>
      <c r="N31" s="59" t="n">
        <v>218</v>
      </c>
      <c r="O31" s="59" t="n">
        <v>215</v>
      </c>
      <c r="P31" s="59" t="n">
        <v>213</v>
      </c>
    </row>
    <row r="34">
      <c r="B34" s="61" t="inlineStr">
        <is>
          <t>B.  FIXED ASSUMPTIONS  (structural / policy - constant across scenarios)</t>
        </is>
      </c>
    </row>
    <row r="35">
      <c r="B35" s="68" t="inlineStr">
        <is>
          <t>ratios / INR Crore</t>
        </is>
      </c>
      <c r="J35" s="55" t="n">
        <v>2027</v>
      </c>
      <c r="K35" s="55" t="n">
        <v>2028</v>
      </c>
      <c r="L35" s="55" t="n">
        <v>2029</v>
      </c>
      <c r="M35" s="55" t="n">
        <v>2030</v>
      </c>
      <c r="N35" s="55" t="n">
        <v>2031</v>
      </c>
      <c r="O35" s="55" t="n">
        <v>2032</v>
      </c>
      <c r="P35" s="55" t="n">
        <v>2033</v>
      </c>
      <c r="Q35" s="54" t="inlineStr">
        <is>
          <t>Rationale</t>
        </is>
      </c>
    </row>
    <row r="36" ht="28" customHeight="1" s="46">
      <c r="B36" s="56" t="inlineStr">
        <is>
          <t>Employee cost % of sales</t>
        </is>
      </c>
      <c r="J36" s="57" t="n">
        <v>0.185</v>
      </c>
      <c r="K36" s="57" t="n">
        <v>0.18</v>
      </c>
      <c r="L36" s="57" t="n">
        <v>0.175</v>
      </c>
      <c r="M36" s="57" t="n">
        <v>0.17</v>
      </c>
      <c r="N36" s="57" t="n">
        <v>0.165</v>
      </c>
      <c r="O36" s="57" t="n">
        <v>0.16</v>
      </c>
      <c r="P36" s="57" t="n">
        <v>0.155</v>
      </c>
      <c r="Q36" s="58" t="inlineStr">
        <is>
          <t>Largely fixed cost base; declines as % as sales scale (FY26 19.1%).</t>
        </is>
      </c>
    </row>
    <row r="37" ht="28" customHeight="1" s="46">
      <c r="B37" s="56" t="inlineStr">
        <is>
          <t>Other income % of sales</t>
        </is>
      </c>
      <c r="J37" s="57" t="n">
        <v>0.022</v>
      </c>
      <c r="K37" s="57" t="n">
        <v>0.022</v>
      </c>
      <c r="L37" s="57" t="n">
        <v>0.022</v>
      </c>
      <c r="M37" s="57" t="n">
        <v>0.022</v>
      </c>
      <c r="N37" s="57" t="n">
        <v>0.022</v>
      </c>
      <c r="O37" s="57" t="n">
        <v>0.022</v>
      </c>
      <c r="P37" s="57" t="n">
        <v>0.022</v>
      </c>
      <c r="Q37" s="58" t="inlineStr">
        <is>
          <t>Treasury income on cash (~2.2%).</t>
        </is>
      </c>
    </row>
    <row r="38" ht="28" customHeight="1" s="46">
      <c r="B38" s="56" t="inlineStr">
        <is>
          <t>Payable days (on COGS)</t>
        </is>
      </c>
      <c r="J38" s="59" t="n">
        <v>167</v>
      </c>
      <c r="K38" s="59" t="n">
        <v>167</v>
      </c>
      <c r="L38" s="59" t="n">
        <v>167</v>
      </c>
      <c r="M38" s="59" t="n">
        <v>167</v>
      </c>
      <c r="N38" s="59" t="n">
        <v>167</v>
      </c>
      <c r="O38" s="59" t="n">
        <v>167</v>
      </c>
      <c r="P38" s="59" t="n">
        <v>167</v>
      </c>
      <c r="Q38" s="58" t="inlineStr">
        <is>
          <t>Supplier credit ~167 days (FY26 actual).</t>
        </is>
      </c>
    </row>
    <row r="39" ht="28" customHeight="1" s="46">
      <c r="B39" s="56" t="inlineStr">
        <is>
          <t>Other current assets % of sales</t>
        </is>
      </c>
      <c r="J39" s="57" t="n">
        <v>0.57</v>
      </c>
      <c r="K39" s="57" t="n">
        <v>0.5600000000000001</v>
      </c>
      <c r="L39" s="57" t="n">
        <v>0.55</v>
      </c>
      <c r="M39" s="57" t="n">
        <v>0.54</v>
      </c>
      <c r="N39" s="57" t="n">
        <v>0.53</v>
      </c>
      <c r="O39" s="57" t="n">
        <v>0.52</v>
      </c>
      <c r="P39" s="57" t="n">
        <v>0.51</v>
      </c>
      <c r="Q39" s="58" t="inlineStr">
        <is>
          <t>Unbilled/contract assets &amp; advances; ~58% of sales declining.</t>
        </is>
      </c>
    </row>
    <row r="40" ht="28" customHeight="1" s="46">
      <c r="B40" s="56" t="inlineStr">
        <is>
          <t>Other current liabilities % of sales</t>
        </is>
      </c>
      <c r="J40" s="57" t="n">
        <v>0.4</v>
      </c>
      <c r="K40" s="57" t="n">
        <v>0.4</v>
      </c>
      <c r="L40" s="57" t="n">
        <v>0.39</v>
      </c>
      <c r="M40" s="57" t="n">
        <v>0.39</v>
      </c>
      <c r="N40" s="57" t="n">
        <v>0.38</v>
      </c>
      <c r="O40" s="57" t="n">
        <v>0.38</v>
      </c>
      <c r="P40" s="57" t="n">
        <v>0.37</v>
      </c>
      <c r="Q40" s="58" t="inlineStr">
        <is>
          <t>Customer advances &amp; provisions; key WC funding (~41%).</t>
        </is>
      </c>
    </row>
    <row r="41" ht="28" customHeight="1" s="46">
      <c r="B41" s="56" t="inlineStr">
        <is>
          <t>Other non-current assets growth %</t>
        </is>
      </c>
      <c r="J41" s="57" t="n">
        <v>0.03</v>
      </c>
      <c r="K41" s="57" t="n">
        <v>0.03</v>
      </c>
      <c r="L41" s="57" t="n">
        <v>0.03</v>
      </c>
      <c r="M41" s="57" t="n">
        <v>0.03</v>
      </c>
      <c r="N41" s="57" t="n">
        <v>0.03</v>
      </c>
      <c r="O41" s="57" t="n">
        <v>0.03</v>
      </c>
      <c r="P41" s="57" t="n">
        <v>0.03</v>
      </c>
      <c r="Q41" s="58" t="inlineStr">
        <is>
          <t>Deferred tax assets, legacy LT receivables; slow growth.</t>
        </is>
      </c>
    </row>
    <row r="42" ht="28" customHeight="1" s="46">
      <c r="B42" s="56" t="inlineStr">
        <is>
          <t>Other non-current liabilities growth %</t>
        </is>
      </c>
      <c r="J42" s="57" t="n">
        <v>0.04</v>
      </c>
      <c r="K42" s="57" t="n">
        <v>0.04</v>
      </c>
      <c r="L42" s="57" t="n">
        <v>0.04</v>
      </c>
      <c r="M42" s="57" t="n">
        <v>0.04</v>
      </c>
      <c r="N42" s="57" t="n">
        <v>0.04</v>
      </c>
      <c r="O42" s="57" t="n">
        <v>0.04</v>
      </c>
      <c r="P42" s="57" t="n">
        <v>0.04</v>
      </c>
      <c r="Q42" s="58" t="inlineStr">
        <is>
          <t>Long-term advances/deferred; moderate growth.</t>
        </is>
      </c>
    </row>
    <row r="43" ht="28" customHeight="1" s="46">
      <c r="B43" s="56" t="inlineStr">
        <is>
          <t>LT provisions growth %</t>
        </is>
      </c>
      <c r="J43" s="57" t="n">
        <v>0.03</v>
      </c>
      <c r="K43" s="57" t="n">
        <v>0.03</v>
      </c>
      <c r="L43" s="57" t="n">
        <v>0.03</v>
      </c>
      <c r="M43" s="57" t="n">
        <v>0.03</v>
      </c>
      <c r="N43" s="57" t="n">
        <v>0.03</v>
      </c>
      <c r="O43" s="57" t="n">
        <v>0.03</v>
      </c>
      <c r="P43" s="57" t="n">
        <v>0.03</v>
      </c>
      <c r="Q43" s="58" t="inlineStr">
        <is>
          <t>Warranty &amp; employee-benefit provisions.</t>
        </is>
      </c>
    </row>
    <row r="44" ht="28" customHeight="1" s="46">
      <c r="B44" s="56" t="inlineStr">
        <is>
          <t>Capital expenditure (Rs cr)</t>
        </is>
      </c>
      <c r="J44" s="60" t="n">
        <v>600</v>
      </c>
      <c r="K44" s="60" t="n">
        <v>700</v>
      </c>
      <c r="L44" s="60" t="n">
        <v>750</v>
      </c>
      <c r="M44" s="60" t="n">
        <v>800</v>
      </c>
      <c r="N44" s="60" t="n">
        <v>850</v>
      </c>
      <c r="O44" s="60" t="n">
        <v>900</v>
      </c>
      <c r="P44" s="60" t="n">
        <v>950</v>
      </c>
      <c r="Q44" s="58" t="inlineStr">
        <is>
          <t>Modernisation + renewables/defence capacity; internally funded.</t>
        </is>
      </c>
    </row>
    <row r="45" ht="28" customHeight="1" s="46">
      <c r="B45" s="56" t="inlineStr">
        <is>
          <t>Depreciation % of opening net block</t>
        </is>
      </c>
      <c r="J45" s="57" t="n">
        <v>0.095</v>
      </c>
      <c r="K45" s="57" t="n">
        <v>0.095</v>
      </c>
      <c r="L45" s="57" t="n">
        <v>0.095</v>
      </c>
      <c r="M45" s="57" t="n">
        <v>0.095</v>
      </c>
      <c r="N45" s="57" t="n">
        <v>0.095</v>
      </c>
      <c r="O45" s="57" t="n">
        <v>0.095</v>
      </c>
      <c r="P45" s="57" t="n">
        <v>0.095</v>
      </c>
      <c r="Q45" s="58" t="inlineStr">
        <is>
          <t>~ historical D&amp;A / net block (9-10%).</t>
        </is>
      </c>
    </row>
    <row r="46" ht="28" customHeight="1" s="46">
      <c r="B46" s="56" t="inlineStr">
        <is>
          <t>CWIP closing (Rs cr)</t>
        </is>
      </c>
      <c r="J46" s="60" t="n">
        <v>400</v>
      </c>
      <c r="K46" s="60" t="n">
        <v>400</v>
      </c>
      <c r="L46" s="60" t="n">
        <v>400</v>
      </c>
      <c r="M46" s="60" t="n">
        <v>400</v>
      </c>
      <c r="N46" s="60" t="n">
        <v>400</v>
      </c>
      <c r="O46" s="60" t="n">
        <v>400</v>
      </c>
      <c r="P46" s="60" t="n">
        <v>400</v>
      </c>
      <c r="Q46" s="58" t="inlineStr">
        <is>
          <t>Steady-state low.</t>
        </is>
      </c>
    </row>
    <row r="47" ht="28" customHeight="1" s="46">
      <c r="B47" s="56" t="inlineStr">
        <is>
          <t>Investments closing (Rs cr)</t>
        </is>
      </c>
      <c r="J47" s="60" t="n">
        <v>310</v>
      </c>
      <c r="K47" s="60" t="n">
        <v>320</v>
      </c>
      <c r="L47" s="60" t="n">
        <v>330</v>
      </c>
      <c r="M47" s="60" t="n">
        <v>340</v>
      </c>
      <c r="N47" s="60" t="n">
        <v>350</v>
      </c>
      <c r="O47" s="60" t="n">
        <v>360</v>
      </c>
      <c r="P47" s="60" t="n">
        <v>370</v>
      </c>
      <c r="Q47" s="58" t="inlineStr">
        <is>
          <t>JV/associate stakes.</t>
        </is>
      </c>
    </row>
    <row r="48" ht="28" customHeight="1" s="46">
      <c r="B48" s="56" t="inlineStr">
        <is>
          <t>LT borrowings % of total debt</t>
        </is>
      </c>
      <c r="J48" s="57" t="n">
        <v>0.02</v>
      </c>
      <c r="K48" s="57" t="n">
        <v>0.02</v>
      </c>
      <c r="L48" s="57" t="n">
        <v>0.02</v>
      </c>
      <c r="M48" s="57" t="n">
        <v>0.02</v>
      </c>
      <c r="N48" s="57" t="n">
        <v>0.02</v>
      </c>
      <c r="O48" s="57" t="n">
        <v>0.02</v>
      </c>
      <c r="P48" s="57" t="n">
        <v>0.02</v>
      </c>
      <c r="Q48" s="58" t="inlineStr">
        <is>
          <t>BHEL debt almost entirely short-term (FY26 LT only Rs168 cr).</t>
        </is>
      </c>
    </row>
    <row r="49" ht="28" customHeight="1" s="46">
      <c r="B49" s="56" t="inlineStr">
        <is>
          <t>Debt repayment (Rs cr)</t>
        </is>
      </c>
      <c r="J49" s="60" t="n">
        <v>500</v>
      </c>
      <c r="K49" s="60" t="n">
        <v>500</v>
      </c>
      <c r="L49" s="60" t="n">
        <v>500</v>
      </c>
      <c r="M49" s="60" t="n">
        <v>500</v>
      </c>
      <c r="N49" s="60" t="n">
        <v>500</v>
      </c>
      <c r="O49" s="60" t="n">
        <v>500</v>
      </c>
      <c r="P49" s="60" t="n">
        <v>500</v>
      </c>
      <c r="Q49" s="58" t="inlineStr">
        <is>
          <t>Gradual reduction of WC borrowings from strong cash.</t>
        </is>
      </c>
    </row>
    <row r="50" ht="28" customHeight="1" s="46">
      <c r="B50" s="56" t="inlineStr">
        <is>
          <t>Interest rate on opening debt %</t>
        </is>
      </c>
      <c r="J50" s="57" t="n">
        <v>0.08500000000000001</v>
      </c>
      <c r="K50" s="57" t="n">
        <v>0.08500000000000001</v>
      </c>
      <c r="L50" s="57" t="n">
        <v>0.08500000000000001</v>
      </c>
      <c r="M50" s="57" t="n">
        <v>0.08500000000000001</v>
      </c>
      <c r="N50" s="57" t="n">
        <v>0.08500000000000001</v>
      </c>
      <c r="O50" s="57" t="n">
        <v>0.08500000000000001</v>
      </c>
      <c r="P50" s="57" t="n">
        <v>0.08500000000000001</v>
      </c>
      <c r="Q50" s="58" t="inlineStr">
        <is>
          <t>Blended ~ FY26 finance cost / debt.</t>
        </is>
      </c>
    </row>
    <row r="51" ht="28" customHeight="1" s="46">
      <c r="B51" s="56" t="inlineStr">
        <is>
          <t>Effective tax rate %</t>
        </is>
      </c>
      <c r="J51" s="57" t="n">
        <v>0.25</v>
      </c>
      <c r="K51" s="57" t="n">
        <v>0.25</v>
      </c>
      <c r="L51" s="57" t="n">
        <v>0.25</v>
      </c>
      <c r="M51" s="57" t="n">
        <v>0.25</v>
      </c>
      <c r="N51" s="57" t="n">
        <v>0.25</v>
      </c>
      <c r="O51" s="57" t="n">
        <v>0.25</v>
      </c>
      <c r="P51" s="57" t="n">
        <v>0.25</v>
      </c>
      <c r="Q51" s="58" t="inlineStr">
        <is>
          <t>New corporate-tax regime (~25%).</t>
        </is>
      </c>
    </row>
    <row r="52" ht="28" customHeight="1" s="46">
      <c r="B52" s="56" t="inlineStr">
        <is>
          <t>Dividend payout % of PAT</t>
        </is>
      </c>
      <c r="J52" s="57" t="n">
        <v>0.3</v>
      </c>
      <c r="K52" s="57" t="n">
        <v>0.3</v>
      </c>
      <c r="L52" s="57" t="n">
        <v>0.3</v>
      </c>
      <c r="M52" s="57" t="n">
        <v>0.3</v>
      </c>
      <c r="N52" s="57" t="n">
        <v>0.3</v>
      </c>
      <c r="O52" s="57" t="n">
        <v>0.3</v>
      </c>
      <c r="P52" s="57" t="n">
        <v>0.3</v>
      </c>
      <c r="Q52" s="58" t="inlineStr">
        <is>
          <t>CPSE/DIPAM policy ~30%.</t>
        </is>
      </c>
    </row>
    <row r="54">
      <c r="B54" s="61" t="inlineStr">
        <is>
          <t>C.  WACC &amp; VALUATION (fixed)</t>
        </is>
      </c>
    </row>
    <row r="55">
      <c r="B55" s="56" t="inlineStr">
        <is>
          <t>Risk-free rate</t>
        </is>
      </c>
      <c r="C55" s="57" t="n">
        <v>0.068</v>
      </c>
    </row>
    <row r="56">
      <c r="B56" s="56" t="inlineStr">
        <is>
          <t>Levered beta</t>
        </is>
      </c>
      <c r="C56" s="62" t="n">
        <v>1.25</v>
      </c>
    </row>
    <row r="57">
      <c r="B57" s="56" t="inlineStr">
        <is>
          <t>Equity risk premium</t>
        </is>
      </c>
      <c r="C57" s="57" t="n">
        <v>0.065</v>
      </c>
    </row>
    <row r="58">
      <c r="B58" s="56" t="inlineStr">
        <is>
          <t>Pre-tax cost of debt</t>
        </is>
      </c>
      <c r="C58" s="57" t="n">
        <v>0.08500000000000001</v>
      </c>
    </row>
    <row r="59">
      <c r="B59" s="56" t="inlineStr">
        <is>
          <t>Weight of debt</t>
        </is>
      </c>
      <c r="C59" s="57" t="n">
        <v>0.1</v>
      </c>
    </row>
    <row r="60">
      <c r="B60" s="56" t="inlineStr">
        <is>
          <t>Weight of equity</t>
        </is>
      </c>
      <c r="C60" s="57" t="n">
        <v>0.9</v>
      </c>
    </row>
    <row r="61">
      <c r="B61" s="56" t="inlineStr">
        <is>
          <t>Terminal growth</t>
        </is>
      </c>
      <c r="C61" s="57" t="n">
        <v>0.045</v>
      </c>
    </row>
    <row r="62">
      <c r="B62" s="63" t="inlineStr">
        <is>
          <t>Cost of equity</t>
        </is>
      </c>
      <c r="C62" s="17">
        <f>C55+C56*C57</f>
        <v/>
      </c>
    </row>
    <row r="63">
      <c r="B63" s="63" t="inlineStr">
        <is>
          <t>WACC</t>
        </is>
      </c>
      <c r="C63" s="17">
        <f>C60*C62+C59*C58*0.75</f>
        <v/>
      </c>
    </row>
    <row r="64">
      <c r="B64" s="56" t="inlineStr">
        <is>
          <t>Shares outstanding (cr)</t>
        </is>
      </c>
      <c r="C64" s="60" t="n">
        <v>348.2</v>
      </c>
    </row>
    <row r="65">
      <c r="B65" s="56" t="inlineStr">
        <is>
          <t>Current price (Rs)</t>
        </is>
      </c>
      <c r="C65" s="62" t="n">
        <v>402.7</v>
      </c>
    </row>
  </sheetData>
  <dataValidations count="1">
    <dataValidation sqref="C3" showDropDown="0" showInputMessage="0" showErrorMessage="0" allowBlank="0" type="list">
      <formula1>"Base,Best,Bear"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P50"/>
  <sheetViews>
    <sheetView showGridLines="0" workbookViewId="0">
      <selection activeCell="A1" sqref="A1"/>
    </sheetView>
  </sheetViews>
  <sheetFormatPr baseColWidth="8" defaultRowHeight="15"/>
  <cols>
    <col width="2" customWidth="1" style="46" min="1" max="1"/>
    <col width="34" customWidth="1" style="46" min="2" max="2"/>
    <col width="11" customWidth="1" style="46" min="9" max="9"/>
    <col width="11" customWidth="1" style="46" min="10" max="10"/>
    <col width="11" customWidth="1" style="46" min="11" max="11"/>
    <col width="11" customWidth="1" style="46" min="12" max="12"/>
    <col width="11" customWidth="1" style="46" min="13" max="13"/>
    <col width="11" customWidth="1" style="46" min="14" max="14"/>
    <col width="11" customWidth="1" style="46" min="15" max="15"/>
    <col width="11" customWidth="1" style="46" min="16" max="16"/>
  </cols>
  <sheetData>
    <row r="1">
      <c r="B1" s="65" t="inlineStr">
        <is>
          <t>FORECAST ENGINE  (2026 seed = actuals; 2027-2033 driven by Assumptions/Scenario)</t>
        </is>
      </c>
    </row>
    <row r="3">
      <c r="I3" s="55" t="n">
        <v>2026</v>
      </c>
      <c r="J3" s="55" t="n">
        <v>2027</v>
      </c>
      <c r="K3" s="55" t="n">
        <v>2028</v>
      </c>
      <c r="L3" s="55" t="n">
        <v>2029</v>
      </c>
      <c r="M3" s="55" t="n">
        <v>2030</v>
      </c>
      <c r="N3" s="55" t="n">
        <v>2031</v>
      </c>
      <c r="O3" s="55" t="n">
        <v>2032</v>
      </c>
      <c r="P3" s="55" t="n">
        <v>2033</v>
      </c>
    </row>
    <row r="4">
      <c r="B4" s="63" t="inlineStr">
        <is>
          <t>Revenue</t>
        </is>
      </c>
      <c r="I4" s="67">
        <f>'PL'!I5</f>
        <v/>
      </c>
      <c r="J4" s="67">
        <f>I4*(1+'Assumptions'!J8)</f>
        <v/>
      </c>
      <c r="K4" s="67">
        <f>J4*(1+'Assumptions'!K8)</f>
        <v/>
      </c>
      <c r="L4" s="67">
        <f>K4*(1+'Assumptions'!L8)</f>
        <v/>
      </c>
      <c r="M4" s="67">
        <f>L4*(1+'Assumptions'!M8)</f>
        <v/>
      </c>
      <c r="N4" s="67">
        <f>M4*(1+'Assumptions'!N8)</f>
        <v/>
      </c>
      <c r="O4" s="67">
        <f>N4*(1+'Assumptions'!O8)</f>
        <v/>
      </c>
      <c r="P4" s="67">
        <f>O4*(1+'Assumptions'!P8)</f>
        <v/>
      </c>
    </row>
    <row r="5">
      <c r="B5" s="56" t="inlineStr">
        <is>
          <t>COGS</t>
        </is>
      </c>
      <c r="I5" s="67">
        <f>-'PL'!I6</f>
        <v/>
      </c>
      <c r="J5" s="67">
        <f>J4*(1-'Assumptions'!J13)</f>
        <v/>
      </c>
      <c r="K5" s="67">
        <f>K4*(1-'Assumptions'!K13)</f>
        <v/>
      </c>
      <c r="L5" s="67">
        <f>L4*(1-'Assumptions'!L13)</f>
        <v/>
      </c>
      <c r="M5" s="67">
        <f>M4*(1-'Assumptions'!M13)</f>
        <v/>
      </c>
      <c r="N5" s="67">
        <f>N4*(1-'Assumptions'!N13)</f>
        <v/>
      </c>
      <c r="O5" s="67">
        <f>O4*(1-'Assumptions'!O13)</f>
        <v/>
      </c>
      <c r="P5" s="67">
        <f>P4*(1-'Assumptions'!P13)</f>
        <v/>
      </c>
    </row>
    <row r="6">
      <c r="B6" s="63" t="inlineStr">
        <is>
          <t>Gross</t>
        </is>
      </c>
      <c r="I6" s="67">
        <f>I4-I5</f>
        <v/>
      </c>
      <c r="J6" s="67">
        <f>J4-J5</f>
        <v/>
      </c>
      <c r="K6" s="67">
        <f>K4-K5</f>
        <v/>
      </c>
      <c r="L6" s="67">
        <f>L4-L5</f>
        <v/>
      </c>
      <c r="M6" s="67">
        <f>M4-M5</f>
        <v/>
      </c>
      <c r="N6" s="67">
        <f>N4-N5</f>
        <v/>
      </c>
      <c r="O6" s="67">
        <f>O4-O5</f>
        <v/>
      </c>
      <c r="P6" s="67">
        <f>P4-P5</f>
        <v/>
      </c>
    </row>
    <row r="7">
      <c r="B7" s="56" t="inlineStr">
        <is>
          <t>Employee</t>
        </is>
      </c>
      <c r="I7" s="67">
        <f>-'PL'!I9</f>
        <v/>
      </c>
      <c r="J7" s="67">
        <f>J4*'Assumptions'!J36</f>
        <v/>
      </c>
      <c r="K7" s="67">
        <f>K4*'Assumptions'!K36</f>
        <v/>
      </c>
      <c r="L7" s="67">
        <f>L4*'Assumptions'!L36</f>
        <v/>
      </c>
      <c r="M7" s="67">
        <f>M4*'Assumptions'!M36</f>
        <v/>
      </c>
      <c r="N7" s="67">
        <f>N4*'Assumptions'!N36</f>
        <v/>
      </c>
      <c r="O7" s="67">
        <f>O4*'Assumptions'!O36</f>
        <v/>
      </c>
      <c r="P7" s="67">
        <f>P4*'Assumptions'!P36</f>
        <v/>
      </c>
    </row>
    <row r="8">
      <c r="B8" s="63" t="inlineStr">
        <is>
          <t>EBITDA</t>
        </is>
      </c>
      <c r="I8" s="67">
        <f>'PL'!I12</f>
        <v/>
      </c>
      <c r="J8" s="67">
        <f>J4*'Assumptions'!J18</f>
        <v/>
      </c>
      <c r="K8" s="67">
        <f>K4*'Assumptions'!K18</f>
        <v/>
      </c>
      <c r="L8" s="67">
        <f>L4*'Assumptions'!L18</f>
        <v/>
      </c>
      <c r="M8" s="67">
        <f>M4*'Assumptions'!M18</f>
        <v/>
      </c>
      <c r="N8" s="67">
        <f>N4*'Assumptions'!N18</f>
        <v/>
      </c>
      <c r="O8" s="67">
        <f>O4*'Assumptions'!O18</f>
        <v/>
      </c>
      <c r="P8" s="67">
        <f>P4*'Assumptions'!P18</f>
        <v/>
      </c>
    </row>
    <row r="9">
      <c r="B9" s="56" t="inlineStr">
        <is>
          <t>SGA</t>
        </is>
      </c>
      <c r="I9" s="67">
        <f>I6-I7-I8</f>
        <v/>
      </c>
      <c r="J9" s="67">
        <f>J6-J7-J8</f>
        <v/>
      </c>
      <c r="K9" s="67">
        <f>K6-K7-K8</f>
        <v/>
      </c>
      <c r="L9" s="67">
        <f>L6-L7-L8</f>
        <v/>
      </c>
      <c r="M9" s="67">
        <f>M6-M7-M8</f>
        <v/>
      </c>
      <c r="N9" s="67">
        <f>N6-N7-N8</f>
        <v/>
      </c>
      <c r="O9" s="67">
        <f>O6-O7-O8</f>
        <v/>
      </c>
      <c r="P9" s="67">
        <f>P6-P7-P8</f>
        <v/>
      </c>
    </row>
    <row r="11">
      <c r="B11" s="56" t="inlineStr">
        <is>
          <t>NBopen</t>
        </is>
      </c>
      <c r="I11" s="67">
        <f>'BS'!I30</f>
        <v/>
      </c>
      <c r="J11" s="67">
        <f>I14</f>
        <v/>
      </c>
      <c r="K11" s="67">
        <f>J14</f>
        <v/>
      </c>
      <c r="L11" s="67">
        <f>K14</f>
        <v/>
      </c>
      <c r="M11" s="67">
        <f>L14</f>
        <v/>
      </c>
      <c r="N11" s="67">
        <f>M14</f>
        <v/>
      </c>
      <c r="O11" s="67">
        <f>N14</f>
        <v/>
      </c>
      <c r="P11" s="67">
        <f>O14</f>
        <v/>
      </c>
    </row>
    <row r="12">
      <c r="B12" s="56" t="inlineStr">
        <is>
          <t>Capex</t>
        </is>
      </c>
      <c r="I12" s="67" t="n">
        <v>0</v>
      </c>
      <c r="J12" s="67">
        <f>'Assumptions'!J44</f>
        <v/>
      </c>
      <c r="K12" s="67">
        <f>'Assumptions'!K44</f>
        <v/>
      </c>
      <c r="L12" s="67">
        <f>'Assumptions'!L44</f>
        <v/>
      </c>
      <c r="M12" s="67">
        <f>'Assumptions'!M44</f>
        <v/>
      </c>
      <c r="N12" s="67">
        <f>'Assumptions'!N44</f>
        <v/>
      </c>
      <c r="O12" s="67">
        <f>'Assumptions'!O44</f>
        <v/>
      </c>
      <c r="P12" s="67">
        <f>'Assumptions'!P44</f>
        <v/>
      </c>
    </row>
    <row r="13">
      <c r="B13" s="56" t="inlineStr">
        <is>
          <t>Dep</t>
        </is>
      </c>
      <c r="I13" s="67">
        <f>-'PL'!I13</f>
        <v/>
      </c>
      <c r="J13" s="67">
        <f>J11*'Assumptions'!J45</f>
        <v/>
      </c>
      <c r="K13" s="67">
        <f>K11*'Assumptions'!K45</f>
        <v/>
      </c>
      <c r="L13" s="67">
        <f>L11*'Assumptions'!L45</f>
        <v/>
      </c>
      <c r="M13" s="67">
        <f>M11*'Assumptions'!M45</f>
        <v/>
      </c>
      <c r="N13" s="67">
        <f>N11*'Assumptions'!N45</f>
        <v/>
      </c>
      <c r="O13" s="67">
        <f>O11*'Assumptions'!O45</f>
        <v/>
      </c>
      <c r="P13" s="67">
        <f>P11*'Assumptions'!P45</f>
        <v/>
      </c>
    </row>
    <row r="14">
      <c r="B14" s="56" t="inlineStr">
        <is>
          <t>NBclose</t>
        </is>
      </c>
      <c r="I14" s="67">
        <f>'BS'!I30</f>
        <v/>
      </c>
      <c r="J14" s="67">
        <f>J11+J12-J13</f>
        <v/>
      </c>
      <c r="K14" s="67">
        <f>K11+K12-K13</f>
        <v/>
      </c>
      <c r="L14" s="67">
        <f>L11+L12-L13</f>
        <v/>
      </c>
      <c r="M14" s="67">
        <f>M11+M12-M13</f>
        <v/>
      </c>
      <c r="N14" s="67">
        <f>N11+N12-N13</f>
        <v/>
      </c>
      <c r="O14" s="67">
        <f>O11+O12-O13</f>
        <v/>
      </c>
      <c r="P14" s="67">
        <f>P11+P12-P13</f>
        <v/>
      </c>
    </row>
    <row r="15">
      <c r="B15" s="63" t="inlineStr">
        <is>
          <t>EBIT</t>
        </is>
      </c>
      <c r="I15" s="67">
        <f>I8-I13</f>
        <v/>
      </c>
      <c r="J15" s="67">
        <f>J8-J13</f>
        <v/>
      </c>
      <c r="K15" s="67">
        <f>K8-K13</f>
        <v/>
      </c>
      <c r="L15" s="67">
        <f>L8-L13</f>
        <v/>
      </c>
      <c r="M15" s="67">
        <f>M8-M13</f>
        <v/>
      </c>
      <c r="N15" s="67">
        <f>N8-N13</f>
        <v/>
      </c>
      <c r="O15" s="67">
        <f>O8-O13</f>
        <v/>
      </c>
      <c r="P15" s="67">
        <f>P8-P13</f>
        <v/>
      </c>
    </row>
    <row r="17">
      <c r="B17" s="56" t="inlineStr">
        <is>
          <t>Dopen</t>
        </is>
      </c>
      <c r="I17" s="67">
        <f>'BS'!I14+'BS'!I19</f>
        <v/>
      </c>
      <c r="J17" s="67">
        <f>I19</f>
        <v/>
      </c>
      <c r="K17" s="67">
        <f>J19</f>
        <v/>
      </c>
      <c r="L17" s="67">
        <f>K19</f>
        <v/>
      </c>
      <c r="M17" s="67">
        <f>L19</f>
        <v/>
      </c>
      <c r="N17" s="67">
        <f>M19</f>
        <v/>
      </c>
      <c r="O17" s="67">
        <f>N19</f>
        <v/>
      </c>
      <c r="P17" s="67">
        <f>O19</f>
        <v/>
      </c>
    </row>
    <row r="18">
      <c r="B18" s="56" t="inlineStr">
        <is>
          <t>Repay</t>
        </is>
      </c>
      <c r="I18" s="67" t="n">
        <v>0</v>
      </c>
      <c r="J18" s="67">
        <f>'Assumptions'!J49</f>
        <v/>
      </c>
      <c r="K18" s="67">
        <f>'Assumptions'!K49</f>
        <v/>
      </c>
      <c r="L18" s="67">
        <f>'Assumptions'!L49</f>
        <v/>
      </c>
      <c r="M18" s="67">
        <f>'Assumptions'!M49</f>
        <v/>
      </c>
      <c r="N18" s="67">
        <f>'Assumptions'!N49</f>
        <v/>
      </c>
      <c r="O18" s="67">
        <f>'Assumptions'!O49</f>
        <v/>
      </c>
      <c r="P18" s="67">
        <f>'Assumptions'!P49</f>
        <v/>
      </c>
    </row>
    <row r="19">
      <c r="B19" s="56" t="inlineStr">
        <is>
          <t>Dclose</t>
        </is>
      </c>
      <c r="I19" s="67">
        <f>I17-I18</f>
        <v/>
      </c>
      <c r="J19" s="67">
        <f>J17-J18</f>
        <v/>
      </c>
      <c r="K19" s="67">
        <f>K17-K18</f>
        <v/>
      </c>
      <c r="L19" s="67">
        <f>L17-L18</f>
        <v/>
      </c>
      <c r="M19" s="67">
        <f>M17-M18</f>
        <v/>
      </c>
      <c r="N19" s="67">
        <f>N17-N18</f>
        <v/>
      </c>
      <c r="O19" s="67">
        <f>O17-O18</f>
        <v/>
      </c>
      <c r="P19" s="67">
        <f>P17-P18</f>
        <v/>
      </c>
    </row>
    <row r="20">
      <c r="B20" s="56" t="inlineStr">
        <is>
          <t>LTbor</t>
        </is>
      </c>
      <c r="I20" s="67">
        <f>'BS'!I14</f>
        <v/>
      </c>
      <c r="J20" s="67">
        <f>J19*'Assumptions'!J48</f>
        <v/>
      </c>
      <c r="K20" s="67">
        <f>K19*'Assumptions'!K48</f>
        <v/>
      </c>
      <c r="L20" s="67">
        <f>L19*'Assumptions'!L48</f>
        <v/>
      </c>
      <c r="M20" s="67">
        <f>M19*'Assumptions'!M48</f>
        <v/>
      </c>
      <c r="N20" s="67">
        <f>N19*'Assumptions'!N48</f>
        <v/>
      </c>
      <c r="O20" s="67">
        <f>O19*'Assumptions'!O48</f>
        <v/>
      </c>
      <c r="P20" s="67">
        <f>P19*'Assumptions'!P48</f>
        <v/>
      </c>
    </row>
    <row r="21">
      <c r="B21" s="56" t="inlineStr">
        <is>
          <t>STbor</t>
        </is>
      </c>
      <c r="I21" s="67">
        <f>I19-I20</f>
        <v/>
      </c>
      <c r="J21" s="67">
        <f>J19-J20</f>
        <v/>
      </c>
      <c r="K21" s="67">
        <f>K19-K20</f>
        <v/>
      </c>
      <c r="L21" s="67">
        <f>L19-L20</f>
        <v/>
      </c>
      <c r="M21" s="67">
        <f>M19-M20</f>
        <v/>
      </c>
      <c r="N21" s="67">
        <f>N19-N20</f>
        <v/>
      </c>
      <c r="O21" s="67">
        <f>O19-O20</f>
        <v/>
      </c>
      <c r="P21" s="67">
        <f>P19-P20</f>
        <v/>
      </c>
    </row>
    <row r="22">
      <c r="B22" s="56" t="inlineStr">
        <is>
          <t>Int</t>
        </is>
      </c>
      <c r="I22" s="67">
        <f>-'PL'!I16</f>
        <v/>
      </c>
      <c r="J22" s="67">
        <f>J17*'Assumptions'!J50</f>
        <v/>
      </c>
      <c r="K22" s="67">
        <f>K17*'Assumptions'!K50</f>
        <v/>
      </c>
      <c r="L22" s="67">
        <f>L17*'Assumptions'!L50</f>
        <v/>
      </c>
      <c r="M22" s="67">
        <f>M17*'Assumptions'!M50</f>
        <v/>
      </c>
      <c r="N22" s="67">
        <f>N17*'Assumptions'!N50</f>
        <v/>
      </c>
      <c r="O22" s="67">
        <f>O17*'Assumptions'!O50</f>
        <v/>
      </c>
      <c r="P22" s="67">
        <f>P17*'Assumptions'!P50</f>
        <v/>
      </c>
    </row>
    <row r="23">
      <c r="B23" s="56" t="inlineStr">
        <is>
          <t>OthInc</t>
        </is>
      </c>
      <c r="I23" s="67">
        <f>'PL'!I15</f>
        <v/>
      </c>
      <c r="J23" s="67">
        <f>J4*'Assumptions'!J37</f>
        <v/>
      </c>
      <c r="K23" s="67">
        <f>K4*'Assumptions'!K37</f>
        <v/>
      </c>
      <c r="L23" s="67">
        <f>L4*'Assumptions'!L37</f>
        <v/>
      </c>
      <c r="M23" s="67">
        <f>M4*'Assumptions'!M37</f>
        <v/>
      </c>
      <c r="N23" s="67">
        <f>N4*'Assumptions'!N37</f>
        <v/>
      </c>
      <c r="O23" s="67">
        <f>O4*'Assumptions'!O37</f>
        <v/>
      </c>
      <c r="P23" s="67">
        <f>P4*'Assumptions'!P37</f>
        <v/>
      </c>
    </row>
    <row r="24">
      <c r="B24" s="63" t="inlineStr">
        <is>
          <t>PBT</t>
        </is>
      </c>
      <c r="I24" s="67">
        <f>I15+I23-I22</f>
        <v/>
      </c>
      <c r="J24" s="67">
        <f>J15+J23-J22</f>
        <v/>
      </c>
      <c r="K24" s="67">
        <f>K15+K23-K22</f>
        <v/>
      </c>
      <c r="L24" s="67">
        <f>L15+L23-L22</f>
        <v/>
      </c>
      <c r="M24" s="67">
        <f>M15+M23-M22</f>
        <v/>
      </c>
      <c r="N24" s="67">
        <f>N15+N23-N22</f>
        <v/>
      </c>
      <c r="O24" s="67">
        <f>O15+O23-O22</f>
        <v/>
      </c>
      <c r="P24" s="67">
        <f>P15+P23-P22</f>
        <v/>
      </c>
    </row>
    <row r="25">
      <c r="B25" s="56" t="inlineStr">
        <is>
          <t>Tax</t>
        </is>
      </c>
      <c r="I25" s="67">
        <f>-'PL'!I18</f>
        <v/>
      </c>
      <c r="J25" s="67">
        <f>J24*'Assumptions'!J51</f>
        <v/>
      </c>
      <c r="K25" s="67">
        <f>K24*'Assumptions'!K51</f>
        <v/>
      </c>
      <c r="L25" s="67">
        <f>L24*'Assumptions'!L51</f>
        <v/>
      </c>
      <c r="M25" s="67">
        <f>M24*'Assumptions'!M51</f>
        <v/>
      </c>
      <c r="N25" s="67">
        <f>N24*'Assumptions'!N51</f>
        <v/>
      </c>
      <c r="O25" s="67">
        <f>O24*'Assumptions'!O51</f>
        <v/>
      </c>
      <c r="P25" s="67">
        <f>P24*'Assumptions'!P51</f>
        <v/>
      </c>
    </row>
    <row r="26">
      <c r="B26" s="63" t="inlineStr">
        <is>
          <t>PAT</t>
        </is>
      </c>
      <c r="I26" s="67">
        <f>I24-I25</f>
        <v/>
      </c>
      <c r="J26" s="67">
        <f>J24-J25</f>
        <v/>
      </c>
      <c r="K26" s="67">
        <f>K24-K25</f>
        <v/>
      </c>
      <c r="L26" s="67">
        <f>L24-L25</f>
        <v/>
      </c>
      <c r="M26" s="67">
        <f>M24-M25</f>
        <v/>
      </c>
      <c r="N26" s="67">
        <f>N24-N25</f>
        <v/>
      </c>
      <c r="O26" s="67">
        <f>O24-O25</f>
        <v/>
      </c>
      <c r="P26" s="67">
        <f>P24-P25</f>
        <v/>
      </c>
    </row>
    <row r="27">
      <c r="B27" s="56" t="inlineStr">
        <is>
          <t>Div</t>
        </is>
      </c>
      <c r="I27" s="67" t="n">
        <v>0</v>
      </c>
      <c r="J27" s="67">
        <f>J26*'Assumptions'!J52</f>
        <v/>
      </c>
      <c r="K27" s="67">
        <f>K26*'Assumptions'!K52</f>
        <v/>
      </c>
      <c r="L27" s="67">
        <f>L26*'Assumptions'!L52</f>
        <v/>
      </c>
      <c r="M27" s="67">
        <f>M26*'Assumptions'!M52</f>
        <v/>
      </c>
      <c r="N27" s="67">
        <f>N26*'Assumptions'!N52</f>
        <v/>
      </c>
      <c r="O27" s="67">
        <f>O26*'Assumptions'!O52</f>
        <v/>
      </c>
      <c r="P27" s="67">
        <f>P26*'Assumptions'!P52</f>
        <v/>
      </c>
    </row>
    <row r="29">
      <c r="B29" s="56" t="inlineStr">
        <is>
          <t>ResOpen</t>
        </is>
      </c>
      <c r="I29" s="67">
        <f>'BS'!I9</f>
        <v/>
      </c>
      <c r="J29" s="67">
        <f>I30</f>
        <v/>
      </c>
      <c r="K29" s="67">
        <f>J30</f>
        <v/>
      </c>
      <c r="L29" s="67">
        <f>K30</f>
        <v/>
      </c>
      <c r="M29" s="67">
        <f>L30</f>
        <v/>
      </c>
      <c r="N29" s="67">
        <f>M30</f>
        <v/>
      </c>
      <c r="O29" s="67">
        <f>N30</f>
        <v/>
      </c>
      <c r="P29" s="67">
        <f>O30</f>
        <v/>
      </c>
    </row>
    <row r="30">
      <c r="B30" s="56" t="inlineStr">
        <is>
          <t>ResClose</t>
        </is>
      </c>
      <c r="I30" s="67">
        <f>'BS'!I9</f>
        <v/>
      </c>
      <c r="J30" s="67">
        <f>J29+J26-J27</f>
        <v/>
      </c>
      <c r="K30" s="67">
        <f>K29+K26-K27</f>
        <v/>
      </c>
      <c r="L30" s="67">
        <f>L29+L26-L27</f>
        <v/>
      </c>
      <c r="M30" s="67">
        <f>M29+M26-M27</f>
        <v/>
      </c>
      <c r="N30" s="67">
        <f>N29+N26-N27</f>
        <v/>
      </c>
      <c r="O30" s="67">
        <f>O29+O26-O27</f>
        <v/>
      </c>
      <c r="P30" s="67">
        <f>P29+P26-P27</f>
        <v/>
      </c>
    </row>
    <row r="32">
      <c r="B32" s="56" t="inlineStr">
        <is>
          <t>Recv</t>
        </is>
      </c>
      <c r="I32" s="67">
        <f>'BS'!I38</f>
        <v/>
      </c>
      <c r="J32" s="67">
        <f>'Assumptions'!J23/365*J4</f>
        <v/>
      </c>
      <c r="K32" s="67">
        <f>'Assumptions'!K23/365*K4</f>
        <v/>
      </c>
      <c r="L32" s="67">
        <f>'Assumptions'!L23/365*L4</f>
        <v/>
      </c>
      <c r="M32" s="67">
        <f>'Assumptions'!M23/365*M4</f>
        <v/>
      </c>
      <c r="N32" s="67">
        <f>'Assumptions'!N23/365*N4</f>
        <v/>
      </c>
      <c r="O32" s="67">
        <f>'Assumptions'!O23/365*O4</f>
        <v/>
      </c>
      <c r="P32" s="67">
        <f>'Assumptions'!P23/365*P4</f>
        <v/>
      </c>
    </row>
    <row r="33">
      <c r="B33" s="56" t="inlineStr">
        <is>
          <t>Inv</t>
        </is>
      </c>
      <c r="I33" s="67">
        <f>'BS'!I39</f>
        <v/>
      </c>
      <c r="J33" s="67">
        <f>'Assumptions'!J28/365*J5</f>
        <v/>
      </c>
      <c r="K33" s="67">
        <f>'Assumptions'!K28/365*K5</f>
        <v/>
      </c>
      <c r="L33" s="67">
        <f>'Assumptions'!L28/365*L5</f>
        <v/>
      </c>
      <c r="M33" s="67">
        <f>'Assumptions'!M28/365*M5</f>
        <v/>
      </c>
      <c r="N33" s="67">
        <f>'Assumptions'!N28/365*N5</f>
        <v/>
      </c>
      <c r="O33" s="67">
        <f>'Assumptions'!O28/365*O5</f>
        <v/>
      </c>
      <c r="P33" s="67">
        <f>'Assumptions'!P28/365*P5</f>
        <v/>
      </c>
    </row>
    <row r="34">
      <c r="B34" s="56" t="inlineStr">
        <is>
          <t>Pay</t>
        </is>
      </c>
      <c r="I34" s="67">
        <f>'BS'!I20</f>
        <v/>
      </c>
      <c r="J34" s="67">
        <f>'Assumptions'!J38/365*J5</f>
        <v/>
      </c>
      <c r="K34" s="67">
        <f>'Assumptions'!K38/365*K5</f>
        <v/>
      </c>
      <c r="L34" s="67">
        <f>'Assumptions'!L38/365*L5</f>
        <v/>
      </c>
      <c r="M34" s="67">
        <f>'Assumptions'!M38/365*M5</f>
        <v/>
      </c>
      <c r="N34" s="67">
        <f>'Assumptions'!N38/365*N5</f>
        <v/>
      </c>
      <c r="O34" s="67">
        <f>'Assumptions'!O38/365*O5</f>
        <v/>
      </c>
      <c r="P34" s="67">
        <f>'Assumptions'!P38/365*P5</f>
        <v/>
      </c>
    </row>
    <row r="35">
      <c r="B35" s="56" t="inlineStr">
        <is>
          <t>OCA</t>
        </is>
      </c>
      <c r="I35" s="67">
        <f>'BS'!I40</f>
        <v/>
      </c>
      <c r="J35" s="67">
        <f>J4*'Assumptions'!J39</f>
        <v/>
      </c>
      <c r="K35" s="67">
        <f>K4*'Assumptions'!K39</f>
        <v/>
      </c>
      <c r="L35" s="67">
        <f>L4*'Assumptions'!L39</f>
        <v/>
      </c>
      <c r="M35" s="67">
        <f>M4*'Assumptions'!M39</f>
        <v/>
      </c>
      <c r="N35" s="67">
        <f>N4*'Assumptions'!N39</f>
        <v/>
      </c>
      <c r="O35" s="67">
        <f>O4*'Assumptions'!O39</f>
        <v/>
      </c>
      <c r="P35" s="67">
        <f>P4*'Assumptions'!P39</f>
        <v/>
      </c>
    </row>
    <row r="36">
      <c r="B36" s="56" t="inlineStr">
        <is>
          <t>OCL</t>
        </is>
      </c>
      <c r="I36" s="67">
        <f>'BS'!I21</f>
        <v/>
      </c>
      <c r="J36" s="67">
        <f>J4*'Assumptions'!J40</f>
        <v/>
      </c>
      <c r="K36" s="67">
        <f>K4*'Assumptions'!K40</f>
        <v/>
      </c>
      <c r="L36" s="67">
        <f>L4*'Assumptions'!L40</f>
        <v/>
      </c>
      <c r="M36" s="67">
        <f>M4*'Assumptions'!M40</f>
        <v/>
      </c>
      <c r="N36" s="67">
        <f>N4*'Assumptions'!N40</f>
        <v/>
      </c>
      <c r="O36" s="67">
        <f>O4*'Assumptions'!O40</f>
        <v/>
      </c>
      <c r="P36" s="67">
        <f>P4*'Assumptions'!P40</f>
        <v/>
      </c>
    </row>
    <row r="37">
      <c r="B37" s="56" t="inlineStr">
        <is>
          <t>ONCA</t>
        </is>
      </c>
      <c r="I37" s="67">
        <f>'BS'!I34</f>
        <v/>
      </c>
      <c r="J37" s="67">
        <f>I37*(1+'Assumptions'!J41)</f>
        <v/>
      </c>
      <c r="K37" s="67">
        <f>J37*(1+'Assumptions'!K41)</f>
        <v/>
      </c>
      <c r="L37" s="67">
        <f>K37*(1+'Assumptions'!L41)</f>
        <v/>
      </c>
      <c r="M37" s="67">
        <f>L37*(1+'Assumptions'!M41)</f>
        <v/>
      </c>
      <c r="N37" s="67">
        <f>M37*(1+'Assumptions'!N41)</f>
        <v/>
      </c>
      <c r="O37" s="67">
        <f>N37*(1+'Assumptions'!O41)</f>
        <v/>
      </c>
      <c r="P37" s="67">
        <f>O37*(1+'Assumptions'!P41)</f>
        <v/>
      </c>
    </row>
    <row r="38">
      <c r="B38" s="56" t="inlineStr">
        <is>
          <t>ONCL</t>
        </is>
      </c>
      <c r="I38" s="67">
        <f>'BS'!I16</f>
        <v/>
      </c>
      <c r="J38" s="67">
        <f>I38*(1+'Assumptions'!J42)</f>
        <v/>
      </c>
      <c r="K38" s="67">
        <f>J38*(1+'Assumptions'!K42)</f>
        <v/>
      </c>
      <c r="L38" s="67">
        <f>K38*(1+'Assumptions'!L42)</f>
        <v/>
      </c>
      <c r="M38" s="67">
        <f>L38*(1+'Assumptions'!M42)</f>
        <v/>
      </c>
      <c r="N38" s="67">
        <f>M38*(1+'Assumptions'!N42)</f>
        <v/>
      </c>
      <c r="O38" s="67">
        <f>N38*(1+'Assumptions'!O42)</f>
        <v/>
      </c>
      <c r="P38" s="67">
        <f>O38*(1+'Assumptions'!P42)</f>
        <v/>
      </c>
    </row>
    <row r="39">
      <c r="B39" s="56" t="inlineStr">
        <is>
          <t>LTprov</t>
        </is>
      </c>
      <c r="I39" s="67">
        <f>'BS'!I15</f>
        <v/>
      </c>
      <c r="J39" s="67">
        <f>I39*(1+'Assumptions'!J43)</f>
        <v/>
      </c>
      <c r="K39" s="67">
        <f>J39*(1+'Assumptions'!K43)</f>
        <v/>
      </c>
      <c r="L39" s="67">
        <f>K39*(1+'Assumptions'!L43)</f>
        <v/>
      </c>
      <c r="M39" s="67">
        <f>L39*(1+'Assumptions'!M43)</f>
        <v/>
      </c>
      <c r="N39" s="67">
        <f>M39*(1+'Assumptions'!N43)</f>
        <v/>
      </c>
      <c r="O39" s="67">
        <f>N39*(1+'Assumptions'!O43)</f>
        <v/>
      </c>
      <c r="P39" s="67">
        <f>O39*(1+'Assumptions'!P43)</f>
        <v/>
      </c>
    </row>
    <row r="40">
      <c r="B40" s="56" t="inlineStr">
        <is>
          <t>CWIP</t>
        </is>
      </c>
      <c r="I40" s="67">
        <f>'BS'!I31</f>
        <v/>
      </c>
      <c r="J40" s="67">
        <f>'Assumptions'!J46</f>
        <v/>
      </c>
      <c r="K40" s="67">
        <f>'Assumptions'!K46</f>
        <v/>
      </c>
      <c r="L40" s="67">
        <f>'Assumptions'!L46</f>
        <v/>
      </c>
      <c r="M40" s="67">
        <f>'Assumptions'!M46</f>
        <v/>
      </c>
      <c r="N40" s="67">
        <f>'Assumptions'!N46</f>
        <v/>
      </c>
      <c r="O40" s="67">
        <f>'Assumptions'!O46</f>
        <v/>
      </c>
      <c r="P40" s="67">
        <f>'Assumptions'!P46</f>
        <v/>
      </c>
    </row>
    <row r="41">
      <c r="B41" s="56" t="inlineStr">
        <is>
          <t>Invst</t>
        </is>
      </c>
      <c r="I41" s="67">
        <f>'BS'!I32</f>
        <v/>
      </c>
      <c r="J41" s="67">
        <f>'Assumptions'!J47</f>
        <v/>
      </c>
      <c r="K41" s="67">
        <f>'Assumptions'!K47</f>
        <v/>
      </c>
      <c r="L41" s="67">
        <f>'Assumptions'!L47</f>
        <v/>
      </c>
      <c r="M41" s="67">
        <f>'Assumptions'!M47</f>
        <v/>
      </c>
      <c r="N41" s="67">
        <f>'Assumptions'!N47</f>
        <v/>
      </c>
      <c r="O41" s="67">
        <f>'Assumptions'!O47</f>
        <v/>
      </c>
      <c r="P41" s="67">
        <f>'Assumptions'!P47</f>
        <v/>
      </c>
    </row>
    <row r="42">
      <c r="B42" s="56" t="inlineStr">
        <is>
          <t>NWC</t>
        </is>
      </c>
      <c r="I42" s="67">
        <f>(I32+I33+I35+I37)-(I34+I36+I38+I39)</f>
        <v/>
      </c>
      <c r="J42" s="67">
        <f>(J32+J33+J35+J37)-(J34+J36+J38+J39)</f>
        <v/>
      </c>
      <c r="K42" s="67">
        <f>(K32+K33+K35+K37)-(K34+K36+K38+K39)</f>
        <v/>
      </c>
      <c r="L42" s="67">
        <f>(L32+L33+L35+L37)-(L34+L36+L38+L39)</f>
        <v/>
      </c>
      <c r="M42" s="67">
        <f>(M32+M33+M35+M37)-(M34+M36+M38+M39)</f>
        <v/>
      </c>
      <c r="N42" s="67">
        <f>(N32+N33+N35+N37)-(N34+N36+N38+N39)</f>
        <v/>
      </c>
      <c r="O42" s="67">
        <f>(O32+O33+O35+O37)-(O34+O36+O38+O39)</f>
        <v/>
      </c>
      <c r="P42" s="67">
        <f>(P32+P33+P35+P37)-(P34+P36+P38+P39)</f>
        <v/>
      </c>
    </row>
    <row r="43">
      <c r="B43" s="56" t="inlineStr">
        <is>
          <t>dNWC</t>
        </is>
      </c>
      <c r="J43" s="67">
        <f>-(J42-I42)</f>
        <v/>
      </c>
      <c r="K43" s="67">
        <f>-(K42-J42)</f>
        <v/>
      </c>
      <c r="L43" s="67">
        <f>-(L42-K42)</f>
        <v/>
      </c>
      <c r="M43" s="67">
        <f>-(M42-L42)</f>
        <v/>
      </c>
      <c r="N43" s="67">
        <f>-(N42-M42)</f>
        <v/>
      </c>
      <c r="O43" s="67">
        <f>-(O42-N42)</f>
        <v/>
      </c>
      <c r="P43" s="67">
        <f>-(P42-O42)</f>
        <v/>
      </c>
    </row>
    <row r="45">
      <c r="B45" s="56" t="inlineStr">
        <is>
          <t>CFO</t>
        </is>
      </c>
      <c r="J45" s="67">
        <f>J26+J13+J43</f>
        <v/>
      </c>
      <c r="K45" s="67">
        <f>K26+K13+K43</f>
        <v/>
      </c>
      <c r="L45" s="67">
        <f>L26+L13+L43</f>
        <v/>
      </c>
      <c r="M45" s="67">
        <f>M26+M13+M43</f>
        <v/>
      </c>
      <c r="N45" s="67">
        <f>N26+N13+N43</f>
        <v/>
      </c>
      <c r="O45" s="67">
        <f>O26+O13+O43</f>
        <v/>
      </c>
      <c r="P45" s="67">
        <f>P26+P13+P43</f>
        <v/>
      </c>
    </row>
    <row r="46">
      <c r="B46" s="56" t="inlineStr">
        <is>
          <t>CFI</t>
        </is>
      </c>
      <c r="J46" s="67">
        <f>-J12-(J40-I40)-(J41-I41)</f>
        <v/>
      </c>
      <c r="K46" s="67">
        <f>-K12-(K40-J40)-(K41-J41)</f>
        <v/>
      </c>
      <c r="L46" s="67">
        <f>-L12-(L40-K40)-(L41-K41)</f>
        <v/>
      </c>
      <c r="M46" s="67">
        <f>-M12-(M40-L40)-(M41-L41)</f>
        <v/>
      </c>
      <c r="N46" s="67">
        <f>-N12-(N40-M40)-(N41-M41)</f>
        <v/>
      </c>
      <c r="O46" s="67">
        <f>-O12-(O40-N40)-(O41-N41)</f>
        <v/>
      </c>
      <c r="P46" s="67">
        <f>-P12-(P40-O40)-(P41-O41)</f>
        <v/>
      </c>
    </row>
    <row r="47">
      <c r="B47" s="56" t="inlineStr">
        <is>
          <t>CFF</t>
        </is>
      </c>
      <c r="J47" s="67">
        <f>-J18-J27</f>
        <v/>
      </c>
      <c r="K47" s="67">
        <f>-K18-K27</f>
        <v/>
      </c>
      <c r="L47" s="67">
        <f>-L18-L27</f>
        <v/>
      </c>
      <c r="M47" s="67">
        <f>-M18-M27</f>
        <v/>
      </c>
      <c r="N47" s="67">
        <f>-N18-N27</f>
        <v/>
      </c>
      <c r="O47" s="67">
        <f>-O18-O27</f>
        <v/>
      </c>
      <c r="P47" s="67">
        <f>-P18-P27</f>
        <v/>
      </c>
    </row>
    <row r="48">
      <c r="B48" s="63" t="inlineStr">
        <is>
          <t>NetCF</t>
        </is>
      </c>
      <c r="J48" s="67">
        <f>J45+J46+J47</f>
        <v/>
      </c>
      <c r="K48" s="67">
        <f>K45+K46+K47</f>
        <v/>
      </c>
      <c r="L48" s="67">
        <f>L45+L46+L47</f>
        <v/>
      </c>
      <c r="M48" s="67">
        <f>M45+M46+M47</f>
        <v/>
      </c>
      <c r="N48" s="67">
        <f>N45+N46+N47</f>
        <v/>
      </c>
      <c r="O48" s="67">
        <f>O45+O46+O47</f>
        <v/>
      </c>
      <c r="P48" s="67">
        <f>P45+P46+P47</f>
        <v/>
      </c>
    </row>
    <row r="49">
      <c r="B49" s="56" t="inlineStr">
        <is>
          <t>CashOpen</t>
        </is>
      </c>
      <c r="I49" s="67">
        <f>'BS'!I41</f>
        <v/>
      </c>
      <c r="J49" s="67">
        <f>I50</f>
        <v/>
      </c>
      <c r="K49" s="67">
        <f>J50</f>
        <v/>
      </c>
      <c r="L49" s="67">
        <f>K50</f>
        <v/>
      </c>
      <c r="M49" s="67">
        <f>L50</f>
        <v/>
      </c>
      <c r="N49" s="67">
        <f>M50</f>
        <v/>
      </c>
      <c r="O49" s="67">
        <f>N50</f>
        <v/>
      </c>
      <c r="P49" s="67">
        <f>O50</f>
        <v/>
      </c>
    </row>
    <row r="50">
      <c r="B50" s="63" t="inlineStr">
        <is>
          <t>CashClose</t>
        </is>
      </c>
      <c r="I50" s="67">
        <f>'BS'!I41</f>
        <v/>
      </c>
      <c r="J50" s="67">
        <f>J49+J48</f>
        <v/>
      </c>
      <c r="K50" s="67">
        <f>K49+K48</f>
        <v/>
      </c>
      <c r="L50" s="67">
        <f>L49+L48</f>
        <v/>
      </c>
      <c r="M50" s="67">
        <f>M49+M48</f>
        <v/>
      </c>
      <c r="N50" s="67">
        <f>N49+N48</f>
        <v/>
      </c>
      <c r="O50" s="67">
        <f>O49+O48</f>
        <v/>
      </c>
      <c r="P50" s="67">
        <f>P49+P48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zoomScale="92" workbookViewId="0">
      <selection activeCell="Q2" sqref="Q2"/>
    </sheetView>
  </sheetViews>
  <sheetFormatPr baseColWidth="8" defaultRowHeight="14.4"/>
  <cols>
    <col width="2.77734375" customWidth="1" style="46" min="1" max="1"/>
    <col width="50.77734375" customWidth="1" style="46" min="2" max="2"/>
    <col width="10.77734375" customWidth="1" style="46" min="3" max="13"/>
    <col width="9.6640625" bestFit="1" customWidth="1" style="46" min="14" max="14"/>
    <col width="10.21875" bestFit="1" customWidth="1" style="46" min="15" max="17"/>
  </cols>
  <sheetData>
    <row r="1" ht="16.05" customHeight="1" s="46">
      <c r="B1" s="1" t="n"/>
    </row>
    <row r="2" ht="21" customHeight="1" s="46">
      <c r="B2" s="2" t="inlineStr">
        <is>
          <t>Income Statement</t>
        </is>
      </c>
      <c r="Q2" s="3" t="n"/>
    </row>
    <row r="4" ht="19.95" customHeight="1" s="46">
      <c r="A4" t="inlineStr">
        <is>
          <t>x</t>
        </is>
      </c>
      <c r="B4" s="4" t="inlineStr">
        <is>
          <t>Particulars</t>
        </is>
      </c>
      <c r="C4" s="5" t="n">
        <v>2020</v>
      </c>
      <c r="D4" s="5">
        <f>C4+1</f>
        <v/>
      </c>
      <c r="E4" s="5">
        <f>D4+1</f>
        <v/>
      </c>
      <c r="F4" s="5">
        <f>E4+1</f>
        <v/>
      </c>
      <c r="G4" s="5">
        <f>F4+1</f>
        <v/>
      </c>
      <c r="H4" s="5">
        <f>G4+1</f>
        <v/>
      </c>
      <c r="I4" s="5">
        <f>H4+1</f>
        <v/>
      </c>
      <c r="J4" s="6">
        <f>I4+1</f>
        <v/>
      </c>
      <c r="K4" s="6">
        <f>J4+1</f>
        <v/>
      </c>
      <c r="L4" s="6">
        <f>K4+1</f>
        <v/>
      </c>
      <c r="M4" s="6">
        <f>L4+1</f>
        <v/>
      </c>
      <c r="N4" s="6">
        <f>M4+1</f>
        <v/>
      </c>
      <c r="O4" s="6">
        <f>N4+1</f>
        <v/>
      </c>
      <c r="P4" s="6">
        <f>O4+1</f>
        <v/>
      </c>
      <c r="Q4" s="6">
        <f>P4+1</f>
        <v/>
      </c>
    </row>
    <row r="5" ht="18" customFormat="1" customHeight="1" s="4">
      <c r="B5" s="4" t="inlineStr">
        <is>
          <t>Sales</t>
        </is>
      </c>
      <c r="C5" s="35" t="n">
        <v>21463.14</v>
      </c>
      <c r="D5" s="35" t="n">
        <v>17308.69</v>
      </c>
      <c r="E5" s="35" t="n">
        <v>21211.09</v>
      </c>
      <c r="F5" s="35" t="n">
        <v>23364.94</v>
      </c>
      <c r="G5" s="35" t="n">
        <v>23892.78</v>
      </c>
      <c r="H5" s="35" t="n">
        <v>28339.48</v>
      </c>
      <c r="I5" s="35" t="n">
        <v>33782.18</v>
      </c>
      <c r="J5" s="69">
        <f>'Forecast Engine'!J4</f>
        <v/>
      </c>
      <c r="K5" s="69">
        <f>'Forecast Engine'!K4</f>
        <v/>
      </c>
      <c r="L5" s="69">
        <f>'Forecast Engine'!L4</f>
        <v/>
      </c>
      <c r="M5" s="69">
        <f>'Forecast Engine'!M4</f>
        <v/>
      </c>
      <c r="N5" s="69">
        <f>'Forecast Engine'!N4</f>
        <v/>
      </c>
      <c r="O5" s="69">
        <f>'Forecast Engine'!O4</f>
        <v/>
      </c>
      <c r="P5" s="69">
        <f>'Forecast Engine'!P4</f>
        <v/>
      </c>
      <c r="Q5" s="7" t="n"/>
    </row>
    <row r="6" ht="18" customFormat="1" customHeight="1" s="4">
      <c r="B6" s="8" t="inlineStr">
        <is>
          <t>Total COGS</t>
        </is>
      </c>
      <c r="C6" s="36" t="n">
        <v>-14720.84</v>
      </c>
      <c r="D6" s="36" t="n">
        <v>-12373.6</v>
      </c>
      <c r="E6" s="36" t="n">
        <v>-15374.63</v>
      </c>
      <c r="F6" s="36" t="n">
        <v>-16971.79</v>
      </c>
      <c r="G6" s="36" t="n">
        <v>-17472.26</v>
      </c>
      <c r="H6" s="36" t="n">
        <v>-19599.52</v>
      </c>
      <c r="I6" s="36" t="n">
        <v>-22983.09</v>
      </c>
      <c r="J6" s="67">
        <f>-'Forecast Engine'!J5</f>
        <v/>
      </c>
      <c r="K6" s="67">
        <f>-'Forecast Engine'!K5</f>
        <v/>
      </c>
      <c r="L6" s="67">
        <f>-'Forecast Engine'!L5</f>
        <v/>
      </c>
      <c r="M6" s="67">
        <f>-'Forecast Engine'!M5</f>
        <v/>
      </c>
      <c r="N6" s="67">
        <f>-'Forecast Engine'!N5</f>
        <v/>
      </c>
      <c r="O6" s="67">
        <f>-'Forecast Engine'!O5</f>
        <v/>
      </c>
      <c r="P6" s="67">
        <f>-'Forecast Engine'!P5</f>
        <v/>
      </c>
      <c r="Q6" s="7" t="n"/>
    </row>
    <row r="7" ht="18" customHeight="1" s="46">
      <c r="A7" t="inlineStr">
        <is>
          <t>x</t>
        </is>
      </c>
      <c r="B7" s="9" t="inlineStr">
        <is>
          <t>Gross Profit</t>
        </is>
      </c>
      <c r="C7" s="10">
        <f>SUM(C5:C6)</f>
        <v/>
      </c>
      <c r="D7" s="10">
        <f>SUM(D5:D6)</f>
        <v/>
      </c>
      <c r="E7" s="10">
        <f>SUM(E5:E6)</f>
        <v/>
      </c>
      <c r="F7" s="10">
        <f>SUM(F5:F6)</f>
        <v/>
      </c>
      <c r="G7" s="10">
        <f>SUM(G5:G6)</f>
        <v/>
      </c>
      <c r="H7" s="10">
        <f>SUM(H5:H6)</f>
        <v/>
      </c>
      <c r="I7" s="10">
        <f>SUM(I5:I6)</f>
        <v/>
      </c>
      <c r="J7" s="70">
        <f>J5+J6</f>
        <v/>
      </c>
      <c r="K7" s="70">
        <f>K5+K6</f>
        <v/>
      </c>
      <c r="L7" s="70">
        <f>L5+L6</f>
        <v/>
      </c>
      <c r="M7" s="70">
        <f>M5+M6</f>
        <v/>
      </c>
      <c r="N7" s="70">
        <f>N5+N6</f>
        <v/>
      </c>
      <c r="O7" s="70">
        <f>O5+O6</f>
        <v/>
      </c>
      <c r="P7" s="70">
        <f>P5+P6</f>
        <v/>
      </c>
      <c r="Q7" s="10">
        <f>SUM(Q5:Q6)</f>
        <v/>
      </c>
      <c r="S7" s="11" t="n"/>
    </row>
    <row r="8" ht="18" customHeight="1" s="46">
      <c r="B8" t="inlineStr">
        <is>
          <t>Operating Expenes</t>
        </is>
      </c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S8" s="11" t="n"/>
    </row>
    <row r="9" ht="18" customHeight="1" s="46">
      <c r="B9" s="13" t="inlineStr">
        <is>
          <t>Employee Cost</t>
        </is>
      </c>
      <c r="C9" s="14" t="n">
        <v>-5431.88</v>
      </c>
      <c r="D9" s="14" t="n">
        <v>-5378.15</v>
      </c>
      <c r="E9" s="14" t="n">
        <v>-5519.05</v>
      </c>
      <c r="F9" s="14" t="n">
        <v>-5700.63</v>
      </c>
      <c r="G9" s="14" t="n">
        <v>-5628.84</v>
      </c>
      <c r="H9" s="14" t="n">
        <v>-5923.42</v>
      </c>
      <c r="I9" s="14" t="n">
        <v>-6467.62</v>
      </c>
      <c r="J9" s="67">
        <f>-'Forecast Engine'!J7</f>
        <v/>
      </c>
      <c r="K9" s="67">
        <f>-'Forecast Engine'!K7</f>
        <v/>
      </c>
      <c r="L9" s="67">
        <f>-'Forecast Engine'!L7</f>
        <v/>
      </c>
      <c r="M9" s="67">
        <f>-'Forecast Engine'!M7</f>
        <v/>
      </c>
      <c r="N9" s="67">
        <f>-'Forecast Engine'!N7</f>
        <v/>
      </c>
      <c r="O9" s="67">
        <f>-'Forecast Engine'!O7</f>
        <v/>
      </c>
      <c r="P9" s="67">
        <f>-'Forecast Engine'!P7</f>
        <v/>
      </c>
      <c r="Q9" s="43" t="n"/>
      <c r="S9" s="11" t="n"/>
    </row>
    <row r="10" ht="18" customHeight="1" s="46">
      <c r="B10" s="13" t="inlineStr">
        <is>
          <t>Selling and admin</t>
        </is>
      </c>
      <c r="C10" s="14" t="n">
        <v>-1443.57</v>
      </c>
      <c r="D10" s="14" t="n">
        <v>-2605.41</v>
      </c>
      <c r="E10" s="14" t="n">
        <v>510.6299999999999</v>
      </c>
      <c r="F10" s="14" t="n">
        <v>351.1300000000001</v>
      </c>
      <c r="G10" s="14" t="n">
        <v>-80.78999999999996</v>
      </c>
      <c r="H10" s="14" t="n">
        <v>-1417.22</v>
      </c>
      <c r="I10" s="14" t="n">
        <v>-1989.28</v>
      </c>
      <c r="J10" s="67">
        <f>-'Forecast Engine'!J9</f>
        <v/>
      </c>
      <c r="K10" s="67">
        <f>-'Forecast Engine'!K9</f>
        <v/>
      </c>
      <c r="L10" s="67">
        <f>-'Forecast Engine'!L9</f>
        <v/>
      </c>
      <c r="M10" s="67">
        <f>-'Forecast Engine'!M9</f>
        <v/>
      </c>
      <c r="N10" s="67">
        <f>-'Forecast Engine'!N9</f>
        <v/>
      </c>
      <c r="O10" s="67">
        <f>-'Forecast Engine'!O9</f>
        <v/>
      </c>
      <c r="P10" s="67">
        <f>-'Forecast Engine'!P9</f>
        <v/>
      </c>
      <c r="Q10" s="43" t="n"/>
      <c r="S10" s="11" t="n"/>
    </row>
    <row r="11" ht="18" customHeight="1" s="46">
      <c r="B11" s="15" t="inlineStr">
        <is>
          <t>Total Operating Expenses</t>
        </is>
      </c>
      <c r="C11" s="16">
        <f>SUM(C9:C10)</f>
        <v/>
      </c>
      <c r="D11" s="16">
        <f>SUM(D9:D10)</f>
        <v/>
      </c>
      <c r="E11" s="16">
        <f>SUM(E9:E10)</f>
        <v/>
      </c>
      <c r="F11" s="16">
        <f>SUM(F9:F10)</f>
        <v/>
      </c>
      <c r="G11" s="16">
        <f>SUM(G9:G10)</f>
        <v/>
      </c>
      <c r="H11" s="16">
        <f>SUM(H9:H10)</f>
        <v/>
      </c>
      <c r="I11" s="16">
        <f>SUM(I9:I10)</f>
        <v/>
      </c>
      <c r="J11" s="70">
        <f>J9+J10</f>
        <v/>
      </c>
      <c r="K11" s="70">
        <f>K9+K10</f>
        <v/>
      </c>
      <c r="L11" s="70">
        <f>L9+L10</f>
        <v/>
      </c>
      <c r="M11" s="70">
        <f>M9+M10</f>
        <v/>
      </c>
      <c r="N11" s="70">
        <f>N9+N10</f>
        <v/>
      </c>
      <c r="O11" s="70">
        <f>O9+O10</f>
        <v/>
      </c>
      <c r="P11" s="70">
        <f>P9+P10</f>
        <v/>
      </c>
      <c r="Q11" s="16">
        <f>SUM(Q9:Q10)</f>
        <v/>
      </c>
      <c r="T11" s="17" t="n"/>
    </row>
    <row r="12" ht="18" customHeight="1" s="46">
      <c r="A12" t="inlineStr">
        <is>
          <t>x</t>
        </is>
      </c>
      <c r="B12" s="4" t="inlineStr">
        <is>
          <t>EBITDA</t>
        </is>
      </c>
      <c r="C12" s="7">
        <f>C7+C11</f>
        <v/>
      </c>
      <c r="D12" s="7">
        <f>D7+D11</f>
        <v/>
      </c>
      <c r="E12" s="7">
        <f>E7+E11</f>
        <v/>
      </c>
      <c r="F12" s="7">
        <f>F7+F11</f>
        <v/>
      </c>
      <c r="G12" s="7">
        <f>G7+G11</f>
        <v/>
      </c>
      <c r="H12" s="7">
        <f>H7+H11</f>
        <v/>
      </c>
      <c r="I12" s="7">
        <f>I7+I11</f>
        <v/>
      </c>
      <c r="J12" s="71">
        <f>J7+J11</f>
        <v/>
      </c>
      <c r="K12" s="71">
        <f>K7+K11</f>
        <v/>
      </c>
      <c r="L12" s="71">
        <f>L7+L11</f>
        <v/>
      </c>
      <c r="M12" s="71">
        <f>M7+M11</f>
        <v/>
      </c>
      <c r="N12" s="71">
        <f>N7+N11</f>
        <v/>
      </c>
      <c r="O12" s="71">
        <f>O7+O11</f>
        <v/>
      </c>
      <c r="P12" s="71">
        <f>P7+P11</f>
        <v/>
      </c>
      <c r="Q12" s="7" t="n"/>
    </row>
    <row r="13" ht="18" customHeight="1" s="46">
      <c r="B13" t="inlineStr">
        <is>
          <t>Depreciation &amp; Amortization</t>
        </is>
      </c>
      <c r="C13" s="14" t="n">
        <v>-503.27</v>
      </c>
      <c r="D13" s="14" t="n">
        <v>-473.25</v>
      </c>
      <c r="E13" s="14" t="n">
        <v>-314.12</v>
      </c>
      <c r="F13" s="14" t="n">
        <v>-260.34</v>
      </c>
      <c r="G13" s="14" t="n">
        <v>-248.9</v>
      </c>
      <c r="H13" s="14" t="n">
        <v>-271.96</v>
      </c>
      <c r="I13" s="14" t="n">
        <v>-315.87</v>
      </c>
      <c r="J13" s="67">
        <f>-'Forecast Engine'!J13</f>
        <v/>
      </c>
      <c r="K13" s="67">
        <f>-'Forecast Engine'!K13</f>
        <v/>
      </c>
      <c r="L13" s="67">
        <f>-'Forecast Engine'!L13</f>
        <v/>
      </c>
      <c r="M13" s="67">
        <f>-'Forecast Engine'!M13</f>
        <v/>
      </c>
      <c r="N13" s="67">
        <f>-'Forecast Engine'!N13</f>
        <v/>
      </c>
      <c r="O13" s="67">
        <f>-'Forecast Engine'!O13</f>
        <v/>
      </c>
      <c r="P13" s="67">
        <f>-'Forecast Engine'!P13</f>
        <v/>
      </c>
      <c r="Q13" s="18" t="n"/>
    </row>
    <row r="14" ht="18" customHeight="1" s="46">
      <c r="B14" s="15" t="inlineStr">
        <is>
          <t>EBIT</t>
        </is>
      </c>
      <c r="C14" s="10">
        <f>C12+C13</f>
        <v/>
      </c>
      <c r="D14" s="10">
        <f>D12+D13</f>
        <v/>
      </c>
      <c r="E14" s="10">
        <f>E12+E13</f>
        <v/>
      </c>
      <c r="F14" s="10">
        <f>F12+F13</f>
        <v/>
      </c>
      <c r="G14" s="10">
        <f>G12+G13</f>
        <v/>
      </c>
      <c r="H14" s="10">
        <f>H12+H13</f>
        <v/>
      </c>
      <c r="I14" s="10">
        <f>I12+I13</f>
        <v/>
      </c>
      <c r="J14" s="70">
        <f>J12+J13</f>
        <v/>
      </c>
      <c r="K14" s="70">
        <f>K12+K13</f>
        <v/>
      </c>
      <c r="L14" s="70">
        <f>L12+L13</f>
        <v/>
      </c>
      <c r="M14" s="70">
        <f>M12+M13</f>
        <v/>
      </c>
      <c r="N14" s="70">
        <f>N12+N13</f>
        <v/>
      </c>
      <c r="O14" s="70">
        <f>O12+O13</f>
        <v/>
      </c>
      <c r="P14" s="70">
        <f>P12+P13</f>
        <v/>
      </c>
      <c r="Q14" s="10">
        <f>Q12+Q13</f>
        <v/>
      </c>
    </row>
    <row r="15" ht="18" customHeight="1" s="46">
      <c r="B15" t="inlineStr">
        <is>
          <t>Other Income</t>
        </is>
      </c>
      <c r="C15" s="14" t="n">
        <v>590.02</v>
      </c>
      <c r="D15" s="14" t="n">
        <v>392.56</v>
      </c>
      <c r="E15" s="14" t="n">
        <v>404.67</v>
      </c>
      <c r="F15" s="14" t="n">
        <v>544.49</v>
      </c>
      <c r="G15" s="14" t="n">
        <v>608.3099999999999</v>
      </c>
      <c r="H15" s="14" t="n">
        <v>524.3200000000001</v>
      </c>
      <c r="I15" s="14" t="n">
        <v>868.7</v>
      </c>
      <c r="J15" s="67">
        <f>'Forecast Engine'!J23</f>
        <v/>
      </c>
      <c r="K15" s="67">
        <f>'Forecast Engine'!K23</f>
        <v/>
      </c>
      <c r="L15" s="67">
        <f>'Forecast Engine'!L23</f>
        <v/>
      </c>
      <c r="M15" s="67">
        <f>'Forecast Engine'!M23</f>
        <v/>
      </c>
      <c r="N15" s="67">
        <f>'Forecast Engine'!N23</f>
        <v/>
      </c>
      <c r="O15" s="67">
        <f>'Forecast Engine'!O23</f>
        <v/>
      </c>
      <c r="P15" s="67">
        <f>'Forecast Engine'!P23</f>
        <v/>
      </c>
      <c r="Q15" s="43" t="n"/>
    </row>
    <row r="16" ht="18" customHeight="1" s="46">
      <c r="B16" t="inlineStr">
        <is>
          <t>Interest Paid</t>
        </is>
      </c>
      <c r="C16" s="14" t="n">
        <v>-612.67</v>
      </c>
      <c r="D16" s="14" t="n">
        <v>-466.56</v>
      </c>
      <c r="E16" s="14" t="n">
        <v>-448.13</v>
      </c>
      <c r="F16" s="14" t="n">
        <v>-612.1900000000001</v>
      </c>
      <c r="G16" s="14" t="n">
        <v>-827.64</v>
      </c>
      <c r="H16" s="14" t="n">
        <v>-906.08</v>
      </c>
      <c r="I16" s="14" t="n">
        <v>-756.41</v>
      </c>
      <c r="J16" s="67">
        <f>-'Forecast Engine'!J22</f>
        <v/>
      </c>
      <c r="K16" s="67">
        <f>-'Forecast Engine'!K22</f>
        <v/>
      </c>
      <c r="L16" s="67">
        <f>-'Forecast Engine'!L22</f>
        <v/>
      </c>
      <c r="M16" s="67">
        <f>-'Forecast Engine'!M22</f>
        <v/>
      </c>
      <c r="N16" s="67">
        <f>-'Forecast Engine'!N22</f>
        <v/>
      </c>
      <c r="O16" s="67">
        <f>-'Forecast Engine'!O22</f>
        <v/>
      </c>
      <c r="P16" s="67">
        <f>-'Forecast Engine'!P22</f>
        <v/>
      </c>
      <c r="Q16" s="18" t="n"/>
    </row>
    <row r="17" ht="18" customHeight="1" s="46">
      <c r="A17" t="inlineStr">
        <is>
          <t>x</t>
        </is>
      </c>
      <c r="B17" s="15" t="inlineStr">
        <is>
          <t>Profit Before Tax (PBT)</t>
        </is>
      </c>
      <c r="C17" s="19">
        <f>SUM(C14:C16)</f>
        <v/>
      </c>
      <c r="D17" s="19">
        <f>SUM(D14:D16)</f>
        <v/>
      </c>
      <c r="E17" s="19">
        <f>SUM(E14:E16)</f>
        <v/>
      </c>
      <c r="F17" s="19">
        <f>SUM(F14:F16)</f>
        <v/>
      </c>
      <c r="G17" s="19">
        <f>SUM(G14:G16)</f>
        <v/>
      </c>
      <c r="H17" s="19">
        <f>SUM(H14:H16)</f>
        <v/>
      </c>
      <c r="I17" s="19">
        <f>SUM(I14:I16)</f>
        <v/>
      </c>
      <c r="J17" s="70">
        <f>J14+J15+J16</f>
        <v/>
      </c>
      <c r="K17" s="70">
        <f>K14+K15+K16</f>
        <v/>
      </c>
      <c r="L17" s="70">
        <f>L14+L15+L16</f>
        <v/>
      </c>
      <c r="M17" s="70">
        <f>M14+M15+M16</f>
        <v/>
      </c>
      <c r="N17" s="70">
        <f>N14+N15+N16</f>
        <v/>
      </c>
      <c r="O17" s="70">
        <f>O14+O15+O16</f>
        <v/>
      </c>
      <c r="P17" s="70">
        <f>P14+P15+P16</f>
        <v/>
      </c>
      <c r="Q17" s="19">
        <f>SUM(Q14:Q16)</f>
        <v/>
      </c>
    </row>
    <row r="18" ht="18" customHeight="1" s="46">
      <c r="B18" t="inlineStr">
        <is>
          <t>Tax</t>
        </is>
      </c>
      <c r="C18" s="14" t="n">
        <v>-809.28</v>
      </c>
      <c r="D18" s="14" t="n">
        <v>896.23</v>
      </c>
      <c r="E18" s="14" t="n">
        <v>-25.75</v>
      </c>
      <c r="F18" s="14" t="n">
        <v>-61.49</v>
      </c>
      <c r="G18" s="14" t="n">
        <v>39.56</v>
      </c>
      <c r="H18" s="14" t="n">
        <v>-211.7</v>
      </c>
      <c r="I18" s="14" t="n">
        <v>-538.35</v>
      </c>
      <c r="J18" s="67">
        <f>-'Forecast Engine'!J25</f>
        <v/>
      </c>
      <c r="K18" s="67">
        <f>-'Forecast Engine'!K25</f>
        <v/>
      </c>
      <c r="L18" s="67">
        <f>-'Forecast Engine'!L25</f>
        <v/>
      </c>
      <c r="M18" s="67">
        <f>-'Forecast Engine'!M25</f>
        <v/>
      </c>
      <c r="N18" s="67">
        <f>-'Forecast Engine'!N25</f>
        <v/>
      </c>
      <c r="O18" s="67">
        <f>-'Forecast Engine'!O25</f>
        <v/>
      </c>
      <c r="P18" s="67">
        <f>-'Forecast Engine'!P25</f>
        <v/>
      </c>
      <c r="Q18" s="43" t="n"/>
    </row>
    <row r="19" ht="18" customHeight="1" s="46">
      <c r="B19" t="inlineStr">
        <is>
          <t>Adjustments</t>
        </is>
      </c>
      <c r="C19" s="14" t="n"/>
      <c r="D19" s="14" t="n"/>
      <c r="E19" s="14" t="n"/>
      <c r="F19" s="14" t="n"/>
      <c r="G19" s="14" t="n"/>
      <c r="H19" s="14" t="n"/>
      <c r="I19" s="14" t="n"/>
      <c r="J19" s="67" t="n">
        <v>0</v>
      </c>
      <c r="K19" s="67" t="n">
        <v>0</v>
      </c>
      <c r="L19" s="67" t="n">
        <v>0</v>
      </c>
      <c r="M19" s="67" t="n">
        <v>0</v>
      </c>
      <c r="N19" s="67" t="n">
        <v>0</v>
      </c>
      <c r="O19" s="67" t="n">
        <v>0</v>
      </c>
      <c r="P19" s="67" t="n">
        <v>0</v>
      </c>
      <c r="Q19" s="14" t="n"/>
    </row>
    <row r="20" ht="15" customHeight="1" s="46" thickBot="1">
      <c r="A20" t="inlineStr">
        <is>
          <t>x</t>
        </is>
      </c>
      <c r="B20" s="20" t="inlineStr">
        <is>
          <t>Profit After Tax (PAT)</t>
        </is>
      </c>
      <c r="C20" s="21">
        <f>SUM(C17:C19)</f>
        <v/>
      </c>
      <c r="D20" s="21">
        <f>SUM(D17:D19)</f>
        <v/>
      </c>
      <c r="E20" s="21">
        <f>SUM(E17:E19)</f>
        <v/>
      </c>
      <c r="F20" s="21">
        <f>SUM(F17:F19)</f>
        <v/>
      </c>
      <c r="G20" s="21">
        <f>SUM(G17:G19)</f>
        <v/>
      </c>
      <c r="H20" s="21">
        <f>SUM(H17:H19)</f>
        <v/>
      </c>
      <c r="I20" s="21">
        <f>SUM(I17:I19)</f>
        <v/>
      </c>
      <c r="J20" s="72">
        <f>J17+J18+J19</f>
        <v/>
      </c>
      <c r="K20" s="72">
        <f>K17+K18+K19</f>
        <v/>
      </c>
      <c r="L20" s="72">
        <f>L17+L18+L19</f>
        <v/>
      </c>
      <c r="M20" s="72">
        <f>M17+M18+M19</f>
        <v/>
      </c>
      <c r="N20" s="72">
        <f>N17+N18+N19</f>
        <v/>
      </c>
      <c r="O20" s="72">
        <f>O17+O18+O19</f>
        <v/>
      </c>
      <c r="P20" s="72">
        <f>P17+P18+P19</f>
        <v/>
      </c>
      <c r="Q20" s="21">
        <f>SUM(Q17:Q19)</f>
        <v/>
      </c>
    </row>
    <row r="21" ht="18" customHeight="1" s="46" thickTop="1">
      <c r="C21" s="11" t="n"/>
      <c r="D21" s="11" t="n"/>
      <c r="E21" s="11" t="n"/>
      <c r="F21" s="11" t="n"/>
      <c r="G21" s="11" t="n"/>
      <c r="H21" s="11" t="n"/>
      <c r="I21" s="11" t="n"/>
      <c r="J21" s="1" t="n"/>
    </row>
    <row r="22">
      <c r="C22" s="33" t="n"/>
      <c r="D22" s="33" t="n"/>
      <c r="E22" s="33" t="n"/>
      <c r="F22" s="33" t="n"/>
      <c r="G22" s="33" t="n"/>
      <c r="H22" s="33" t="n"/>
      <c r="I22" s="33" t="n"/>
    </row>
    <row r="23" ht="18" customHeight="1" s="46"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</row>
    <row r="24" ht="18" customHeight="1" s="46">
      <c r="B24" s="4" t="n"/>
      <c r="C24" s="43" t="n"/>
      <c r="D24" s="43" t="n"/>
      <c r="E24" s="43" t="n"/>
      <c r="F24" s="43" t="n"/>
      <c r="G24" s="43" t="n"/>
      <c r="H24" s="43" t="n"/>
      <c r="I24" s="43" t="n"/>
    </row>
    <row r="25" ht="18" customHeight="1" s="46">
      <c r="C25" s="43" t="n"/>
      <c r="D25" s="43" t="n"/>
      <c r="E25" s="43" t="n"/>
      <c r="F25" s="43" t="n"/>
      <c r="G25" s="43" t="n"/>
      <c r="H25" s="43" t="n"/>
      <c r="I25" s="43" t="n"/>
    </row>
    <row r="26" ht="18" customHeight="1" s="46">
      <c r="I26" s="43" t="n"/>
    </row>
    <row r="35" ht="18" customHeight="1" s="46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50"/>
  <sheetViews>
    <sheetView showGridLines="0" tabSelected="1" topLeftCell="A18" zoomScale="88" workbookViewId="0">
      <selection activeCell="A18" sqref="A18"/>
    </sheetView>
  </sheetViews>
  <sheetFormatPr baseColWidth="8" defaultRowHeight="14.4"/>
  <cols>
    <col width="2.77734375" customWidth="1" style="1" min="1" max="1"/>
    <col width="50.77734375" customWidth="1" style="46" min="2" max="2"/>
    <col width="10.77734375" customWidth="1" style="43" min="3" max="13"/>
    <col width="9.88671875" bestFit="1" customWidth="1" style="46" min="14" max="16"/>
    <col width="9.44140625" bestFit="1" customWidth="1" style="46" min="17" max="17"/>
  </cols>
  <sheetData>
    <row r="1" ht="18" customHeight="1" s="46"/>
    <row r="2" ht="18" customHeight="1" s="46">
      <c r="B2" s="2" t="inlineStr">
        <is>
          <t>Balance Sheet</t>
        </is>
      </c>
      <c r="Q2" s="3" t="n"/>
    </row>
    <row r="3" ht="18" customHeight="1" s="46"/>
    <row r="4" ht="18" customHeight="1" s="46">
      <c r="B4" s="4" t="inlineStr">
        <is>
          <t>Particulars</t>
        </is>
      </c>
      <c r="C4" s="5" t="n">
        <v>2020</v>
      </c>
      <c r="D4" s="5">
        <f>C4+1</f>
        <v/>
      </c>
      <c r="E4" s="5">
        <f>D4+1</f>
        <v/>
      </c>
      <c r="F4" s="5">
        <f>E4+1</f>
        <v/>
      </c>
      <c r="G4" s="5">
        <f>F4+1</f>
        <v/>
      </c>
      <c r="H4" s="5">
        <f>G4+1</f>
        <v/>
      </c>
      <c r="I4" s="5">
        <f>H4+1</f>
        <v/>
      </c>
      <c r="J4" s="6">
        <f>I4+1</f>
        <v/>
      </c>
      <c r="K4" s="6">
        <f>J4+1</f>
        <v/>
      </c>
      <c r="L4" s="6">
        <f>K4+1</f>
        <v/>
      </c>
      <c r="M4" s="6">
        <f>L4+1</f>
        <v/>
      </c>
      <c r="N4" s="6">
        <f>M4+1</f>
        <v/>
      </c>
      <c r="O4" s="6">
        <f>N4+1</f>
        <v/>
      </c>
      <c r="P4" s="6">
        <f>O4+1</f>
        <v/>
      </c>
      <c r="Q4" s="6">
        <f>P4+1</f>
        <v/>
      </c>
    </row>
    <row r="5" ht="18" customHeight="1" s="46"/>
    <row r="6" ht="18" customHeight="1" s="46">
      <c r="A6" s="1" t="inlineStr">
        <is>
          <t>x</t>
        </is>
      </c>
      <c r="B6" s="37" t="inlineStr">
        <is>
          <t>Equities &amp; Liablilities</t>
        </is>
      </c>
      <c r="N6" s="43" t="n"/>
      <c r="O6" s="43" t="n"/>
      <c r="P6" s="43" t="n"/>
      <c r="Q6" s="43" t="n"/>
    </row>
    <row r="7" ht="18" customHeight="1" s="46">
      <c r="B7" s="4" t="inlineStr">
        <is>
          <t>Shareholders' Fund</t>
        </is>
      </c>
      <c r="N7" s="43" t="n"/>
      <c r="O7" s="43" t="n"/>
      <c r="P7" s="43" t="n"/>
      <c r="Q7" s="43" t="n"/>
    </row>
    <row r="8" ht="18" customHeight="1" s="46">
      <c r="B8" s="38" t="inlineStr">
        <is>
          <t>Share Capital</t>
        </is>
      </c>
      <c r="C8" s="14" t="n">
        <v>696.41</v>
      </c>
      <c r="D8" s="14" t="n">
        <v>696.41</v>
      </c>
      <c r="E8" s="14" t="n">
        <v>696.41</v>
      </c>
      <c r="F8" s="14" t="n">
        <v>696.41</v>
      </c>
      <c r="G8" s="14" t="n">
        <v>696.41</v>
      </c>
      <c r="H8" s="14" t="n">
        <v>696.41</v>
      </c>
      <c r="I8" s="14" t="n">
        <v>696.41</v>
      </c>
      <c r="J8" s="67" t="n">
        <v>696.4</v>
      </c>
      <c r="K8" s="67" t="n">
        <v>696.4</v>
      </c>
      <c r="L8" s="67" t="n">
        <v>696.4</v>
      </c>
      <c r="M8" s="67" t="n">
        <v>696.4</v>
      </c>
      <c r="N8" s="67" t="n">
        <v>696.4</v>
      </c>
      <c r="O8" s="67" t="n">
        <v>696.4</v>
      </c>
      <c r="P8" s="67" t="n">
        <v>696.4</v>
      </c>
      <c r="Q8" s="18" t="n"/>
    </row>
    <row r="9" ht="18" customHeight="1" s="46">
      <c r="B9" s="38" t="inlineStr">
        <is>
          <t>Reserve &amp; Surplus</t>
        </is>
      </c>
      <c r="C9" s="14" t="n">
        <v>27964.31</v>
      </c>
      <c r="D9" s="14" t="n">
        <v>25287.25</v>
      </c>
      <c r="E9" s="14" t="n">
        <v>25810.19</v>
      </c>
      <c r="F9" s="14" t="n">
        <v>23681.85</v>
      </c>
      <c r="G9" s="14" t="n">
        <v>23742.24</v>
      </c>
      <c r="H9" s="14" t="n">
        <v>24025.75</v>
      </c>
      <c r="I9" s="14" t="n">
        <v>25450.19</v>
      </c>
      <c r="J9" s="67">
        <f>'Forecast Engine'!J30</f>
        <v/>
      </c>
      <c r="K9" s="67">
        <f>'Forecast Engine'!K30</f>
        <v/>
      </c>
      <c r="L9" s="67">
        <f>'Forecast Engine'!L30</f>
        <v/>
      </c>
      <c r="M9" s="67">
        <f>'Forecast Engine'!M30</f>
        <v/>
      </c>
      <c r="N9" s="67">
        <f>'Forecast Engine'!N30</f>
        <v/>
      </c>
      <c r="O9" s="67">
        <f>'Forecast Engine'!O30</f>
        <v/>
      </c>
      <c r="P9" s="67">
        <f>'Forecast Engine'!P30</f>
        <v/>
      </c>
      <c r="Q9" s="43" t="n"/>
    </row>
    <row r="10" ht="18" customHeight="1" s="46">
      <c r="B10" s="39" t="inlineStr">
        <is>
          <t>Total Shareholders' Fund</t>
        </is>
      </c>
      <c r="C10" s="7">
        <f>SUM(C8:C9)</f>
        <v/>
      </c>
      <c r="D10" s="7">
        <f>SUM(D8:D9)</f>
        <v/>
      </c>
      <c r="E10" s="7">
        <f>SUM(E8:E9)</f>
        <v/>
      </c>
      <c r="F10" s="7">
        <f>SUM(F8:F9)</f>
        <v/>
      </c>
      <c r="G10" s="7">
        <f>SUM(G8:G9)</f>
        <v/>
      </c>
      <c r="H10" s="7">
        <f>SUM(H8:H9)</f>
        <v/>
      </c>
      <c r="I10" s="7">
        <f>SUM(I8:I9)</f>
        <v/>
      </c>
      <c r="J10" s="69">
        <f>J8+J9</f>
        <v/>
      </c>
      <c r="K10" s="69">
        <f>K8+K9</f>
        <v/>
      </c>
      <c r="L10" s="69">
        <f>L8+L9</f>
        <v/>
      </c>
      <c r="M10" s="69">
        <f>M8+M9</f>
        <v/>
      </c>
      <c r="N10" s="69">
        <f>N8+N9</f>
        <v/>
      </c>
      <c r="O10" s="69">
        <f>O8+O9</f>
        <v/>
      </c>
      <c r="P10" s="69">
        <f>P8+P9</f>
        <v/>
      </c>
      <c r="Q10" s="7">
        <f>SUM(Q8:Q9)</f>
        <v/>
      </c>
    </row>
    <row r="11" ht="18" customHeight="1" s="46">
      <c r="N11" s="43" t="n"/>
      <c r="O11" s="43" t="n"/>
      <c r="P11" s="43" t="n"/>
      <c r="Q11" s="43" t="n"/>
    </row>
    <row r="12" ht="18" customHeight="1" s="46">
      <c r="A12" s="1" t="inlineStr">
        <is>
          <t>x</t>
        </is>
      </c>
      <c r="B12" s="4" t="inlineStr">
        <is>
          <t>Liabilities</t>
        </is>
      </c>
      <c r="N12" s="43" t="n"/>
      <c r="O12" s="43" t="n"/>
      <c r="P12" s="43" t="n"/>
      <c r="Q12" s="43" t="n"/>
    </row>
    <row r="13" ht="18" customHeight="1" s="46">
      <c r="B13" s="4" t="inlineStr">
        <is>
          <t>Non-Current Liabilities</t>
        </is>
      </c>
      <c r="N13" s="43" t="n"/>
      <c r="O13" s="43" t="n"/>
      <c r="P13" s="43" t="n"/>
      <c r="Q13" s="43" t="n"/>
    </row>
    <row r="14" ht="18" customHeight="1" s="46">
      <c r="B14" s="38" t="inlineStr">
        <is>
          <t>LT borrowings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168.18</v>
      </c>
      <c r="J14" s="67">
        <f>'Forecast Engine'!J20</f>
        <v/>
      </c>
      <c r="K14" s="67">
        <f>'Forecast Engine'!K20</f>
        <v/>
      </c>
      <c r="L14" s="67">
        <f>'Forecast Engine'!L20</f>
        <v/>
      </c>
      <c r="M14" s="67">
        <f>'Forecast Engine'!M20</f>
        <v/>
      </c>
      <c r="N14" s="67">
        <f>'Forecast Engine'!N20</f>
        <v/>
      </c>
      <c r="O14" s="67">
        <f>'Forecast Engine'!O20</f>
        <v/>
      </c>
      <c r="P14" s="67">
        <f>'Forecast Engine'!P20</f>
        <v/>
      </c>
      <c r="Q14" s="43" t="n"/>
    </row>
    <row r="15" ht="18" customHeight="1" s="46">
      <c r="B15" s="38" t="inlineStr">
        <is>
          <t>LT provisions</t>
        </is>
      </c>
      <c r="C15" s="14" t="n">
        <v>4225.16</v>
      </c>
      <c r="D15" s="14" t="n">
        <v>3925.56</v>
      </c>
      <c r="E15" s="14" t="n">
        <v>3771.21</v>
      </c>
      <c r="F15" s="14" t="n">
        <v>4101.02</v>
      </c>
      <c r="G15" s="14" t="n">
        <v>2489.08</v>
      </c>
      <c r="H15" s="14" t="n">
        <v>2585.56</v>
      </c>
      <c r="I15" s="14" t="n">
        <v>2354.62</v>
      </c>
      <c r="J15" s="67">
        <f>'Forecast Engine'!J39</f>
        <v/>
      </c>
      <c r="K15" s="67">
        <f>'Forecast Engine'!K39</f>
        <v/>
      </c>
      <c r="L15" s="67">
        <f>'Forecast Engine'!L39</f>
        <v/>
      </c>
      <c r="M15" s="67">
        <f>'Forecast Engine'!M39</f>
        <v/>
      </c>
      <c r="N15" s="67">
        <f>'Forecast Engine'!N39</f>
        <v/>
      </c>
      <c r="O15" s="67">
        <f>'Forecast Engine'!O39</f>
        <v/>
      </c>
      <c r="P15" s="67">
        <f>'Forecast Engine'!P39</f>
        <v/>
      </c>
      <c r="Q15" s="43" t="n"/>
    </row>
    <row r="16" ht="18" customHeight="1" s="46">
      <c r="B16" s="38" t="inlineStr">
        <is>
          <t>Other non current liabilities</t>
        </is>
      </c>
      <c r="C16" s="14" t="n">
        <v>4263.27</v>
      </c>
      <c r="D16" s="14" t="n">
        <v>4982.75</v>
      </c>
      <c r="E16" s="14" t="n">
        <v>4594.8</v>
      </c>
      <c r="F16" s="14" t="n">
        <v>5089.29</v>
      </c>
      <c r="G16" s="14" t="n">
        <v>6744.96</v>
      </c>
      <c r="H16" s="14" t="n">
        <v>12549.87</v>
      </c>
      <c r="I16" s="14" t="n">
        <v>15214.03</v>
      </c>
      <c r="J16" s="67">
        <f>'Forecast Engine'!J38</f>
        <v/>
      </c>
      <c r="K16" s="67">
        <f>'Forecast Engine'!K38</f>
        <v/>
      </c>
      <c r="L16" s="67">
        <f>'Forecast Engine'!L38</f>
        <v/>
      </c>
      <c r="M16" s="67">
        <f>'Forecast Engine'!M38</f>
        <v/>
      </c>
      <c r="N16" s="67">
        <f>'Forecast Engine'!N38</f>
        <v/>
      </c>
      <c r="O16" s="67">
        <f>'Forecast Engine'!O38</f>
        <v/>
      </c>
      <c r="P16" s="67">
        <f>'Forecast Engine'!P38</f>
        <v/>
      </c>
      <c r="Q16" s="43" t="n"/>
    </row>
    <row r="17" ht="18" customHeight="1" s="46">
      <c r="B17" s="39" t="inlineStr">
        <is>
          <t>Total Non-Current Liabilities</t>
        </is>
      </c>
      <c r="C17" s="7">
        <f>SUM(C14:C16)</f>
        <v/>
      </c>
      <c r="D17" s="7">
        <f>SUM(D14:D16)</f>
        <v/>
      </c>
      <c r="E17" s="7">
        <f>SUM(E14:E16)</f>
        <v/>
      </c>
      <c r="F17" s="7">
        <f>SUM(F14:F16)</f>
        <v/>
      </c>
      <c r="G17" s="7">
        <f>SUM(G14:G16)</f>
        <v/>
      </c>
      <c r="H17" s="7">
        <f>SUM(H14:H16)</f>
        <v/>
      </c>
      <c r="I17" s="7">
        <f>SUM(I14:I16)</f>
        <v/>
      </c>
      <c r="J17" s="69">
        <f>J14+J15+J16</f>
        <v/>
      </c>
      <c r="K17" s="69">
        <f>K14+K15+K16</f>
        <v/>
      </c>
      <c r="L17" s="69">
        <f>L14+L15+L16</f>
        <v/>
      </c>
      <c r="M17" s="69">
        <f>M14+M15+M16</f>
        <v/>
      </c>
      <c r="N17" s="69">
        <f>N14+N15+N16</f>
        <v/>
      </c>
      <c r="O17" s="69">
        <f>O14+O15+O16</f>
        <v/>
      </c>
      <c r="P17" s="69">
        <f>P14+P15+P16</f>
        <v/>
      </c>
      <c r="Q17" s="7">
        <f>SUM(Q14:Q16)</f>
        <v/>
      </c>
    </row>
    <row r="18" ht="18" customHeight="1" s="46">
      <c r="B18" s="8" t="inlineStr">
        <is>
          <t>Current Liabilities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 ht="18" customHeight="1" s="46">
      <c r="B19" s="38" t="inlineStr">
        <is>
          <t>ST borrowings</t>
        </is>
      </c>
      <c r="C19" s="14" t="n">
        <v>4947.92</v>
      </c>
      <c r="D19" s="14" t="n">
        <v>4849.28</v>
      </c>
      <c r="E19" s="14" t="n">
        <v>4745</v>
      </c>
      <c r="F19" s="14" t="n">
        <v>5385</v>
      </c>
      <c r="G19" s="14" t="n">
        <v>8808</v>
      </c>
      <c r="H19" s="14" t="n">
        <v>8795</v>
      </c>
      <c r="I19" s="14" t="n">
        <v>8018.77</v>
      </c>
      <c r="J19" s="67">
        <f>'Forecast Engine'!J21</f>
        <v/>
      </c>
      <c r="K19" s="67">
        <f>'Forecast Engine'!K21</f>
        <v/>
      </c>
      <c r="L19" s="67">
        <f>'Forecast Engine'!L21</f>
        <v/>
      </c>
      <c r="M19" s="67">
        <f>'Forecast Engine'!M21</f>
        <v/>
      </c>
      <c r="N19" s="67">
        <f>'Forecast Engine'!N21</f>
        <v/>
      </c>
      <c r="O19" s="67">
        <f>'Forecast Engine'!O21</f>
        <v/>
      </c>
      <c r="P19" s="67">
        <f>'Forecast Engine'!P21</f>
        <v/>
      </c>
      <c r="Q19" s="18" t="n"/>
    </row>
    <row r="20" ht="18" customHeight="1" s="46">
      <c r="B20" s="38" t="inlineStr">
        <is>
          <t>Trade Payables</t>
        </is>
      </c>
      <c r="C20" s="14" t="n">
        <v>8829.16</v>
      </c>
      <c r="D20" s="14" t="n">
        <v>6683.51</v>
      </c>
      <c r="E20" s="14" t="n">
        <v>7749.59</v>
      </c>
      <c r="F20" s="14" t="n">
        <v>9895.83</v>
      </c>
      <c r="G20" s="14" t="n">
        <v>8696.24</v>
      </c>
      <c r="H20" s="14" t="n">
        <v>9540.92</v>
      </c>
      <c r="I20" s="14" t="n">
        <v>10491.6</v>
      </c>
      <c r="J20" s="67">
        <f>'Forecast Engine'!J34</f>
        <v/>
      </c>
      <c r="K20" s="67">
        <f>'Forecast Engine'!K34</f>
        <v/>
      </c>
      <c r="L20" s="67">
        <f>'Forecast Engine'!L34</f>
        <v/>
      </c>
      <c r="M20" s="67">
        <f>'Forecast Engine'!M34</f>
        <v/>
      </c>
      <c r="N20" s="67">
        <f>'Forecast Engine'!N34</f>
        <v/>
      </c>
      <c r="O20" s="67">
        <f>'Forecast Engine'!O34</f>
        <v/>
      </c>
      <c r="P20" s="67">
        <f>'Forecast Engine'!P34</f>
        <v/>
      </c>
      <c r="Q20" s="18" t="n"/>
    </row>
    <row r="21" ht="18" customHeight="1" s="46">
      <c r="B21" s="38" t="inlineStr">
        <is>
          <t>Other Current Liabilities (proviso, advances)</t>
        </is>
      </c>
      <c r="C21" s="14" t="n">
        <v>8831.400000000001</v>
      </c>
      <c r="D21" s="14" t="n">
        <v>8827.110000000001</v>
      </c>
      <c r="E21" s="14" t="n">
        <v>8876.559999999999</v>
      </c>
      <c r="F21" s="14" t="n">
        <v>8070.619999999999</v>
      </c>
      <c r="G21" s="14" t="n">
        <v>7828.57</v>
      </c>
      <c r="H21" s="14" t="n">
        <v>9889.67</v>
      </c>
      <c r="I21" s="14" t="n">
        <v>13791.81</v>
      </c>
      <c r="J21" s="67">
        <f>'Forecast Engine'!J36</f>
        <v/>
      </c>
      <c r="K21" s="67">
        <f>'Forecast Engine'!K36</f>
        <v/>
      </c>
      <c r="L21" s="67">
        <f>'Forecast Engine'!L36</f>
        <v/>
      </c>
      <c r="M21" s="67">
        <f>'Forecast Engine'!M36</f>
        <v/>
      </c>
      <c r="N21" s="67">
        <f>'Forecast Engine'!N36</f>
        <v/>
      </c>
      <c r="O21" s="67">
        <f>'Forecast Engine'!O36</f>
        <v/>
      </c>
      <c r="P21" s="67">
        <f>'Forecast Engine'!P36</f>
        <v/>
      </c>
      <c r="Q21" s="43" t="n"/>
    </row>
    <row r="22" ht="18" customHeight="1" s="46">
      <c r="B22" s="38" t="inlineStr">
        <is>
          <t>Total Current Liabilities</t>
        </is>
      </c>
      <c r="C22" s="42">
        <f>SUM(C19:C21)</f>
        <v/>
      </c>
      <c r="D22" s="42">
        <f>SUM(D19:D21)</f>
        <v/>
      </c>
      <c r="E22" s="42">
        <f>SUM(E19:E21)</f>
        <v/>
      </c>
      <c r="F22" s="42">
        <f>SUM(F19:F21)</f>
        <v/>
      </c>
      <c r="G22" s="42">
        <f>SUM(G19:G21)</f>
        <v/>
      </c>
      <c r="H22" s="42">
        <f>SUM(H19:H21)</f>
        <v/>
      </c>
      <c r="I22" s="42">
        <f>SUM(I19:I21)</f>
        <v/>
      </c>
      <c r="J22" s="69">
        <f>J19+J20+J21</f>
        <v/>
      </c>
      <c r="K22" s="69">
        <f>K19+K20+K21</f>
        <v/>
      </c>
      <c r="L22" s="69">
        <f>L19+L20+L21</f>
        <v/>
      </c>
      <c r="M22" s="69">
        <f>M19+M20+M21</f>
        <v/>
      </c>
      <c r="N22" s="69">
        <f>N19+N20+N21</f>
        <v/>
      </c>
      <c r="O22" s="69">
        <f>O19+O20+O21</f>
        <v/>
      </c>
      <c r="P22" s="69">
        <f>P19+P20+P21</f>
        <v/>
      </c>
      <c r="Q22" s="42">
        <f>SUM(Q19:Q21)</f>
        <v/>
      </c>
    </row>
    <row r="23" ht="18" customHeight="1" s="46">
      <c r="B23" s="39" t="inlineStr">
        <is>
          <t>Total Liabilities</t>
        </is>
      </c>
      <c r="C23" s="7">
        <f>C17+C22</f>
        <v/>
      </c>
      <c r="D23" s="7">
        <f>D17+D22</f>
        <v/>
      </c>
      <c r="E23" s="7">
        <f>E17+E22</f>
        <v/>
      </c>
      <c r="F23" s="7">
        <f>F17+F22</f>
        <v/>
      </c>
      <c r="G23" s="7">
        <f>G17+G22</f>
        <v/>
      </c>
      <c r="H23" s="7">
        <f>H17+H22</f>
        <v/>
      </c>
      <c r="I23" s="7">
        <f>I17+I22</f>
        <v/>
      </c>
      <c r="J23" s="69">
        <f>J17+J22</f>
        <v/>
      </c>
      <c r="K23" s="69">
        <f>K17+K22</f>
        <v/>
      </c>
      <c r="L23" s="69">
        <f>L17+L22</f>
        <v/>
      </c>
      <c r="M23" s="69">
        <f>M17+M22</f>
        <v/>
      </c>
      <c r="N23" s="69">
        <f>N17+N22</f>
        <v/>
      </c>
      <c r="O23" s="69">
        <f>O17+O22</f>
        <v/>
      </c>
      <c r="P23" s="69">
        <f>P17+P22</f>
        <v/>
      </c>
      <c r="Q23" s="7">
        <f>Q17+Q22</f>
        <v/>
      </c>
    </row>
    <row r="24" ht="18" customHeight="1" s="46">
      <c r="N24" s="43" t="n"/>
      <c r="O24" s="43" t="n"/>
      <c r="P24" s="43" t="n"/>
      <c r="Q24" s="43" t="n"/>
    </row>
    <row r="25" ht="18" customHeight="1" s="46">
      <c r="A25" s="1" t="inlineStr">
        <is>
          <t>x</t>
        </is>
      </c>
      <c r="B25" s="4" t="inlineStr">
        <is>
          <t>Total Equity &amp; Liabilities</t>
        </is>
      </c>
      <c r="C25" s="7">
        <f>C10+C23</f>
        <v/>
      </c>
      <c r="D25" s="7">
        <f>D10+D23</f>
        <v/>
      </c>
      <c r="E25" s="7">
        <f>E10+E23</f>
        <v/>
      </c>
      <c r="F25" s="7">
        <f>F10+F23</f>
        <v/>
      </c>
      <c r="G25" s="7">
        <f>G10+G23</f>
        <v/>
      </c>
      <c r="H25" s="7">
        <f>H10+H23</f>
        <v/>
      </c>
      <c r="I25" s="7">
        <f>I10+I23</f>
        <v/>
      </c>
      <c r="J25" s="71">
        <f>J10+J23</f>
        <v/>
      </c>
      <c r="K25" s="71">
        <f>K10+K23</f>
        <v/>
      </c>
      <c r="L25" s="71">
        <f>L10+L23</f>
        <v/>
      </c>
      <c r="M25" s="71">
        <f>M10+M23</f>
        <v/>
      </c>
      <c r="N25" s="71">
        <f>N10+N23</f>
        <v/>
      </c>
      <c r="O25" s="71">
        <f>O10+O23</f>
        <v/>
      </c>
      <c r="P25" s="71">
        <f>P10+P23</f>
        <v/>
      </c>
      <c r="Q25" s="7">
        <f>Q10+Q23</f>
        <v/>
      </c>
    </row>
    <row r="26" ht="18" customHeight="1" s="46">
      <c r="N26" s="43" t="n"/>
      <c r="O26" s="43" t="n"/>
      <c r="P26" s="43" t="n"/>
      <c r="Q26" s="43" t="n"/>
    </row>
    <row r="27" ht="18" customHeight="1" s="46">
      <c r="B27" s="37" t="inlineStr">
        <is>
          <t>Assets</t>
        </is>
      </c>
      <c r="N27" s="43" t="n"/>
      <c r="O27" s="43" t="n"/>
      <c r="P27" s="43" t="n"/>
      <c r="Q27" s="43" t="n"/>
    </row>
    <row r="28" ht="18" customHeight="1" s="46">
      <c r="B28" s="4" t="inlineStr">
        <is>
          <t>Non-Current Assets</t>
        </is>
      </c>
      <c r="N28" s="43" t="n"/>
      <c r="O28" s="43" t="n"/>
      <c r="P28" s="43" t="n"/>
      <c r="Q28" s="43" t="n"/>
    </row>
    <row r="29" ht="18" customHeight="1" s="46">
      <c r="B29" s="4" t="inlineStr">
        <is>
          <t>Fixed Assets</t>
        </is>
      </c>
      <c r="N29" s="43" t="n"/>
      <c r="O29" s="43" t="n"/>
      <c r="P29" s="43" t="n"/>
      <c r="Q29" s="43" t="n"/>
    </row>
    <row r="30" ht="18" customHeight="1" s="46">
      <c r="B30" s="38" t="inlineStr">
        <is>
          <t>Property Plant &amp; Equip</t>
        </is>
      </c>
      <c r="C30" s="14" t="n">
        <v>2817</v>
      </c>
      <c r="D30" s="14" t="n">
        <v>2491</v>
      </c>
      <c r="E30" s="14" t="n">
        <v>2398</v>
      </c>
      <c r="F30" s="14" t="n">
        <v>2476</v>
      </c>
      <c r="G30" s="14" t="n">
        <v>2574</v>
      </c>
      <c r="H30" s="14" t="n">
        <v>2947</v>
      </c>
      <c r="I30" s="14" t="n">
        <v>3094</v>
      </c>
      <c r="J30" s="67">
        <f>'Forecast Engine'!J14</f>
        <v/>
      </c>
      <c r="K30" s="67">
        <f>'Forecast Engine'!K14</f>
        <v/>
      </c>
      <c r="L30" s="67">
        <f>'Forecast Engine'!L14</f>
        <v/>
      </c>
      <c r="M30" s="67">
        <f>'Forecast Engine'!M14</f>
        <v/>
      </c>
      <c r="N30" s="67">
        <f>'Forecast Engine'!N14</f>
        <v/>
      </c>
      <c r="O30" s="67">
        <f>'Forecast Engine'!O14</f>
        <v/>
      </c>
      <c r="P30" s="67">
        <f>'Forecast Engine'!P14</f>
        <v/>
      </c>
      <c r="Q30" s="18" t="n"/>
    </row>
    <row r="31" ht="18" customHeight="1" s="46">
      <c r="B31" s="38" t="inlineStr">
        <is>
          <t>Capital Work in Progress</t>
        </is>
      </c>
      <c r="C31" s="14" t="n">
        <v>314</v>
      </c>
      <c r="D31" s="14" t="n">
        <v>420</v>
      </c>
      <c r="E31" s="14" t="n">
        <v>431</v>
      </c>
      <c r="F31" s="14" t="n">
        <v>354</v>
      </c>
      <c r="G31" s="14" t="n">
        <v>308</v>
      </c>
      <c r="H31" s="14" t="n">
        <v>195</v>
      </c>
      <c r="I31" s="14" t="n">
        <v>399</v>
      </c>
      <c r="J31" s="67">
        <f>'Forecast Engine'!J40</f>
        <v/>
      </c>
      <c r="K31" s="67">
        <f>'Forecast Engine'!K40</f>
        <v/>
      </c>
      <c r="L31" s="67">
        <f>'Forecast Engine'!L40</f>
        <v/>
      </c>
      <c r="M31" s="67">
        <f>'Forecast Engine'!M40</f>
        <v/>
      </c>
      <c r="N31" s="67">
        <f>'Forecast Engine'!N40</f>
        <v/>
      </c>
      <c r="O31" s="67">
        <f>'Forecast Engine'!O40</f>
        <v/>
      </c>
      <c r="P31" s="67">
        <f>'Forecast Engine'!P40</f>
        <v/>
      </c>
      <c r="Q31" s="18" t="n"/>
    </row>
    <row r="32" ht="18" customHeight="1" s="46">
      <c r="B32" s="38" t="inlineStr">
        <is>
          <t>Investments</t>
        </is>
      </c>
      <c r="C32" s="14" t="n">
        <v>162</v>
      </c>
      <c r="D32" s="14" t="n">
        <v>185</v>
      </c>
      <c r="E32" s="14" t="n">
        <v>205</v>
      </c>
      <c r="F32" s="14" t="n">
        <v>235</v>
      </c>
      <c r="G32" s="14" t="n">
        <v>256</v>
      </c>
      <c r="H32" s="14" t="n">
        <v>276</v>
      </c>
      <c r="I32" s="14" t="n">
        <v>302</v>
      </c>
      <c r="J32" s="67">
        <f>'Forecast Engine'!J41</f>
        <v/>
      </c>
      <c r="K32" s="67">
        <f>'Forecast Engine'!K41</f>
        <v/>
      </c>
      <c r="L32" s="67">
        <f>'Forecast Engine'!L41</f>
        <v/>
      </c>
      <c r="M32" s="67">
        <f>'Forecast Engine'!M41</f>
        <v/>
      </c>
      <c r="N32" s="67">
        <f>'Forecast Engine'!N41</f>
        <v/>
      </c>
      <c r="O32" s="67">
        <f>'Forecast Engine'!O41</f>
        <v/>
      </c>
      <c r="P32" s="67">
        <f>'Forecast Engine'!P41</f>
        <v/>
      </c>
      <c r="Q32" s="18" t="n"/>
    </row>
    <row r="33" ht="18" customHeight="1" s="46">
      <c r="B33" s="39" t="inlineStr">
        <is>
          <t>Total Fixed Assets</t>
        </is>
      </c>
      <c r="C33" s="7">
        <f>SUM(C30:C32)</f>
        <v/>
      </c>
      <c r="D33" s="7">
        <f>SUM(D30:D32)</f>
        <v/>
      </c>
      <c r="E33" s="7">
        <f>SUM(E30:E32)</f>
        <v/>
      </c>
      <c r="F33" s="7">
        <f>SUM(F30:F32)</f>
        <v/>
      </c>
      <c r="G33" s="7">
        <f>SUM(G30:G32)</f>
        <v/>
      </c>
      <c r="H33" s="7">
        <f>SUM(H30:H32)</f>
        <v/>
      </c>
      <c r="I33" s="7">
        <f>SUM(I30:I32)</f>
        <v/>
      </c>
      <c r="J33" s="69">
        <f>J30+J31+J32</f>
        <v/>
      </c>
      <c r="K33" s="69">
        <f>K30+K31+K32</f>
        <v/>
      </c>
      <c r="L33" s="69">
        <f>L30+L31+L32</f>
        <v/>
      </c>
      <c r="M33" s="69">
        <f>M30+M31+M32</f>
        <v/>
      </c>
      <c r="N33" s="69">
        <f>N30+N31+N32</f>
        <v/>
      </c>
      <c r="O33" s="69">
        <f>O30+O31+O32</f>
        <v/>
      </c>
      <c r="P33" s="69">
        <f>P30+P31+P32</f>
        <v/>
      </c>
      <c r="Q33" s="7">
        <f>SUM(Q30:Q32)</f>
        <v/>
      </c>
    </row>
    <row r="34" ht="18" customHeight="1" s="46">
      <c r="B34" s="38" t="inlineStr">
        <is>
          <t>Other Non Current Assets</t>
        </is>
      </c>
      <c r="C34" s="14" t="n">
        <v>23737.12000000001</v>
      </c>
      <c r="D34" s="14" t="n">
        <v>23784.5</v>
      </c>
      <c r="E34" s="14" t="n">
        <v>25339.12000000001</v>
      </c>
      <c r="F34" s="14" t="n">
        <v>23763.48</v>
      </c>
      <c r="G34" s="14" t="n">
        <v>21295.77</v>
      </c>
      <c r="H34" s="14" t="n">
        <v>21871.67999999999</v>
      </c>
      <c r="I34" s="14" t="n">
        <v>20935.26</v>
      </c>
      <c r="J34" s="67">
        <f>'Forecast Engine'!J37</f>
        <v/>
      </c>
      <c r="K34" s="67">
        <f>'Forecast Engine'!K37</f>
        <v/>
      </c>
      <c r="L34" s="67">
        <f>'Forecast Engine'!L37</f>
        <v/>
      </c>
      <c r="M34" s="67">
        <f>'Forecast Engine'!M37</f>
        <v/>
      </c>
      <c r="N34" s="67">
        <f>'Forecast Engine'!N37</f>
        <v/>
      </c>
      <c r="O34" s="67">
        <f>'Forecast Engine'!O37</f>
        <v/>
      </c>
      <c r="P34" s="67">
        <f>'Forecast Engine'!P37</f>
        <v/>
      </c>
      <c r="Q34" s="43" t="n"/>
    </row>
    <row r="35" ht="18" customHeight="1" s="46">
      <c r="B35" s="39" t="inlineStr">
        <is>
          <t>Total Non Current Assets</t>
        </is>
      </c>
      <c r="C35" s="7">
        <f>SUM(C33:C34)</f>
        <v/>
      </c>
      <c r="D35" s="7">
        <f>SUM(D33:D34)</f>
        <v/>
      </c>
      <c r="E35" s="7">
        <f>SUM(E33:E34)</f>
        <v/>
      </c>
      <c r="F35" s="7">
        <f>SUM(F33:F34)</f>
        <v/>
      </c>
      <c r="G35" s="7">
        <f>SUM(G33:G34)</f>
        <v/>
      </c>
      <c r="H35" s="7">
        <f>SUM(H33:H34)</f>
        <v/>
      </c>
      <c r="I35" s="7">
        <f>SUM(I33:I34)</f>
        <v/>
      </c>
      <c r="J35" s="69">
        <f>J33+J34</f>
        <v/>
      </c>
      <c r="K35" s="69">
        <f>K33+K34</f>
        <v/>
      </c>
      <c r="L35" s="69">
        <f>L33+L34</f>
        <v/>
      </c>
      <c r="M35" s="69">
        <f>M33+M34</f>
        <v/>
      </c>
      <c r="N35" s="69">
        <f>N33+N34</f>
        <v/>
      </c>
      <c r="O35" s="69">
        <f>O33+O34</f>
        <v/>
      </c>
      <c r="P35" s="69">
        <f>P33+P34</f>
        <v/>
      </c>
      <c r="Q35" s="7">
        <f>SUM(Q33:Q34)</f>
        <v/>
      </c>
    </row>
    <row r="36" ht="18" customHeight="1" s="46">
      <c r="B36" s="39" t="n"/>
      <c r="N36" s="43" t="n"/>
      <c r="O36" s="43" t="n"/>
      <c r="P36" s="43" t="n"/>
      <c r="Q36" s="43" t="n"/>
    </row>
    <row r="37" ht="18" customHeight="1" s="46">
      <c r="B37" s="8" t="inlineStr">
        <is>
          <t>Current Assets</t>
        </is>
      </c>
      <c r="N37" s="43" t="n"/>
      <c r="O37" s="43" t="n"/>
      <c r="P37" s="43" t="n"/>
      <c r="Q37" s="43" t="n"/>
    </row>
    <row r="38" ht="18" customHeight="1" s="46">
      <c r="B38" s="38" t="inlineStr">
        <is>
          <t>Accounts Receivables</t>
        </is>
      </c>
      <c r="C38" s="14" t="n">
        <v>7108.6</v>
      </c>
      <c r="D38" s="14" t="n">
        <v>4035.07</v>
      </c>
      <c r="E38" s="14" t="n">
        <v>3024.75</v>
      </c>
      <c r="F38" s="14" t="n">
        <v>3128.35</v>
      </c>
      <c r="G38" s="14" t="n">
        <v>4785.38</v>
      </c>
      <c r="H38" s="14" t="n">
        <v>5884.35</v>
      </c>
      <c r="I38" s="14" t="n">
        <v>6796.27</v>
      </c>
      <c r="J38" s="67">
        <f>'Forecast Engine'!J32</f>
        <v/>
      </c>
      <c r="K38" s="67">
        <f>'Forecast Engine'!K32</f>
        <v/>
      </c>
      <c r="L38" s="67">
        <f>'Forecast Engine'!L32</f>
        <v/>
      </c>
      <c r="M38" s="67">
        <f>'Forecast Engine'!M32</f>
        <v/>
      </c>
      <c r="N38" s="67">
        <f>'Forecast Engine'!N32</f>
        <v/>
      </c>
      <c r="O38" s="67">
        <f>'Forecast Engine'!O32</f>
        <v/>
      </c>
      <c r="P38" s="67">
        <f>'Forecast Engine'!P32</f>
        <v/>
      </c>
      <c r="Q38" s="18" t="n"/>
    </row>
    <row r="39" ht="18" customHeight="1" s="46">
      <c r="B39" s="38" t="inlineStr">
        <is>
          <t>Inventories</t>
        </is>
      </c>
      <c r="C39" s="14" t="n">
        <v>8908.23</v>
      </c>
      <c r="D39" s="14" t="n">
        <v>7194.45</v>
      </c>
      <c r="E39" s="14" t="n">
        <v>6560.21</v>
      </c>
      <c r="F39" s="14" t="n">
        <v>6755.9</v>
      </c>
      <c r="G39" s="14" t="n">
        <v>7220.57</v>
      </c>
      <c r="H39" s="14" t="n">
        <v>9869.49</v>
      </c>
      <c r="I39" s="14" t="n">
        <v>13334.58</v>
      </c>
      <c r="J39" s="67">
        <f>'Forecast Engine'!J33</f>
        <v/>
      </c>
      <c r="K39" s="67">
        <f>'Forecast Engine'!K33</f>
        <v/>
      </c>
      <c r="L39" s="67">
        <f>'Forecast Engine'!L33</f>
        <v/>
      </c>
      <c r="M39" s="67">
        <f>'Forecast Engine'!M33</f>
        <v/>
      </c>
      <c r="N39" s="67">
        <f>'Forecast Engine'!N33</f>
        <v/>
      </c>
      <c r="O39" s="67">
        <f>'Forecast Engine'!O33</f>
        <v/>
      </c>
      <c r="P39" s="67">
        <f>'Forecast Engine'!P33</f>
        <v/>
      </c>
      <c r="Q39" s="18" t="n"/>
    </row>
    <row r="40" ht="18" customHeight="1" s="46">
      <c r="B40" s="38" t="inlineStr">
        <is>
          <t>Other Current Assets</t>
        </is>
      </c>
      <c r="C40" s="14" t="n">
        <v>10292.09</v>
      </c>
      <c r="D40" s="14" t="n">
        <v>10440.4</v>
      </c>
      <c r="E40" s="14" t="n">
        <v>11131.99</v>
      </c>
      <c r="F40" s="14" t="n">
        <v>13564.71</v>
      </c>
      <c r="G40" s="14" t="n">
        <v>16408.31</v>
      </c>
      <c r="H40" s="14" t="n">
        <v>19427.25</v>
      </c>
      <c r="I40" s="14" t="n">
        <v>19457.88</v>
      </c>
      <c r="J40" s="67">
        <f>'Forecast Engine'!J35</f>
        <v/>
      </c>
      <c r="K40" s="67">
        <f>'Forecast Engine'!K35</f>
        <v/>
      </c>
      <c r="L40" s="67">
        <f>'Forecast Engine'!L35</f>
        <v/>
      </c>
      <c r="M40" s="67">
        <f>'Forecast Engine'!M35</f>
        <v/>
      </c>
      <c r="N40" s="67">
        <f>'Forecast Engine'!N35</f>
        <v/>
      </c>
      <c r="O40" s="67">
        <f>'Forecast Engine'!O35</f>
        <v/>
      </c>
      <c r="P40" s="67">
        <f>'Forecast Engine'!P35</f>
        <v/>
      </c>
      <c r="Q40" s="18" t="n"/>
    </row>
    <row r="41" ht="18" customHeight="1" s="46">
      <c r="B41" s="39" t="inlineStr">
        <is>
          <t>Cash Balance</t>
        </is>
      </c>
      <c r="C41" s="14" t="n">
        <v>6418.59</v>
      </c>
      <c r="D41" s="14" t="n">
        <v>6701.45</v>
      </c>
      <c r="E41" s="14" t="n">
        <v>7153.69</v>
      </c>
      <c r="F41" s="14" t="n">
        <v>6642.58</v>
      </c>
      <c r="G41" s="14" t="n">
        <v>6157.47</v>
      </c>
      <c r="H41" s="14" t="n">
        <v>7612.41</v>
      </c>
      <c r="I41" s="14" t="n">
        <v>11866.62</v>
      </c>
      <c r="J41" s="67">
        <f>'Forecast Engine'!J50</f>
        <v/>
      </c>
      <c r="K41" s="67">
        <f>'Forecast Engine'!K50</f>
        <v/>
      </c>
      <c r="L41" s="67">
        <f>'Forecast Engine'!L50</f>
        <v/>
      </c>
      <c r="M41" s="67">
        <f>'Forecast Engine'!M50</f>
        <v/>
      </c>
      <c r="N41" s="67">
        <f>'Forecast Engine'!N50</f>
        <v/>
      </c>
      <c r="O41" s="67">
        <f>'Forecast Engine'!O50</f>
        <v/>
      </c>
      <c r="P41" s="67">
        <f>'Forecast Engine'!P50</f>
        <v/>
      </c>
      <c r="Q41" s="18" t="n"/>
    </row>
    <row r="42" ht="18" customHeight="1" s="46">
      <c r="B42" s="39" t="inlineStr">
        <is>
          <t>Total Current Assets</t>
        </is>
      </c>
      <c r="C42" s="7">
        <f>SUM(C38:C41)</f>
        <v/>
      </c>
      <c r="D42" s="7">
        <f>SUM(D38:D41)</f>
        <v/>
      </c>
      <c r="E42" s="7">
        <f>SUM(E38:E41)</f>
        <v/>
      </c>
      <c r="F42" s="7">
        <f>SUM(F38:F41)</f>
        <v/>
      </c>
      <c r="G42" s="7">
        <f>SUM(G38:G41)</f>
        <v/>
      </c>
      <c r="H42" s="7">
        <f>SUM(H38:H41)</f>
        <v/>
      </c>
      <c r="I42" s="7">
        <f>SUM(I38:I41)</f>
        <v/>
      </c>
      <c r="J42" s="69">
        <f>J38+J39+J40+J41</f>
        <v/>
      </c>
      <c r="K42" s="69">
        <f>K38+K39+K40+K41</f>
        <v/>
      </c>
      <c r="L42" s="69">
        <f>L38+L39+L40+L41</f>
        <v/>
      </c>
      <c r="M42" s="69">
        <f>M38+M39+M40+M41</f>
        <v/>
      </c>
      <c r="N42" s="69">
        <f>N38+N39+N40+N41</f>
        <v/>
      </c>
      <c r="O42" s="69">
        <f>O38+O39+O40+O41</f>
        <v/>
      </c>
      <c r="P42" s="69">
        <f>P38+P39+P40+P41</f>
        <v/>
      </c>
      <c r="Q42" s="7">
        <f>SUM(Q38:Q41)</f>
        <v/>
      </c>
    </row>
    <row r="43" ht="18" customHeight="1" s="46">
      <c r="N43" s="43" t="n"/>
      <c r="O43" s="43" t="n"/>
      <c r="P43" s="43" t="n"/>
      <c r="Q43" s="43" t="n"/>
    </row>
    <row r="44" ht="18" customHeight="1" s="46">
      <c r="B44" s="8" t="inlineStr">
        <is>
          <t>Total Assets</t>
        </is>
      </c>
      <c r="C44" s="7">
        <f>C42+C35</f>
        <v/>
      </c>
      <c r="D44" s="7">
        <f>D42+D35</f>
        <v/>
      </c>
      <c r="E44" s="7">
        <f>E42+E35</f>
        <v/>
      </c>
      <c r="F44" s="7">
        <f>F42+F35</f>
        <v/>
      </c>
      <c r="G44" s="7">
        <f>G42+G35</f>
        <v/>
      </c>
      <c r="H44" s="7">
        <f>H42+H35</f>
        <v/>
      </c>
      <c r="I44" s="7">
        <f>I42+I35</f>
        <v/>
      </c>
      <c r="J44" s="71">
        <f>J35+J42</f>
        <v/>
      </c>
      <c r="K44" s="71">
        <f>K35+K42</f>
        <v/>
      </c>
      <c r="L44" s="71">
        <f>L35+L42</f>
        <v/>
      </c>
      <c r="M44" s="71">
        <f>M35+M42</f>
        <v/>
      </c>
      <c r="N44" s="71">
        <f>N35+N42</f>
        <v/>
      </c>
      <c r="O44" s="71">
        <f>O35+O42</f>
        <v/>
      </c>
      <c r="P44" s="71">
        <f>P35+P42</f>
        <v/>
      </c>
      <c r="Q44" s="7">
        <f>Q42+Q35</f>
        <v/>
      </c>
    </row>
    <row r="45" ht="18" customHeight="1" s="46">
      <c r="N45" s="43" t="n"/>
      <c r="O45" s="43" t="n"/>
      <c r="P45" s="43" t="n"/>
      <c r="Q45" s="43" t="n"/>
    </row>
    <row r="46" ht="18" customHeight="1" s="46">
      <c r="N46" s="43" t="n"/>
      <c r="O46" s="43" t="n"/>
      <c r="P46" s="43" t="n"/>
      <c r="Q46" s="43" t="n"/>
    </row>
    <row r="47" ht="18" customHeight="1" s="46">
      <c r="B47" s="68" t="inlineStr">
        <is>
          <t>Balance check (TA - TE&amp;L)</t>
        </is>
      </c>
      <c r="C47" s="43" t="n"/>
      <c r="D47" s="43" t="n"/>
      <c r="E47" s="43" t="n"/>
      <c r="F47" s="43" t="n"/>
      <c r="G47" s="43" t="n"/>
      <c r="H47" s="43" t="n"/>
      <c r="I47" s="43" t="n"/>
      <c r="J47" s="67">
        <f>J44-J25</f>
        <v/>
      </c>
      <c r="K47" s="67">
        <f>K44-K25</f>
        <v/>
      </c>
      <c r="L47" s="67">
        <f>L44-L25</f>
        <v/>
      </c>
      <c r="M47" s="67">
        <f>M44-M25</f>
        <v/>
      </c>
      <c r="N47" s="67">
        <f>N44-N25</f>
        <v/>
      </c>
      <c r="O47" s="67">
        <f>O44-O25</f>
        <v/>
      </c>
      <c r="P47" s="67">
        <f>P44-P25</f>
        <v/>
      </c>
      <c r="Q47" s="43" t="n"/>
    </row>
    <row r="48">
      <c r="C48" s="43" t="n"/>
      <c r="D48" s="43" t="n"/>
      <c r="E48" s="43" t="n"/>
      <c r="F48" s="43" t="n"/>
      <c r="G48" s="43" t="n"/>
      <c r="H48" s="43" t="n"/>
      <c r="I48" s="44" t="n"/>
      <c r="J48" s="44" t="n"/>
      <c r="K48" s="44" t="n"/>
      <c r="L48" s="44" t="n"/>
      <c r="M48" s="44" t="n"/>
      <c r="N48" s="44" t="n"/>
      <c r="O48" s="45" t="n"/>
    </row>
    <row r="49">
      <c r="C49" s="47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</row>
    <row r="50"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17"/>
  <sheetViews>
    <sheetView showGridLines="0" workbookViewId="0">
      <selection activeCell="A1" sqref="A1"/>
    </sheetView>
  </sheetViews>
  <sheetFormatPr baseColWidth="8" defaultRowHeight="15"/>
  <cols>
    <col width="2" customWidth="1" style="46" min="1" max="1"/>
    <col width="30" customWidth="1" style="46" min="2" max="2"/>
    <col width="11" customWidth="1" style="46" min="3" max="3"/>
    <col width="11" customWidth="1" style="46" min="4" max="4"/>
    <col width="11" customWidth="1" style="46" min="5" max="5"/>
    <col width="11" customWidth="1" style="46" min="6" max="6"/>
    <col width="11" customWidth="1" style="46" min="7" max="7"/>
    <col width="11" customWidth="1" style="46" min="8" max="8"/>
    <col width="11" customWidth="1" style="46" min="9" max="9"/>
    <col width="11" customWidth="1" style="46" min="10" max="10"/>
    <col width="60" customWidth="1" style="46" min="11" max="11"/>
  </cols>
  <sheetData>
    <row r="1">
      <c r="B1" s="73" t="inlineStr">
        <is>
          <t>DATA DISCREPANCIES  (BS sheet vs Data Sheet/Screener vs Moneycontrol)</t>
        </is>
      </c>
    </row>
    <row r="3">
      <c r="B3" s="55" t="inlineStr">
        <is>
          <t>Item</t>
        </is>
      </c>
      <c r="C3" s="55" t="inlineStr">
        <is>
          <t>FY20</t>
        </is>
      </c>
      <c r="D3" s="55" t="inlineStr">
        <is>
          <t>FY21</t>
        </is>
      </c>
      <c r="E3" s="55" t="inlineStr">
        <is>
          <t>FY22</t>
        </is>
      </c>
      <c r="F3" s="55" t="inlineStr">
        <is>
          <t>FY23</t>
        </is>
      </c>
      <c r="G3" s="55" t="inlineStr">
        <is>
          <t>FY24</t>
        </is>
      </c>
      <c r="H3" s="55" t="inlineStr">
        <is>
          <t>FY25</t>
        </is>
      </c>
      <c r="I3" s="55" t="inlineStr">
        <is>
          <t>FY26</t>
        </is>
      </c>
      <c r="J3" s="55" t="inlineStr">
        <is>
          <t>Comment</t>
        </is>
      </c>
    </row>
    <row r="4" ht="30" customHeight="1" s="46">
      <c r="B4" s="56" t="inlineStr">
        <is>
          <t>BS-sheet total</t>
        </is>
      </c>
      <c r="C4" s="74" t="n">
        <v>59757.6</v>
      </c>
      <c r="D4" s="74" t="n">
        <v>55251.9</v>
      </c>
      <c r="E4" s="74" t="n">
        <v>56243.8</v>
      </c>
      <c r="F4" s="74" t="n">
        <v>56920</v>
      </c>
      <c r="G4" s="74" t="n">
        <v>59005.5</v>
      </c>
      <c r="H4" s="74" t="n">
        <v>68083.2</v>
      </c>
      <c r="I4" s="74" t="n">
        <v>76185.60000000001</v>
      </c>
      <c r="K4" s="58" t="inlineStr">
        <is>
          <t>Sum of your Moneycontrol BS line items.</t>
        </is>
      </c>
    </row>
    <row r="5" ht="30" customHeight="1" s="46">
      <c r="B5" s="56" t="inlineStr">
        <is>
          <t>Data Sheet total (Screener)</t>
        </is>
      </c>
      <c r="C5" s="74" t="n">
        <v>60291</v>
      </c>
      <c r="D5" s="74" t="n">
        <v>55959.7</v>
      </c>
      <c r="E5" s="74" t="n">
        <v>56990.8</v>
      </c>
      <c r="F5" s="74" t="n">
        <v>57663.8</v>
      </c>
      <c r="G5" s="74" t="n">
        <v>59784.1</v>
      </c>
      <c r="H5" s="74" t="n">
        <v>68848.89999999999</v>
      </c>
      <c r="I5" s="74" t="n">
        <v>76185.60000000001</v>
      </c>
      <c r="K5" s="58" t="inlineStr">
        <is>
          <t>Screener aggregated total.</t>
        </is>
      </c>
    </row>
    <row r="6" ht="30" customHeight="1" s="46">
      <c r="B6" s="56" t="inlineStr">
        <is>
          <t>Difference</t>
        </is>
      </c>
      <c r="C6" s="74" t="n">
        <v>533.4</v>
      </c>
      <c r="D6" s="74" t="n">
        <v>707.8</v>
      </c>
      <c r="E6" s="74" t="n">
        <v>747</v>
      </c>
      <c r="F6" s="74" t="n">
        <v>743.8</v>
      </c>
      <c r="G6" s="74" t="n">
        <v>778.6</v>
      </c>
      <c r="H6" s="74" t="n">
        <v>765.7</v>
      </c>
      <c r="I6" s="74" t="n">
        <v>0</v>
      </c>
      <c r="K6" s="58" t="inlineStr">
        <is>
          <t>FY20-25 gap ~Rs530-780 cr; FY26 reconciles.</t>
        </is>
      </c>
    </row>
    <row r="7" ht="30" customHeight="1" s="46">
      <c r="B7" s="56" t="inlineStr">
        <is>
          <t>Inventory (BS sheet)</t>
        </is>
      </c>
      <c r="C7" s="74" t="n">
        <v>8908.200000000001</v>
      </c>
      <c r="D7" s="74" t="n">
        <v>7194.4</v>
      </c>
      <c r="E7" s="74" t="n">
        <v>6560.2</v>
      </c>
      <c r="F7" s="74" t="n">
        <v>6755.9</v>
      </c>
      <c r="G7" s="74" t="n">
        <v>7220.6</v>
      </c>
      <c r="H7" s="74" t="n">
        <v>9869.5</v>
      </c>
      <c r="I7" s="74" t="n">
        <v>13334.6</v>
      </c>
      <c r="K7" s="58" t="inlineStr">
        <is>
          <t>Moneycontrol inventory.</t>
        </is>
      </c>
    </row>
    <row r="8" ht="30" customHeight="1" s="46">
      <c r="B8" s="56" t="inlineStr">
        <is>
          <t>Inventory (Screener)</t>
        </is>
      </c>
      <c r="C8" s="74" t="n">
        <v>9450.700000000001</v>
      </c>
      <c r="D8" s="74" t="n">
        <v>7914</v>
      </c>
      <c r="E8" s="74" t="n">
        <v>7307.3</v>
      </c>
      <c r="F8" s="74" t="n">
        <v>7499.7</v>
      </c>
      <c r="G8" s="74" t="n">
        <v>8002.7</v>
      </c>
      <c r="H8" s="74" t="n">
        <v>10635.3</v>
      </c>
      <c r="I8" s="74" t="n">
        <v>13334.6</v>
      </c>
      <c r="K8" s="58" t="inlineStr">
        <is>
          <t>Screener inventory.</t>
        </is>
      </c>
    </row>
    <row r="9" ht="30" customHeight="1" s="46">
      <c r="B9" s="56" t="inlineStr">
        <is>
          <t>Inventory difference</t>
        </is>
      </c>
      <c r="C9" s="74" t="n">
        <v>542.5</v>
      </c>
      <c r="D9" s="74" t="n">
        <v>719.6</v>
      </c>
      <c r="E9" s="74" t="n">
        <v>747.1</v>
      </c>
      <c r="F9" s="74" t="n">
        <v>743.8</v>
      </c>
      <c r="G9" s="74" t="n">
        <v>782.1</v>
      </c>
      <c r="H9" s="74" t="n">
        <v>765.8</v>
      </c>
      <c r="I9" s="74" t="n">
        <v>0</v>
      </c>
      <c r="K9" s="58" t="inlineStr">
        <is>
          <t>ROOT CAUSE: equals the total gap. Screener likely includes stores/spares Moneycontrol nets elsewhere.</t>
        </is>
      </c>
    </row>
    <row r="10" ht="30" customHeight="1" s="46">
      <c r="B10" s="56" t="inlineStr">
        <is>
          <t>Borrowings (BS LT+ST)</t>
        </is>
      </c>
      <c r="C10" s="74" t="n">
        <v>4947.9</v>
      </c>
      <c r="D10" s="74" t="n">
        <v>4849.3</v>
      </c>
      <c r="E10" s="74" t="n">
        <v>4745</v>
      </c>
      <c r="F10" s="74" t="n">
        <v>5385</v>
      </c>
      <c r="G10" s="74" t="n">
        <v>8808</v>
      </c>
      <c r="H10" s="74" t="n">
        <v>8795</v>
      </c>
      <c r="I10" s="74" t="n">
        <v>8187</v>
      </c>
      <c r="K10" s="58" t="inlineStr">
        <is>
          <t>Moneycontrol.</t>
        </is>
      </c>
    </row>
    <row r="11" ht="30" customHeight="1" s="46">
      <c r="B11" s="56" t="inlineStr">
        <is>
          <t>Borrowings (Screener)</t>
        </is>
      </c>
      <c r="C11" s="74" t="n">
        <v>5080</v>
      </c>
      <c r="D11" s="74" t="n">
        <v>4950.9</v>
      </c>
      <c r="E11" s="74" t="n">
        <v>4829.9</v>
      </c>
      <c r="F11" s="74" t="n">
        <v>5453.5</v>
      </c>
      <c r="G11" s="74" t="n">
        <v>8856.5</v>
      </c>
      <c r="H11" s="74" t="n">
        <v>9014.6</v>
      </c>
      <c r="I11" s="74" t="n">
        <v>8186.9</v>
      </c>
      <c r="K11" s="58" t="inlineStr">
        <is>
          <t>Screener; Rs50-220 cr higher FY20-25; FY26 matches.</t>
        </is>
      </c>
    </row>
    <row r="13">
      <c r="B13" s="75" t="inlineStr">
        <is>
          <t>Other findings</t>
        </is>
      </c>
    </row>
    <row r="14" ht="42" customHeight="1" s="46">
      <c r="B14" s="58" t="inlineStr">
        <is>
          <t>PL 'Selling and admin' is a residual (Gross - Employee - EBITDA): turns POSITIVE in FY22 (+510.6) &amp; FY23 (+351.1) as it absorbs Screener's volatile 'Other Expenses'. EBITDA/EBIT/PBT/PAT are unaffected and correct.</t>
        </is>
      </c>
    </row>
    <row r="15" ht="42" customHeight="1" s="46">
      <c r="B15" s="58" t="inlineStr">
        <is>
          <t>FY23 Cash differs by Rs55 cr (BS 6,642.6 vs Data Sheet 6,698.1).</t>
        </is>
      </c>
    </row>
    <row r="16" ht="42" customHeight="1" s="46">
      <c r="B16" s="58" t="inlineStr">
        <is>
          <t>FY26 cash Rs11,866.6 cr vs debt Rs8,187 cr =&gt; BHEL is NET CASH ~Rs3,680 cr (used in forecast).</t>
        </is>
      </c>
    </row>
    <row r="17" ht="42" customHeight="1" s="46">
      <c r="B17" s="58" t="inlineStr">
        <is>
          <t>RESOLUTION: forecast built on your BS-sheet (Moneycontrol) line items - internally balanced and reconciling to Screener in FY26 (the seed year).</t>
        </is>
      </c>
    </row>
  </sheetData>
  <mergeCells count="4">
    <mergeCell ref="B15:K15"/>
    <mergeCell ref="B17:K17"/>
    <mergeCell ref="B14:K14"/>
    <mergeCell ref="B16:K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shivam khanna</dc:creator>
  <dcterms:created xsi:type="dcterms:W3CDTF">2026-06-27T18:47:22Z</dcterms:created>
  <dcterms:modified xsi:type="dcterms:W3CDTF">2026-06-29T07:38:56Z</dcterms:modified>
  <cp:lastModifiedBy>shivam khanna</cp:lastModifiedBy>
</cp:coreProperties>
</file>