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7c19666c2af7fd2/Desktop/BHEL/"/>
    </mc:Choice>
  </mc:AlternateContent>
  <xr:revisionPtr revIDLastSave="22" documentId="8_{D097FA17-1307-48D9-BC4D-71440AB02E92}" xr6:coauthVersionLast="47" xr6:coauthVersionMax="47" xr10:uidLastSave="{E4B91D70-88F5-4E87-BF72-CCC371A14C44}"/>
  <bookViews>
    <workbookView xWindow="-108" yWindow="-108" windowWidth="23256" windowHeight="12456" activeTab="3" xr2:uid="{AB91FA70-161B-4A7B-9289-47CDA87FE812}"/>
  </bookViews>
  <sheets>
    <sheet name="Data Sheet" sheetId="2" r:id="rId1"/>
    <sheet name="Sheet1" sheetId="3" r:id="rId2"/>
    <sheet name="PL" sheetId="1" r:id="rId3"/>
    <sheet name="B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4" l="1"/>
  <c r="K25" i="4"/>
  <c r="L25" i="4"/>
  <c r="M25" i="4"/>
  <c r="N25" i="4"/>
  <c r="O25" i="4"/>
  <c r="P25" i="4"/>
  <c r="Q25" i="4"/>
  <c r="J35" i="4"/>
  <c r="K35" i="4"/>
  <c r="L35" i="4"/>
  <c r="M35" i="4"/>
  <c r="N35" i="4"/>
  <c r="O35" i="4"/>
  <c r="P35" i="4"/>
  <c r="Q35" i="4"/>
  <c r="J42" i="4"/>
  <c r="K42" i="4"/>
  <c r="L42" i="4"/>
  <c r="M42" i="4"/>
  <c r="N42" i="4"/>
  <c r="O42" i="4"/>
  <c r="P42" i="4"/>
  <c r="Q42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C44" i="4"/>
  <c r="D35" i="4"/>
  <c r="E35" i="4"/>
  <c r="F35" i="4"/>
  <c r="G35" i="4"/>
  <c r="H35" i="4"/>
  <c r="I35" i="4"/>
  <c r="C35" i="4"/>
  <c r="C42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C33" i="4"/>
  <c r="C25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C23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C22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C17" i="4"/>
  <c r="D42" i="4"/>
  <c r="E42" i="4"/>
  <c r="F42" i="4"/>
  <c r="G42" i="4"/>
  <c r="H42" i="4"/>
  <c r="I42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C10" i="4"/>
  <c r="J20" i="1"/>
  <c r="K20" i="1"/>
  <c r="L20" i="1"/>
  <c r="M20" i="1"/>
  <c r="N20" i="1"/>
  <c r="O20" i="1"/>
  <c r="P20" i="1"/>
  <c r="Q20" i="1"/>
  <c r="J17" i="1"/>
  <c r="K17" i="1"/>
  <c r="L17" i="1"/>
  <c r="M17" i="1"/>
  <c r="N17" i="1"/>
  <c r="O17" i="1"/>
  <c r="P17" i="1"/>
  <c r="Q17" i="1"/>
  <c r="J14" i="1"/>
  <c r="K14" i="1"/>
  <c r="L14" i="1"/>
  <c r="M14" i="1"/>
  <c r="N14" i="1"/>
  <c r="O14" i="1"/>
  <c r="P14" i="1"/>
  <c r="Q14" i="1"/>
  <c r="F38" i="2"/>
  <c r="G38" i="2"/>
  <c r="H38" i="2"/>
  <c r="I38" i="2"/>
  <c r="J38" i="2"/>
  <c r="K38" i="2"/>
  <c r="E38" i="2"/>
  <c r="D20" i="3"/>
  <c r="E20" i="3"/>
  <c r="F20" i="3"/>
  <c r="G20" i="3"/>
  <c r="H20" i="3"/>
  <c r="I20" i="3"/>
  <c r="C20" i="3"/>
  <c r="C19" i="3"/>
  <c r="D21" i="3"/>
  <c r="E21" i="3"/>
  <c r="F21" i="3"/>
  <c r="G21" i="3"/>
  <c r="H21" i="3"/>
  <c r="I21" i="3"/>
  <c r="C21" i="3"/>
  <c r="E33" i="2"/>
  <c r="J11" i="1"/>
  <c r="K11" i="1"/>
  <c r="L11" i="1"/>
  <c r="M11" i="1"/>
  <c r="N11" i="1"/>
  <c r="O11" i="1"/>
  <c r="P11" i="1"/>
  <c r="Q11" i="1"/>
  <c r="F33" i="2"/>
  <c r="G33" i="2"/>
  <c r="H33" i="2"/>
  <c r="I33" i="2"/>
  <c r="J33" i="2"/>
  <c r="K33" i="2"/>
  <c r="F34" i="2"/>
  <c r="G34" i="2"/>
  <c r="H34" i="2"/>
  <c r="I34" i="2"/>
  <c r="J34" i="2"/>
  <c r="K34" i="2"/>
  <c r="E34" i="2"/>
  <c r="D19" i="3"/>
  <c r="E19" i="3"/>
  <c r="F19" i="3"/>
  <c r="G19" i="3"/>
  <c r="H19" i="3"/>
  <c r="I19" i="3"/>
  <c r="L26" i="3"/>
  <c r="L4" i="3"/>
  <c r="M4" i="3"/>
  <c r="N4" i="3"/>
  <c r="O4" i="3"/>
  <c r="P4" i="3"/>
  <c r="Q4" i="3"/>
  <c r="R4" i="3"/>
  <c r="L5" i="3"/>
  <c r="M5" i="3"/>
  <c r="N5" i="3"/>
  <c r="O5" i="3"/>
  <c r="P5" i="3"/>
  <c r="Q5" i="3"/>
  <c r="R5" i="3"/>
  <c r="L6" i="3"/>
  <c r="M6" i="3"/>
  <c r="N6" i="3"/>
  <c r="O6" i="3"/>
  <c r="P6" i="3"/>
  <c r="Q6" i="3"/>
  <c r="R6" i="3"/>
  <c r="L7" i="3"/>
  <c r="M7" i="3"/>
  <c r="N7" i="3"/>
  <c r="O7" i="3"/>
  <c r="P7" i="3"/>
  <c r="Q7" i="3"/>
  <c r="R7" i="3"/>
  <c r="L8" i="3"/>
  <c r="M8" i="3"/>
  <c r="N8" i="3"/>
  <c r="O8" i="3"/>
  <c r="P8" i="3"/>
  <c r="Q8" i="3"/>
  <c r="R8" i="3"/>
  <c r="L10" i="3"/>
  <c r="M10" i="3"/>
  <c r="N10" i="3"/>
  <c r="O10" i="3"/>
  <c r="P10" i="3"/>
  <c r="Q10" i="3"/>
  <c r="R10" i="3"/>
  <c r="L11" i="3"/>
  <c r="M11" i="3"/>
  <c r="N11" i="3"/>
  <c r="O11" i="3"/>
  <c r="P11" i="3"/>
  <c r="Q11" i="3"/>
  <c r="R11" i="3"/>
  <c r="L12" i="3"/>
  <c r="M12" i="3"/>
  <c r="N12" i="3"/>
  <c r="O12" i="3"/>
  <c r="P12" i="3"/>
  <c r="Q12" i="3"/>
  <c r="R12" i="3"/>
  <c r="L13" i="3"/>
  <c r="M13" i="3"/>
  <c r="N13" i="3"/>
  <c r="O13" i="3"/>
  <c r="P13" i="3"/>
  <c r="Q13" i="3"/>
  <c r="R13" i="3"/>
  <c r="L14" i="3"/>
  <c r="M14" i="3"/>
  <c r="N14" i="3"/>
  <c r="O14" i="3"/>
  <c r="P14" i="3"/>
  <c r="Q14" i="3"/>
  <c r="R14" i="3"/>
  <c r="L15" i="3"/>
  <c r="M15" i="3"/>
  <c r="N15" i="3"/>
  <c r="O15" i="3"/>
  <c r="P15" i="3"/>
  <c r="Q15" i="3"/>
  <c r="R15" i="3"/>
  <c r="L16" i="3"/>
  <c r="M16" i="3"/>
  <c r="N16" i="3"/>
  <c r="O16" i="3"/>
  <c r="P16" i="3"/>
  <c r="Q16" i="3"/>
  <c r="R16" i="3"/>
  <c r="L17" i="3"/>
  <c r="M17" i="3"/>
  <c r="N17" i="3"/>
  <c r="O17" i="3"/>
  <c r="P17" i="3"/>
  <c r="Q17" i="3"/>
  <c r="R17" i="3"/>
  <c r="L18" i="3"/>
  <c r="M18" i="3"/>
  <c r="N18" i="3"/>
  <c r="O18" i="3"/>
  <c r="P18" i="3"/>
  <c r="Q18" i="3"/>
  <c r="R18" i="3"/>
  <c r="L22" i="3"/>
  <c r="M22" i="3"/>
  <c r="N22" i="3"/>
  <c r="O22" i="3"/>
  <c r="P22" i="3"/>
  <c r="Q22" i="3"/>
  <c r="R22" i="3"/>
  <c r="L23" i="3"/>
  <c r="M23" i="3"/>
  <c r="N23" i="3"/>
  <c r="O23" i="3"/>
  <c r="P23" i="3"/>
  <c r="Q23" i="3"/>
  <c r="R23" i="3"/>
  <c r="L24" i="3"/>
  <c r="M24" i="3"/>
  <c r="N24" i="3"/>
  <c r="O24" i="3"/>
  <c r="P24" i="3"/>
  <c r="Q24" i="3"/>
  <c r="R24" i="3"/>
  <c r="M26" i="3"/>
  <c r="N26" i="3"/>
  <c r="O26" i="3"/>
  <c r="P26" i="3"/>
  <c r="Q26" i="3"/>
  <c r="R26" i="3"/>
  <c r="L27" i="3"/>
  <c r="M27" i="3"/>
  <c r="N27" i="3"/>
  <c r="O27" i="3"/>
  <c r="P27" i="3"/>
  <c r="Q27" i="3"/>
  <c r="R27" i="3"/>
  <c r="L28" i="3"/>
  <c r="M28" i="3"/>
  <c r="N28" i="3"/>
  <c r="O28" i="3"/>
  <c r="P28" i="3"/>
  <c r="Q28" i="3"/>
  <c r="R28" i="3"/>
  <c r="L29" i="3"/>
  <c r="M29" i="3"/>
  <c r="N29" i="3"/>
  <c r="O29" i="3"/>
  <c r="P29" i="3"/>
  <c r="Q29" i="3"/>
  <c r="R29" i="3"/>
  <c r="L30" i="3"/>
  <c r="M30" i="3"/>
  <c r="N30" i="3"/>
  <c r="O30" i="3"/>
  <c r="P30" i="3"/>
  <c r="Q30" i="3"/>
  <c r="R30" i="3"/>
  <c r="L31" i="3"/>
  <c r="M31" i="3"/>
  <c r="N31" i="3"/>
  <c r="O31" i="3"/>
  <c r="P31" i="3"/>
  <c r="Q31" i="3"/>
  <c r="R31" i="3"/>
  <c r="L32" i="3"/>
  <c r="M32" i="3"/>
  <c r="N32" i="3"/>
  <c r="O32" i="3"/>
  <c r="P32" i="3"/>
  <c r="Q32" i="3"/>
  <c r="R32" i="3"/>
  <c r="L33" i="3"/>
  <c r="M33" i="3"/>
  <c r="N33" i="3"/>
  <c r="O33" i="3"/>
  <c r="P33" i="3"/>
  <c r="Q33" i="3"/>
  <c r="R33" i="3"/>
  <c r="L34" i="3"/>
  <c r="M34" i="3"/>
  <c r="N34" i="3"/>
  <c r="O34" i="3"/>
  <c r="P34" i="3"/>
  <c r="Q34" i="3"/>
  <c r="R34" i="3"/>
  <c r="L35" i="3"/>
  <c r="M35" i="3"/>
  <c r="N35" i="3"/>
  <c r="O35" i="3"/>
  <c r="P35" i="3"/>
  <c r="Q35" i="3"/>
  <c r="R35" i="3"/>
  <c r="L38" i="3"/>
  <c r="M38" i="3"/>
  <c r="N38" i="3"/>
  <c r="O38" i="3"/>
  <c r="P38" i="3"/>
  <c r="Q38" i="3"/>
  <c r="R38" i="3"/>
  <c r="L39" i="3"/>
  <c r="M39" i="3"/>
  <c r="N39" i="3"/>
  <c r="O39" i="3"/>
  <c r="P39" i="3"/>
  <c r="Q39" i="3"/>
  <c r="R39" i="3"/>
  <c r="L41" i="3"/>
  <c r="M41" i="3"/>
  <c r="N41" i="3"/>
  <c r="O41" i="3"/>
  <c r="P41" i="3"/>
  <c r="Q41" i="3"/>
  <c r="R41" i="3"/>
  <c r="L42" i="3"/>
  <c r="M42" i="3"/>
  <c r="N42" i="3"/>
  <c r="O42" i="3"/>
  <c r="P42" i="3"/>
  <c r="Q42" i="3"/>
  <c r="R42" i="3"/>
  <c r="R3" i="3"/>
  <c r="M3" i="3"/>
  <c r="N3" i="3"/>
  <c r="O3" i="3"/>
  <c r="P3" i="3"/>
  <c r="Q3" i="3"/>
  <c r="L3" i="3"/>
  <c r="B6" i="2"/>
  <c r="E1" i="2"/>
  <c r="J7" i="1"/>
  <c r="K7" i="1"/>
  <c r="L7" i="1"/>
  <c r="M7" i="1"/>
  <c r="N7" i="1"/>
  <c r="O7" i="1"/>
  <c r="P7" i="1"/>
  <c r="Q7" i="1"/>
  <c r="H25" i="4" l="1"/>
  <c r="F25" i="4"/>
  <c r="G25" i="4"/>
  <c r="I25" i="4"/>
  <c r="E25" i="4"/>
  <c r="D25" i="4"/>
  <c r="D4" i="4"/>
  <c r="E4" i="4" s="1"/>
  <c r="F4" i="4" s="1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D11" i="1"/>
  <c r="E11" i="1"/>
  <c r="F11" i="1"/>
  <c r="G11" i="1"/>
  <c r="H11" i="1"/>
  <c r="I11" i="1"/>
  <c r="C11" i="1"/>
  <c r="C7" i="1"/>
  <c r="C12" i="1" s="1"/>
  <c r="C14" i="1" s="1"/>
  <c r="I7" i="1"/>
  <c r="G7" i="1"/>
  <c r="H7" i="1"/>
  <c r="F7" i="1"/>
  <c r="E7" i="1"/>
  <c r="D7" i="1"/>
  <c r="D12" i="1" s="1"/>
  <c r="D14" i="1" s="1"/>
  <c r="D4" i="1"/>
  <c r="E4" i="1" s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D17" i="1" l="1"/>
  <c r="D20" i="1" s="1"/>
  <c r="E12" i="1"/>
  <c r="E14" i="1" s="1"/>
  <c r="E17" i="1" s="1"/>
  <c r="E20" i="1" s="1"/>
  <c r="F12" i="1"/>
  <c r="F14" i="1" s="1"/>
  <c r="F17" i="1" s="1"/>
  <c r="F20" i="1" s="1"/>
  <c r="G12" i="1"/>
  <c r="G14" i="1" s="1"/>
  <c r="G17" i="1" s="1"/>
  <c r="G20" i="1" s="1"/>
  <c r="H12" i="1"/>
  <c r="H14" i="1" s="1"/>
  <c r="H17" i="1" s="1"/>
  <c r="H20" i="1" s="1"/>
  <c r="I12" i="1"/>
  <c r="I14" i="1" s="1"/>
  <c r="I17" i="1" s="1"/>
  <c r="I20" i="1" s="1"/>
  <c r="C17" i="1" l="1"/>
  <c r="C20" i="1" s="1"/>
</calcChain>
</file>

<file path=xl/sharedStrings.xml><?xml version="1.0" encoding="utf-8"?>
<sst xmlns="http://schemas.openxmlformats.org/spreadsheetml/2006/main" count="610" uniqueCount="426">
  <si>
    <t>Income Statement</t>
  </si>
  <si>
    <t>x</t>
  </si>
  <si>
    <t>Particulars</t>
  </si>
  <si>
    <t>Sales</t>
  </si>
  <si>
    <t>Total COGS</t>
  </si>
  <si>
    <t>Gross Profit</t>
  </si>
  <si>
    <t>Operating Expenes</t>
  </si>
  <si>
    <t>Employee Cost</t>
  </si>
  <si>
    <t>Selling and admin</t>
  </si>
  <si>
    <t>Total Operating Expenses</t>
  </si>
  <si>
    <t>EBITDA</t>
  </si>
  <si>
    <t>Depreciation &amp; Amortization</t>
  </si>
  <si>
    <t>EBIT</t>
  </si>
  <si>
    <t>Interest Paid</t>
  </si>
  <si>
    <t>Profit Before Tax (PBT)</t>
  </si>
  <si>
    <t>Tax</t>
  </si>
  <si>
    <t>Adjustments</t>
  </si>
  <si>
    <t>Profit After Tax (PAT)</t>
  </si>
  <si>
    <t>COMPANY NAME</t>
  </si>
  <si>
    <t>BHARAT HEAVY ELECTRICALS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</si>
  <si>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</si>
  <si>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</si>
  <si>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</si>
  <si>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</si>
  <si>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</si>
  <si>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</si>
  <si>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</si>
  <si>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</si>
  <si>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</si>
  <si>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</si>
  <si>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Raw Material Cost</t>
  </si>
  <si>
    <t>Change in Inventory</t>
  </si>
  <si>
    <t>Power and Fuel</t>
  </si>
  <si>
    <t>Other Mfr. Exp</t>
  </si>
  <si>
    <t>Other Expenses</t>
  </si>
  <si>
    <t>Other Income</t>
  </si>
  <si>
    <t>Depreciation</t>
  </si>
  <si>
    <t>Interest</t>
  </si>
  <si>
    <t>Profit before tax</t>
  </si>
  <si>
    <t>Net profit</t>
  </si>
  <si>
    <t>Dividend Amount</t>
  </si>
  <si>
    <t>Quarters</t>
  </si>
  <si>
    <t>Expenses</t>
  </si>
  <si>
    <t>Operating Profit</t>
  </si>
  <si>
    <t>BALANCE SHEET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</si>
  <si>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</si>
  <si>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</si>
  <si>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</si>
  <si>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</si>
  <si>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</si>
  <si>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</si>
  <si>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</si>
  <si>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</si>
  <si>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</si>
  <si>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Receivables</t>
  </si>
  <si>
    <t>Inventory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</si>
  <si>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</si>
  <si>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</si>
  <si>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</si>
  <si>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</si>
  <si>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</si>
  <si>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</si>
  <si>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</si>
  <si>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</si>
  <si>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Net Cash Flow</t>
  </si>
  <si>
    <t>PRICE:</t>
  </si>
  <si>
    <t>DERIVED:</t>
  </si>
  <si>
    <t>Adjusted Equity Shares in Cr</t>
  </si>
  <si>
    <t>Indicator</t>
  </si>
  <si>
    <t>Mar 26</t>
  </si>
  <si>
    <t>Mar 25</t>
  </si>
  <si>
    <t>Mar 24</t>
  </si>
  <si>
    <t>Mar 23</t>
  </si>
  <si>
    <t>Mar 22</t>
  </si>
  <si>
    <t>Mar 21</t>
  </si>
  <si>
    <t>Mar 20</t>
  </si>
  <si>
    <t>Mar 19</t>
  </si>
  <si>
    <t>Mar 18</t>
  </si>
  <si>
    <t>Mar 17</t>
  </si>
  <si>
    <t>Mar 16</t>
  </si>
  <si>
    <t>Mar 15</t>
  </si>
  <si>
    <t>Mar 14</t>
  </si>
  <si>
    <t>Mar 13</t>
  </si>
  <si>
    <t>Mar 12</t>
  </si>
  <si>
    <t>Mar 11</t>
  </si>
  <si>
    <t>Mar 10</t>
  </si>
  <si>
    <t>Mar 09</t>
  </si>
  <si>
    <t>INCOME</t>
  </si>
  <si>
    <t/>
  </si>
  <si>
    <t>Revenue From Operations [Gross]</t>
  </si>
  <si>
    <t>29,441.59</t>
  </si>
  <si>
    <t>28,112.82</t>
  </si>
  <si>
    <t>28,871.89</t>
  </si>
  <si>
    <t>27,541.19</t>
  </si>
  <si>
    <t>31,554.76</t>
  </si>
  <si>
    <t>40,801.99</t>
  </si>
  <si>
    <t>50,672.84</t>
  </si>
  <si>
    <t>49,897.57</t>
  </si>
  <si>
    <t>43,635.73</t>
  </si>
  <si>
    <t>34,687.55</t>
  </si>
  <si>
    <t>28,564.81</t>
  </si>
  <si>
    <t>Less: Excise/Sevice Tax/Other Levies</t>
  </si>
  <si>
    <t>0.00</t>
  </si>
  <si>
    <t>135.04</t>
  </si>
  <si>
    <t>1,254.47</t>
  </si>
  <si>
    <t>1,451.02</t>
  </si>
  <si>
    <t>1,407.24</t>
  </si>
  <si>
    <t>1,953.70</t>
  </si>
  <si>
    <t>2,566.53</t>
  </si>
  <si>
    <t>2,298.62</t>
  </si>
  <si>
    <t>1,781.07</t>
  </si>
  <si>
    <t>1,394.28</t>
  </si>
  <si>
    <t>1,896.03</t>
  </si>
  <si>
    <t>Revenue From Operations [Net]</t>
  </si>
  <si>
    <t>27,977.78</t>
  </si>
  <si>
    <t>27,617.42</t>
  </si>
  <si>
    <t>26,090.17</t>
  </si>
  <si>
    <t>30,147.52</t>
  </si>
  <si>
    <t>38,848.29</t>
  </si>
  <si>
    <t>48,106.31</t>
  </si>
  <si>
    <t>47,598.95</t>
  </si>
  <si>
    <t>41,854.66</t>
  </si>
  <si>
    <t>33,293.27</t>
  </si>
  <si>
    <t>26,668.78</t>
  </si>
  <si>
    <t>Total Operating Revenues</t>
  </si>
  <si>
    <t>30,441.38</t>
  </si>
  <si>
    <t>28,940.42</t>
  </si>
  <si>
    <t>28,477.03</t>
  </si>
  <si>
    <t>26,678.52</t>
  </si>
  <si>
    <t>30,788.59</t>
  </si>
  <si>
    <t>39,569.41</t>
  </si>
  <si>
    <t>48,915.84</t>
  </si>
  <si>
    <t>48,355.22</t>
  </si>
  <si>
    <t>42,538.24</t>
  </si>
  <si>
    <t>661.52</t>
  </si>
  <si>
    <t>678.01</t>
  </si>
  <si>
    <t>753.19</t>
  </si>
  <si>
    <t>1,476.43</t>
  </si>
  <si>
    <t>1,230.59</t>
  </si>
  <si>
    <t>1,623.02</t>
  </si>
  <si>
    <t>1,128.76</t>
  </si>
  <si>
    <t>1,272.03</t>
  </si>
  <si>
    <t>1,026.93</t>
  </si>
  <si>
    <t>1,429.24</t>
  </si>
  <si>
    <t>1,252.44</t>
  </si>
  <si>
    <t>Total Revenue</t>
  </si>
  <si>
    <t>31,102.90</t>
  </si>
  <si>
    <t>29,618.43</t>
  </si>
  <si>
    <t>29,230.22</t>
  </si>
  <si>
    <t>28,154.95</t>
  </si>
  <si>
    <t>32,019.18</t>
  </si>
  <si>
    <t>41,192.43</t>
  </si>
  <si>
    <t>50,044.60</t>
  </si>
  <si>
    <t>49,627.25</t>
  </si>
  <si>
    <t>43,565.17</t>
  </si>
  <si>
    <t>34,722.51</t>
  </si>
  <si>
    <t>27,921.22</t>
  </si>
  <si>
    <t>EXPENSES</t>
  </si>
  <si>
    <t>Cost Of Materials Consumed</t>
  </si>
  <si>
    <t>15,394.44</t>
  </si>
  <si>
    <t>12,488.60</t>
  </si>
  <si>
    <t>13,535.17</t>
  </si>
  <si>
    <t>13,428.64</t>
  </si>
  <si>
    <t>14,674.40</t>
  </si>
  <si>
    <t>18,032.61</t>
  </si>
  <si>
    <t>28,171.38</t>
  </si>
  <si>
    <t>25,266.60</t>
  </si>
  <si>
    <t>20,016.64</t>
  </si>
  <si>
    <t>18,256.99</t>
  </si>
  <si>
    <t>16,091.21</t>
  </si>
  <si>
    <t xml:space="preserve">Purchase Of Stock-In Trade </t>
  </si>
  <si>
    <t>Operating And Direct Expenses</t>
  </si>
  <si>
    <t>3,866.88</t>
  </si>
  <si>
    <t>3,418.67</t>
  </si>
  <si>
    <t>3,055.51</t>
  </si>
  <si>
    <t>2,978.08</t>
  </si>
  <si>
    <t>3,604.10</t>
  </si>
  <si>
    <t>4,428.91</t>
  </si>
  <si>
    <t>3,865.84</t>
  </si>
  <si>
    <t>3,350.01</t>
  </si>
  <si>
    <t>3,010.67</t>
  </si>
  <si>
    <t>2,149.53</t>
  </si>
  <si>
    <t>Changes In Inventories Of FG,WIP And Stock-In Trade</t>
  </si>
  <si>
    <t>-989.31</t>
  </si>
  <si>
    <t>739.00</t>
  </si>
  <si>
    <t>992.94</t>
  </si>
  <si>
    <t>210.05</t>
  </si>
  <si>
    <t>-339.50</t>
  </si>
  <si>
    <t>1,057.14</t>
  </si>
  <si>
    <t>121.20</t>
  </si>
  <si>
    <t>-829.65</t>
  </si>
  <si>
    <t>-126.18</t>
  </si>
  <si>
    <t>-775.80</t>
  </si>
  <si>
    <t>-1,163.99</t>
  </si>
  <si>
    <t>Employee Benefit Expenses</t>
  </si>
  <si>
    <t>5,509.25</t>
  </si>
  <si>
    <t>6,034.68</t>
  </si>
  <si>
    <t>5,402.71</t>
  </si>
  <si>
    <t>5,387.33</t>
  </si>
  <si>
    <t>5,475.48</t>
  </si>
  <si>
    <t>5,956.57</t>
  </si>
  <si>
    <t>5,824.00</t>
  </si>
  <si>
    <t>5,529.77</t>
  </si>
  <si>
    <t>5,452.60</t>
  </si>
  <si>
    <t>6,499.83</t>
  </si>
  <si>
    <t>3,027.12</t>
  </si>
  <si>
    <t>Finance Costs</t>
  </si>
  <si>
    <t>288.37</t>
  </si>
  <si>
    <t>255.16</t>
  </si>
  <si>
    <t>351.30</t>
  </si>
  <si>
    <t>359.81</t>
  </si>
  <si>
    <t>92.43</t>
  </si>
  <si>
    <t>133.46</t>
  </si>
  <si>
    <t>127.61</t>
  </si>
  <si>
    <t>53.07</t>
  </si>
  <si>
    <t>56.38</t>
  </si>
  <si>
    <t>36.69</t>
  </si>
  <si>
    <t>35.18</t>
  </si>
  <si>
    <t>Depreciation And Amortisation Expenses</t>
  </si>
  <si>
    <t>475.74</t>
  </si>
  <si>
    <t>787.33</t>
  </si>
  <si>
    <t>849.79</t>
  </si>
  <si>
    <t>936.70</t>
  </si>
  <si>
    <t>1,082.01</t>
  </si>
  <si>
    <t>985.36</t>
  </si>
  <si>
    <t>957.18</t>
  </si>
  <si>
    <t>803.24</t>
  </si>
  <si>
    <t>546.37</t>
  </si>
  <si>
    <t>460.26</t>
  </si>
  <si>
    <t>343.07</t>
  </si>
  <si>
    <t>2,698.13</t>
  </si>
  <si>
    <t>2,155.94</t>
  </si>
  <si>
    <t>3,013.33</t>
  </si>
  <si>
    <t>4,037.97</t>
  </si>
  <si>
    <t>3,655.50</t>
  </si>
  <si>
    <t>3,323.55</t>
  </si>
  <si>
    <t>3,808.31</t>
  </si>
  <si>
    <t>3,250.76</t>
  </si>
  <si>
    <t>2,557.00</t>
  </si>
  <si>
    <t>612.99</t>
  </si>
  <si>
    <t>2,608.46</t>
  </si>
  <si>
    <t>Total Expenses</t>
  </si>
  <si>
    <t>29,077.56</t>
  </si>
  <si>
    <t>28,012.80</t>
  </si>
  <si>
    <t>28,621.09</t>
  </si>
  <si>
    <t>29,331.92</t>
  </si>
  <si>
    <t>29,821.60</t>
  </si>
  <si>
    <t>36,108.75</t>
  </si>
  <si>
    <t>40,517.58</t>
  </si>
  <si>
    <t>39,241.05</t>
  </si>
  <si>
    <t>34,505.77</t>
  </si>
  <si>
    <t>28,101.63</t>
  </si>
  <si>
    <t>23,090.58</t>
  </si>
  <si>
    <t>Profit/Loss Before Exceptional, ExtraOrdinary Items And Tax</t>
  </si>
  <si>
    <t>2,025.34</t>
  </si>
  <si>
    <t>1,605.63</t>
  </si>
  <si>
    <t>609.13</t>
  </si>
  <si>
    <t>-1,176.97</t>
  </si>
  <si>
    <t>2,197.58</t>
  </si>
  <si>
    <t>5,083.68</t>
  </si>
  <si>
    <t>9,527.02</t>
  </si>
  <si>
    <t>10,386.20</t>
  </si>
  <si>
    <t>9,059.40</t>
  </si>
  <si>
    <t>6,620.88</t>
  </si>
  <si>
    <t>4,830.64</t>
  </si>
  <si>
    <t>Exceptional Items</t>
  </si>
  <si>
    <t>4.14</t>
  </si>
  <si>
    <t>0.16</t>
  </si>
  <si>
    <t>7.75</t>
  </si>
  <si>
    <t>Profit/Loss Before Tax</t>
  </si>
  <si>
    <t>9,531.16</t>
  </si>
  <si>
    <t>10,386.36</t>
  </si>
  <si>
    <t>9,067.15</t>
  </si>
  <si>
    <t>Tax Expenses-Continued Operations</t>
  </si>
  <si>
    <t>Current Tax</t>
  </si>
  <si>
    <t>735.07</t>
  </si>
  <si>
    <t>578.67</t>
  </si>
  <si>
    <t>298.35</t>
  </si>
  <si>
    <t>391.08</t>
  </si>
  <si>
    <t>968.87</t>
  </si>
  <si>
    <t>1,923.63</t>
  </si>
  <si>
    <t>3,063.78</t>
  </si>
  <si>
    <t>2,664.28</t>
  </si>
  <si>
    <t>3,648.55</t>
  </si>
  <si>
    <t>2,020.64</t>
  </si>
  <si>
    <t>2,261.77</t>
  </si>
  <si>
    <t>Less: MAT Credit Entitlement</t>
  </si>
  <si>
    <t>Deferred Tax</t>
  </si>
  <si>
    <t>102.25</t>
  </si>
  <si>
    <t>198.01</t>
  </si>
  <si>
    <t>-167.96</t>
  </si>
  <si>
    <t>-846.63</t>
  </si>
  <si>
    <t>-232.02</t>
  </si>
  <si>
    <t>-316.96</t>
  </si>
  <si>
    <t>-6.32</t>
  </si>
  <si>
    <t>615.69</t>
  </si>
  <si>
    <t>-636.55</t>
  </si>
  <si>
    <t>312.39</t>
  </si>
  <si>
    <t>-502.50</t>
  </si>
  <si>
    <t>Other Direct Taxes</t>
  </si>
  <si>
    <t>7.28</t>
  </si>
  <si>
    <t>51.86</t>
  </si>
  <si>
    <t>Total Tax Expenses</t>
  </si>
  <si>
    <t>837.32</t>
  </si>
  <si>
    <t>776.68</t>
  </si>
  <si>
    <t>130.39</t>
  </si>
  <si>
    <t>-455.55</t>
  </si>
  <si>
    <t>736.85</t>
  </si>
  <si>
    <t>1,575.34</t>
  </si>
  <si>
    <t>2,837.61</t>
  </si>
  <si>
    <t>3,279.97</t>
  </si>
  <si>
    <t>3,012.00</t>
  </si>
  <si>
    <t>2,340.31</t>
  </si>
  <si>
    <t>1,811.13</t>
  </si>
  <si>
    <t>Profit/Loss After Tax And Before ExtraOrdinary Items</t>
  </si>
  <si>
    <t>1,188.02</t>
  </si>
  <si>
    <t>828.95</t>
  </si>
  <si>
    <t>478.74</t>
  </si>
  <si>
    <t>-721.42</t>
  </si>
  <si>
    <t>1,460.73</t>
  </si>
  <si>
    <t>3,508.34</t>
  </si>
  <si>
    <t>6,693.55</t>
  </si>
  <si>
    <t>7,106.39</t>
  </si>
  <si>
    <t>6,055.15</t>
  </si>
  <si>
    <t>4,280.57</t>
  </si>
  <si>
    <t>3,019.51</t>
  </si>
  <si>
    <t>Profit/Loss From Continuing Operations</t>
  </si>
  <si>
    <t>1,450.44</t>
  </si>
  <si>
    <t>3,502.34</t>
  </si>
  <si>
    <t>6,693.10</t>
  </si>
  <si>
    <t>7,087.26</t>
  </si>
  <si>
    <t>6,053.36</t>
  </si>
  <si>
    <t>4,326.92</t>
  </si>
  <si>
    <t>3,115.17</t>
  </si>
  <si>
    <t>Profit/Loss For The Period</t>
  </si>
  <si>
    <t>Minority Interest</t>
  </si>
  <si>
    <t>2.68</t>
  </si>
  <si>
    <t>2.97</t>
  </si>
  <si>
    <t>2.08</t>
  </si>
  <si>
    <t>1.45</t>
  </si>
  <si>
    <t>1.94</t>
  </si>
  <si>
    <t>0.52</t>
  </si>
  <si>
    <t>0.27</t>
  </si>
  <si>
    <t>0.18</t>
  </si>
  <si>
    <t>Consolidated Profit/Loss After MI And Associates</t>
  </si>
  <si>
    <t>1,005.10</t>
  </si>
  <si>
    <t>441.16</t>
  </si>
  <si>
    <t>457.26</t>
  </si>
  <si>
    <t>-704.13</t>
  </si>
  <si>
    <t>1,452.38</t>
  </si>
  <si>
    <t>3,502.86</t>
  </si>
  <si>
    <t>6,693.37</t>
  </si>
  <si>
    <t>7,087.44</t>
  </si>
  <si>
    <t>OTHER ADDITIONAL INFORMATION</t>
  </si>
  <si>
    <t>EARNINGS PER SHARE</t>
  </si>
  <si>
    <t>Basic EPS (Rs.)</t>
  </si>
  <si>
    <t>1.00</t>
  </si>
  <si>
    <t>3.00</t>
  </si>
  <si>
    <t>-3.00</t>
  </si>
  <si>
    <t>6.00</t>
  </si>
  <si>
    <t>14.00</t>
  </si>
  <si>
    <t>27.00</t>
  </si>
  <si>
    <t>29.00</t>
  </si>
  <si>
    <t>25.00</t>
  </si>
  <si>
    <t>88.00</t>
  </si>
  <si>
    <t>64.00</t>
  </si>
  <si>
    <t>Diluted EPS (Rs.)</t>
  </si>
  <si>
    <t>DIVIDEND AND DIVIDEND PERCENTAGE</t>
  </si>
  <si>
    <t>Equity Share Dividend</t>
  </si>
  <si>
    <t>278.57</t>
  </si>
  <si>
    <t>293.71</t>
  </si>
  <si>
    <t>195.81</t>
  </si>
  <si>
    <t>151.75</t>
  </si>
  <si>
    <t>300.82</t>
  </si>
  <si>
    <t>709.57</t>
  </si>
  <si>
    <t>804.11</t>
  </si>
  <si>
    <t>1,582.65</t>
  </si>
  <si>
    <t>1,541.81</t>
  </si>
  <si>
    <t>1,155.81</t>
  </si>
  <si>
    <t>842.89</t>
  </si>
  <si>
    <t>Tax On Dividend</t>
  </si>
  <si>
    <t>134.24</t>
  </si>
  <si>
    <t>98.66</t>
  </si>
  <si>
    <t>59.79</t>
  </si>
  <si>
    <t>30.89</t>
  </si>
  <si>
    <t>60.61</t>
  </si>
  <si>
    <t>120.59</t>
  </si>
  <si>
    <t>136.66</t>
  </si>
  <si>
    <t>256.74</t>
  </si>
  <si>
    <t>252.67</t>
  </si>
  <si>
    <t>194.09</t>
  </si>
  <si>
    <t>143.96</t>
  </si>
  <si>
    <t>Balance Sheet</t>
  </si>
  <si>
    <t>Equities &amp; Liablilities</t>
  </si>
  <si>
    <t>Shareholders' Fund</t>
  </si>
  <si>
    <t>Share Capital</t>
  </si>
  <si>
    <t>Reserve &amp; Surplus</t>
  </si>
  <si>
    <t>Total Shareholders' Fund</t>
  </si>
  <si>
    <t>Non-Current Liabilities</t>
  </si>
  <si>
    <t>Total Non-Current Liabilities</t>
  </si>
  <si>
    <t>Trade Payables</t>
  </si>
  <si>
    <t>Total Equity &amp; Liabilities</t>
  </si>
  <si>
    <t>Assets</t>
  </si>
  <si>
    <t>Non-Current Assets</t>
  </si>
  <si>
    <t>Fixed Assets</t>
  </si>
  <si>
    <t>Property Plant &amp; Equip</t>
  </si>
  <si>
    <t>Total Fixed Assets</t>
  </si>
  <si>
    <t>Other Non Current Assets</t>
  </si>
  <si>
    <t>Total Non Current Assets</t>
  </si>
  <si>
    <t>Current Assets</t>
  </si>
  <si>
    <t>Accounts Receivables</t>
  </si>
  <si>
    <t>Inventories</t>
  </si>
  <si>
    <t>Other Current Assets</t>
  </si>
  <si>
    <t>Total Current Assets</t>
  </si>
  <si>
    <t>Total Assets</t>
  </si>
  <si>
    <t>Test</t>
  </si>
  <si>
    <t>Liabilities</t>
  </si>
  <si>
    <t>Other Current Liabilities (proviso, advances)</t>
  </si>
  <si>
    <t>Total Liabilities</t>
  </si>
  <si>
    <t>LT borrowings</t>
  </si>
  <si>
    <t>Other non current liabilities</t>
  </si>
  <si>
    <t>ST borrowings</t>
  </si>
  <si>
    <t>LT provisions</t>
  </si>
  <si>
    <t>Current Liabilities</t>
  </si>
  <si>
    <t>Total Current Liabilities</t>
  </si>
  <si>
    <t>Cash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</si>
</sst>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&quot;A&quot;"/>
    <numFmt numFmtId="165" formatCode="0&quot;E&quot;"/>
    <numFmt numFmtId="166" formatCode="0.00_);\(0.00\)"/>
    <numFmt numFmtId="167" formatCode="0.0%"/>
    <numFmt numFmtId="168" formatCode="#,##0.0_);\(#,##0.0\)"/>
    <numFmt numFmtId="169" formatCode="#,##0.000_);\(#,##0.000\)"/>
    <numFmt numFmtId="170" formatCode="_ * #,##0.00_ ;_ * \-#,##0.00_ ;_ * &quot;-&quot;??_ ;_ @_ "/>
    <numFmt numFmtId="171" formatCode="[$-409]mmm\-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22222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2" borderId="0" applyNumberFormat="0" applyBorder="0" applyAlignment="0" applyProtection="0"/>
    <xf numFmtId="0" fontId="10" fillId="0" borderId="0" applyNumberFormat="0" applyFill="0" applyBorder="0" applyAlignment="0" applyProtection="0"/>
  </cellStyleXfs>
  <cellXfs count="48">
    <xf numFmtId="0" fontId="0" fillId="0" borderId="0" xfId="0"/>
    <xf numFmtId="9" fontId="0" fillId="0" borderId="0" xfId="2" applyFont="1"/>
    <xf numFmtId="0" fontId="5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166" fontId="3" fillId="0" borderId="1" xfId="0" applyNumberFormat="1" applyFont="1" applyBorder="1"/>
    <xf numFmtId="167" fontId="0" fillId="0" borderId="0" xfId="2" applyNumberFormat="1" applyFont="1"/>
    <xf numFmtId="166" fontId="0" fillId="0" borderId="0" xfId="0" applyNumberFormat="1"/>
    <xf numFmtId="0" fontId="0" fillId="0" borderId="0" xfId="1" applyNumberFormat="1" applyFont="1" applyBorder="1" applyAlignment="1">
      <alignment horizontal="left" indent="1"/>
    </xf>
    <xf numFmtId="166" fontId="6" fillId="0" borderId="0" xfId="0" applyNumberFormat="1" applyFont="1"/>
    <xf numFmtId="0" fontId="3" fillId="0" borderId="1" xfId="0" applyFont="1" applyBorder="1"/>
    <xf numFmtId="166" fontId="7" fillId="0" borderId="1" xfId="0" applyNumberFormat="1" applyFont="1" applyBorder="1"/>
    <xf numFmtId="167" fontId="0" fillId="0" borderId="0" xfId="0" applyNumberFormat="1"/>
    <xf numFmtId="166" fontId="8" fillId="0" borderId="0" xfId="0" applyNumberFormat="1" applyFont="1"/>
    <xf numFmtId="166" fontId="0" fillId="0" borderId="1" xfId="0" applyNumberFormat="1" applyBorder="1"/>
    <xf numFmtId="0" fontId="3" fillId="0" borderId="2" xfId="0" applyFont="1" applyBorder="1"/>
    <xf numFmtId="166" fontId="3" fillId="0" borderId="2" xfId="0" applyNumberFormat="1" applyFont="1" applyBorder="1"/>
    <xf numFmtId="168" fontId="0" fillId="0" borderId="0" xfId="0" applyNumberFormat="1"/>
    <xf numFmtId="169" fontId="0" fillId="0" borderId="0" xfId="0" applyNumberFormat="1"/>
    <xf numFmtId="43" fontId="3" fillId="0" borderId="0" xfId="1" applyFont="1" applyBorder="1"/>
    <xf numFmtId="43" fontId="0" fillId="0" borderId="0" xfId="1" applyFont="1" applyBorder="1"/>
    <xf numFmtId="171" fontId="2" fillId="3" borderId="0" xfId="1" applyNumberFormat="1" applyFont="1" applyFill="1" applyBorder="1"/>
    <xf numFmtId="171" fontId="2" fillId="3" borderId="0" xfId="0" applyNumberFormat="1" applyFont="1" applyFill="1" applyAlignment="1">
      <alignment horizontal="center"/>
    </xf>
    <xf numFmtId="171" fontId="9" fillId="0" borderId="0" xfId="1" applyNumberFormat="1" applyFont="1" applyFill="1" applyBorder="1"/>
    <xf numFmtId="43" fontId="1" fillId="0" borderId="0" xfId="1" applyFont="1" applyBorder="1"/>
    <xf numFmtId="1" fontId="0" fillId="0" borderId="0" xfId="0" applyNumberFormat="1"/>
    <xf numFmtId="0" fontId="11" fillId="0" borderId="0" xfId="0" applyFont="1"/>
    <xf numFmtId="1" fontId="11" fillId="0" borderId="0" xfId="0" applyNumberFormat="1" applyFont="1"/>
    <xf numFmtId="2" fontId="0" fillId="0" borderId="0" xfId="0" applyNumberFormat="1"/>
    <xf numFmtId="2" fontId="11" fillId="0" borderId="0" xfId="0" applyNumberFormat="1" applyFont="1"/>
    <xf numFmtId="2" fontId="6" fillId="0" borderId="0" xfId="0" applyNumberFormat="1" applyFont="1"/>
    <xf numFmtId="166" fontId="12" fillId="0" borderId="0" xfId="0" applyNumberFormat="1" applyFont="1"/>
    <xf numFmtId="0" fontId="13" fillId="0" borderId="0" xfId="0" applyFont="1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170" fontId="10" fillId="0" borderId="0" xfId="4" applyNumberFormat="1" applyBorder="1" applyAlignment="1" applyProtection="1">
      <alignment horizontal="center"/>
    </xf>
    <xf numFmtId="170" fontId="2" fillId="2" borderId="0" xfId="3" applyNumberFormat="1" applyFont="1" applyBorder="1" applyAlignment="1">
      <alignment horizontal="center"/>
    </xf>
    <xf numFmtId="166" fontId="7" fillId="0" borderId="0" xfId="0" applyNumberFormat="1" applyFont="1"/>
    <xf numFmtId="166" fontId="0" fillId="0" borderId="0" xfId="0" applyNumberFormat="1" applyFill="1"/>
    <xf numFmtId="0" fontId="14" fillId="0" borderId="0" xfId="0" applyFont="1" applyFill="1" applyAlignment="1">
      <alignment horizontal="right" vertical="center" wrapText="1"/>
    </xf>
    <xf numFmtId="3" fontId="14" fillId="0" borderId="0" xfId="0" applyNumberFormat="1" applyFont="1" applyFill="1" applyAlignment="1">
      <alignment horizontal="right" vertical="center" wrapText="1"/>
    </xf>
    <xf numFmtId="0" fontId="0" fillId="0" borderId="0" xfId="0" applyFill="1"/>
    <xf numFmtId="0" fontId="14" fillId="0" borderId="0" xfId="0" applyFont="1" applyFill="1" applyAlignment="1">
      <alignment horizontal="left" vertical="center"/>
    </xf>
  </cellXfs>
  <cellStyles count="5">
    <cellStyle name="Accent6" xfId="3" builtinId="49"/>
    <cellStyle name="Comma" xfId="1" builtinId="3"/>
    <cellStyle name="Hyperlink" xfId="4" builtinId="8"/>
    <cellStyle name="Normal" xfId="0" builtinId="0"/>
    <cellStyle name="Percent" xfId="2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7B793-2D10-48D8-B218-77EC8A0B17A3}">
  <dimension ref="A1:K96"/>
  <sheetViews>
    <sheetView workbookViewId="0">
      <selection activeCell="B65" sqref="B65:B75"/>
    </sheetView>
  </sheetViews>
  <sheetFormatPr defaultColWidth="8.77734375" defaultRowHeight="14.4" x14ac:dyDescent="0.3"/>
  <cols>
    <col min="1" max="1" width="27.6640625" style="25" bestFit="1" customWidth="1"/>
    <col min="2" max="11" width="13.44140625" style="25" bestFit="1" customWidth="1"/>
    <col min="12" max="16384" width="8.77734375" style="25"/>
  </cols>
  <sheetData>
    <row r="1" spans="1:11" s="24" customFormat="1" x14ac:dyDescent="0.3">
      <c r="A1" s="24" t="s">
        <v>18</v>
      </c>
      <c r="B1" s="24" t="s">
        <v>19</v>
      </c>
      <c r="E1" s="40" t="str">
        <f>IF(B2&lt;&gt;B3, "A NEW VERSION OF THE WORKSHEET IS AVAILABLE", "")</f>
        <v/>
      </c>
      <c r="F1" s="40"/>
      <c r="G1" s="40"/>
      <c r="H1" s="40"/>
      <c r="I1" s="40"/>
      <c r="J1" s="40"/>
      <c r="K1" s="40"/>
    </row>
    <row r="2" spans="1:11" x14ac:dyDescent="0.3">
      <c r="A2" s="24" t="s">
        <v>20</v>
      </c>
      <c r="B2" s="25">
        <v>2.1</v>
      </c>
      <c r="E2" s="41" t="s">
        <v>21</v>
      </c>
      <c r="F2" s="41"/>
      <c r="G2" s="41"/>
      <c r="H2" s="41"/>
      <c r="I2" s="41"/>
      <c r="J2" s="41"/>
      <c r="K2" s="41"/>
    </row>
    <row r="3" spans="1:11" x14ac:dyDescent="0.3">
      <c r="A3" s="24" t="s">
        <v>22</v>
      </c>
      <c r="B3" s="25">
        <v>2.1</v>
      </c>
    </row>
    <row r="4" spans="1:11" x14ac:dyDescent="0.3">
      <c r="A4" s="24"/>
    </row>
    <row r="5" spans="1:11" x14ac:dyDescent="0.3">
      <c r="A5" s="24" t="s">
        <v>23</v>
      </c>
    </row>
    <row r="6" spans="1:11" x14ac:dyDescent="0.3">
      <c r="A6" s="25" t="s">
        <v>24</v>
      </c>
      <c r="B6" s="25">
        <f>IF(B9&gt;0, B9/B8, 0)</f>
        <v>348.20633225726351</v>
      </c>
    </row>
    <row r="7" spans="1:11" x14ac:dyDescent="0.3">
      <c r="A7" s="25" t="s">
        <v>25</v>
      </c>
      <c r="B7">
        <v>2</v>
      </c>
    </row>
    <row r="8" spans="1:11" x14ac:dyDescent="0.3">
      <c r="A8" s="25" t="s">
        <v>26</v>
      </c>
      <c r="B8">
        <v>402.7</v>
      </c>
    </row>
    <row r="9" spans="1:11" x14ac:dyDescent="0.3">
      <c r="A9" s="25" t="s">
        <v>27</v>
      </c>
      <c r="B9">
        <v>140222.69</v>
      </c>
    </row>
    <row r="15" spans="1:11" x14ac:dyDescent="0.3">
      <c r="A15" s="24" t="s">
        <v>28</v>
      </c>
    </row>
    <row r="16" spans="1:11" s="28" customFormat="1" x14ac:dyDescent="0.3">
      <c r="A16" s="26" t="s">
        <v>29</v>
      </c>
      <c r="B16" s="27">
        <v>42825</v>
      </c>
      <c r="C16" s="27">
        <v>43190</v>
      </c>
      <c r="D16" s="27">
        <v>43555</v>
      </c>
      <c r="E16" s="27">
        <v>43921</v>
      </c>
      <c r="F16" s="27">
        <v>44286</v>
      </c>
      <c r="G16" s="27">
        <v>44651</v>
      </c>
      <c r="H16" s="27">
        <v>45016</v>
      </c>
      <c r="I16" s="27">
        <v>45382</v>
      </c>
      <c r="J16" s="27">
        <v>45747</v>
      </c>
      <c r="K16" s="27">
        <v>46112</v>
      </c>
    </row>
    <row r="17" spans="1:11" s="29" customFormat="1" x14ac:dyDescent="0.3">
      <c r="A17" s="29" t="s">
        <v>3</v>
      </c>
      <c r="B17">
        <v>28464.77</v>
      </c>
      <c r="C17">
        <v>28827.48</v>
      </c>
      <c r="D17">
        <v>30441.38</v>
      </c>
      <c r="E17">
        <v>21463.14</v>
      </c>
      <c r="F17">
        <v>17308.689999999999</v>
      </c>
      <c r="G17">
        <v>21211.09</v>
      </c>
      <c r="H17">
        <v>23364.94</v>
      </c>
      <c r="I17">
        <v>23892.78</v>
      </c>
      <c r="J17">
        <v>28339.48</v>
      </c>
      <c r="K17">
        <v>33782.18</v>
      </c>
    </row>
    <row r="18" spans="1:11" s="29" customFormat="1" x14ac:dyDescent="0.3">
      <c r="A18" s="25" t="s">
        <v>30</v>
      </c>
      <c r="B18">
        <v>13125.88</v>
      </c>
      <c r="C18">
        <v>12102.78</v>
      </c>
      <c r="D18">
        <v>14982.73</v>
      </c>
      <c r="E18">
        <v>11781.64</v>
      </c>
      <c r="F18">
        <v>8158.56</v>
      </c>
      <c r="G18">
        <v>9204.15</v>
      </c>
      <c r="H18">
        <v>10532.61</v>
      </c>
      <c r="I18">
        <v>11984.73</v>
      </c>
      <c r="J18">
        <v>14965.64</v>
      </c>
      <c r="K18">
        <v>24274.28</v>
      </c>
    </row>
    <row r="19" spans="1:11" s="29" customFormat="1" x14ac:dyDescent="0.3">
      <c r="A19" s="25" t="s">
        <v>31</v>
      </c>
      <c r="B19">
        <v>-992.94</v>
      </c>
      <c r="C19">
        <v>-739</v>
      </c>
      <c r="D19">
        <v>989.31</v>
      </c>
      <c r="E19">
        <v>-1042.43</v>
      </c>
      <c r="F19">
        <v>510.86</v>
      </c>
      <c r="G19">
        <v>525.64</v>
      </c>
      <c r="H19">
        <v>-57.15</v>
      </c>
      <c r="I19">
        <v>-436.74</v>
      </c>
      <c r="J19">
        <v>-1542.32</v>
      </c>
      <c r="K19">
        <v>-1291.19</v>
      </c>
    </row>
    <row r="20" spans="1:11" s="29" customFormat="1" x14ac:dyDescent="0.3">
      <c r="A20" s="25" t="s">
        <v>32</v>
      </c>
      <c r="B20">
        <v>451.55</v>
      </c>
      <c r="C20">
        <v>463.62</v>
      </c>
      <c r="D20">
        <v>496.94</v>
      </c>
      <c r="E20">
        <v>459.41</v>
      </c>
      <c r="F20">
        <v>319.57</v>
      </c>
      <c r="G20">
        <v>415.08</v>
      </c>
      <c r="H20">
        <v>487.67</v>
      </c>
      <c r="I20">
        <v>452.2</v>
      </c>
      <c r="J20">
        <v>490.64</v>
      </c>
    </row>
    <row r="21" spans="1:11" s="29" customFormat="1" x14ac:dyDescent="0.3">
      <c r="A21" s="25" t="s">
        <v>33</v>
      </c>
      <c r="B21">
        <v>3740.25</v>
      </c>
      <c r="C21">
        <v>4329.32</v>
      </c>
      <c r="D21">
        <v>4560.74</v>
      </c>
      <c r="E21">
        <v>3522.22</v>
      </c>
      <c r="F21">
        <v>3384.61</v>
      </c>
      <c r="G21">
        <v>5229.76</v>
      </c>
      <c r="H21">
        <v>6008.66</v>
      </c>
      <c r="I21">
        <v>5472.07</v>
      </c>
      <c r="J21">
        <v>5685.56</v>
      </c>
    </row>
    <row r="22" spans="1:11" s="29" customFormat="1" x14ac:dyDescent="0.3">
      <c r="A22" s="25" t="s">
        <v>7</v>
      </c>
      <c r="B22">
        <v>5402.71</v>
      </c>
      <c r="C22">
        <v>6075.55</v>
      </c>
      <c r="D22">
        <v>5509.25</v>
      </c>
      <c r="E22">
        <v>5431.88</v>
      </c>
      <c r="F22">
        <v>5378.36</v>
      </c>
      <c r="G22">
        <v>5519.05</v>
      </c>
      <c r="H22">
        <v>5700.63</v>
      </c>
      <c r="I22">
        <v>5628.84</v>
      </c>
      <c r="J22">
        <v>5923.42</v>
      </c>
      <c r="K22">
        <v>6467.62</v>
      </c>
    </row>
    <row r="23" spans="1:11" s="29" customFormat="1" x14ac:dyDescent="0.3">
      <c r="A23" s="25" t="s">
        <v>8</v>
      </c>
      <c r="B23">
        <v>1448.06</v>
      </c>
      <c r="C23">
        <v>1365.75</v>
      </c>
      <c r="D23">
        <v>1795.59</v>
      </c>
      <c r="E23">
        <v>1542.87</v>
      </c>
      <c r="F23">
        <v>1136.43</v>
      </c>
      <c r="G23">
        <v>1047.1400000000001</v>
      </c>
      <c r="H23">
        <v>1142.8499999999999</v>
      </c>
      <c r="I23">
        <v>1145.1199999999999</v>
      </c>
      <c r="J23">
        <v>1311.68</v>
      </c>
    </row>
    <row r="24" spans="1:11" s="29" customFormat="1" x14ac:dyDescent="0.3">
      <c r="A24" s="25" t="s">
        <v>34</v>
      </c>
      <c r="B24">
        <v>2208.37</v>
      </c>
      <c r="C24">
        <v>2098.33</v>
      </c>
      <c r="D24">
        <v>2053.19</v>
      </c>
      <c r="E24">
        <v>-99.3</v>
      </c>
      <c r="F24">
        <v>1468.98</v>
      </c>
      <c r="G24">
        <v>-1557.77</v>
      </c>
      <c r="H24">
        <v>-1493.98</v>
      </c>
      <c r="I24">
        <v>-1064.33</v>
      </c>
      <c r="J24">
        <v>105.54</v>
      </c>
      <c r="K24">
        <v>1989.28</v>
      </c>
    </row>
    <row r="25" spans="1:11" s="29" customFormat="1" x14ac:dyDescent="0.3">
      <c r="A25" s="29" t="s">
        <v>35</v>
      </c>
      <c r="B25">
        <v>753.19</v>
      </c>
      <c r="C25">
        <v>679.24</v>
      </c>
      <c r="D25">
        <v>661.52</v>
      </c>
      <c r="E25">
        <v>590.02</v>
      </c>
      <c r="F25">
        <v>392.56</v>
      </c>
      <c r="G25">
        <v>404.67</v>
      </c>
      <c r="H25">
        <v>544.49</v>
      </c>
      <c r="I25">
        <v>608.30999999999995</v>
      </c>
      <c r="J25">
        <v>524.32000000000005</v>
      </c>
      <c r="K25">
        <v>868.7</v>
      </c>
    </row>
    <row r="26" spans="1:11" s="29" customFormat="1" x14ac:dyDescent="0.3">
      <c r="A26" s="29" t="s">
        <v>36</v>
      </c>
      <c r="B26">
        <v>849.79</v>
      </c>
      <c r="C26">
        <v>787.33</v>
      </c>
      <c r="D26">
        <v>475.74</v>
      </c>
      <c r="E26">
        <v>503.27</v>
      </c>
      <c r="F26">
        <v>473.25</v>
      </c>
      <c r="G26">
        <v>314.12</v>
      </c>
      <c r="H26">
        <v>260.33999999999997</v>
      </c>
      <c r="I26">
        <v>248.9</v>
      </c>
      <c r="J26">
        <v>271.95999999999998</v>
      </c>
      <c r="K26">
        <v>315.87</v>
      </c>
    </row>
    <row r="27" spans="1:11" s="29" customFormat="1" x14ac:dyDescent="0.3">
      <c r="A27" s="29" t="s">
        <v>37</v>
      </c>
      <c r="B27">
        <v>412.84</v>
      </c>
      <c r="C27">
        <v>330.17</v>
      </c>
      <c r="D27">
        <v>378.29</v>
      </c>
      <c r="E27">
        <v>612.66999999999996</v>
      </c>
      <c r="F27">
        <v>466.56</v>
      </c>
      <c r="G27">
        <v>448.13</v>
      </c>
      <c r="H27">
        <v>612.19000000000005</v>
      </c>
      <c r="I27">
        <v>827.64</v>
      </c>
      <c r="J27">
        <v>906.08</v>
      </c>
      <c r="K27">
        <v>756.41</v>
      </c>
    </row>
    <row r="28" spans="1:11" s="29" customFormat="1" x14ac:dyDescent="0.3">
      <c r="A28" s="29" t="s">
        <v>38</v>
      </c>
      <c r="B28">
        <v>585.57000000000005</v>
      </c>
      <c r="C28">
        <v>1214.8699999999999</v>
      </c>
      <c r="D28">
        <v>1839.74</v>
      </c>
      <c r="E28">
        <v>-659.07</v>
      </c>
      <c r="F28">
        <v>-3595.93</v>
      </c>
      <c r="G28">
        <v>470.46</v>
      </c>
      <c r="H28">
        <v>715.61</v>
      </c>
      <c r="I28">
        <v>242.66</v>
      </c>
      <c r="J28">
        <v>745.6</v>
      </c>
      <c r="K28">
        <v>2138.61</v>
      </c>
    </row>
    <row r="29" spans="1:11" s="29" customFormat="1" x14ac:dyDescent="0.3">
      <c r="A29" s="29" t="s">
        <v>15</v>
      </c>
      <c r="B29">
        <v>130.38999999999999</v>
      </c>
      <c r="C29">
        <v>776.68</v>
      </c>
      <c r="D29">
        <v>837.32</v>
      </c>
      <c r="E29">
        <v>809.28</v>
      </c>
      <c r="F29">
        <v>-896.23</v>
      </c>
      <c r="G29">
        <v>25.75</v>
      </c>
      <c r="H29">
        <v>61.49</v>
      </c>
      <c r="I29">
        <v>-39.56</v>
      </c>
      <c r="J29">
        <v>211.7</v>
      </c>
      <c r="K29">
        <v>538.35</v>
      </c>
    </row>
    <row r="30" spans="1:11" s="29" customFormat="1" x14ac:dyDescent="0.3">
      <c r="A30" s="29" t="s">
        <v>39</v>
      </c>
      <c r="B30">
        <v>457.26</v>
      </c>
      <c r="C30">
        <v>441.16</v>
      </c>
      <c r="D30">
        <v>1005.1</v>
      </c>
      <c r="E30">
        <v>-1466.01</v>
      </c>
      <c r="F30">
        <v>-2697.11</v>
      </c>
      <c r="G30">
        <v>446.03</v>
      </c>
      <c r="H30">
        <v>654.12</v>
      </c>
      <c r="I30">
        <v>282.22000000000003</v>
      </c>
      <c r="J30">
        <v>533.9</v>
      </c>
      <c r="K30">
        <v>1600.26</v>
      </c>
    </row>
    <row r="31" spans="1:11" s="29" customFormat="1" x14ac:dyDescent="0.3">
      <c r="A31" s="29" t="s">
        <v>40</v>
      </c>
      <c r="B31">
        <v>386.72</v>
      </c>
      <c r="C31">
        <v>668.19</v>
      </c>
      <c r="D31">
        <v>696.41</v>
      </c>
      <c r="G31">
        <v>139.28</v>
      </c>
      <c r="H31">
        <v>139.28</v>
      </c>
      <c r="I31">
        <v>87.05</v>
      </c>
      <c r="J31">
        <v>174.1</v>
      </c>
      <c r="K31">
        <v>487.49</v>
      </c>
    </row>
    <row r="32" spans="1:11" s="29" customFormat="1" x14ac:dyDescent="0.3">
      <c r="E32" s="33">
        <v>22712.23</v>
      </c>
      <c r="F32" s="33">
        <v>21297.18</v>
      </c>
      <c r="G32" s="33">
        <v>21145.59</v>
      </c>
      <c r="H32" s="33">
        <v>23430.15</v>
      </c>
      <c r="I32" s="33">
        <v>24260.37</v>
      </c>
      <c r="J32" s="33">
        <v>28118.2</v>
      </c>
      <c r="K32" s="33">
        <v>32512.27</v>
      </c>
    </row>
    <row r="33" spans="1:11" x14ac:dyDescent="0.3">
      <c r="A33" s="29"/>
      <c r="E33" s="25">
        <f>SUM(E18:E24)+E26+E27</f>
        <v>22712.229999999996</v>
      </c>
      <c r="F33" s="25">
        <f t="shared" ref="F33:K33" si="0">SUM(F18:F24)+F26+F27</f>
        <v>21297.18</v>
      </c>
      <c r="G33" s="25">
        <f t="shared" si="0"/>
        <v>21145.3</v>
      </c>
      <c r="H33" s="25">
        <f t="shared" si="0"/>
        <v>23193.82</v>
      </c>
      <c r="I33" s="25">
        <f t="shared" si="0"/>
        <v>24258.43</v>
      </c>
      <c r="J33" s="25">
        <f t="shared" si="0"/>
        <v>28118.200000000004</v>
      </c>
      <c r="K33" s="25">
        <f t="shared" si="0"/>
        <v>32512.269999999997</v>
      </c>
    </row>
    <row r="34" spans="1:11" x14ac:dyDescent="0.3">
      <c r="A34" s="29"/>
      <c r="E34" s="25">
        <f>E23+E24</f>
        <v>1443.57</v>
      </c>
      <c r="F34" s="25">
        <f t="shared" ref="F34:K34" si="1">F23+F24</f>
        <v>2605.41</v>
      </c>
      <c r="G34" s="25">
        <f t="shared" si="1"/>
        <v>-510.62999999999988</v>
      </c>
      <c r="H34" s="25">
        <f t="shared" si="1"/>
        <v>-351.13000000000011</v>
      </c>
      <c r="I34" s="25">
        <f t="shared" si="1"/>
        <v>80.789999999999964</v>
      </c>
      <c r="J34" s="25">
        <f t="shared" si="1"/>
        <v>1417.22</v>
      </c>
      <c r="K34" s="25">
        <f t="shared" si="1"/>
        <v>1989.28</v>
      </c>
    </row>
    <row r="35" spans="1:11" x14ac:dyDescent="0.3">
      <c r="A35" s="29"/>
    </row>
    <row r="36" spans="1:11" x14ac:dyDescent="0.3">
      <c r="A36" s="29"/>
    </row>
    <row r="37" spans="1:11" x14ac:dyDescent="0.3">
      <c r="A37" s="29"/>
      <c r="E37" s="25">
        <v>21596</v>
      </c>
      <c r="F37" s="25">
        <v>20357</v>
      </c>
      <c r="G37" s="25">
        <v>20383</v>
      </c>
      <c r="H37" s="25">
        <v>22321</v>
      </c>
      <c r="I37" s="25">
        <v>23182</v>
      </c>
      <c r="J37" s="25">
        <v>26940</v>
      </c>
      <c r="K37" s="25">
        <v>31440</v>
      </c>
    </row>
    <row r="38" spans="1:11" x14ac:dyDescent="0.3">
      <c r="A38" s="29"/>
      <c r="E38" s="25">
        <f>E37-E18-E19-E20-E21-E22</f>
        <v>1443.2800000000016</v>
      </c>
      <c r="F38" s="25">
        <f t="shared" ref="F38:K38" si="2">F37-F18-F19-F20-F21-F22</f>
        <v>2605.0399999999981</v>
      </c>
      <c r="G38" s="25">
        <f t="shared" si="2"/>
        <v>-510.67999999999938</v>
      </c>
      <c r="H38" s="25">
        <f t="shared" si="2"/>
        <v>-351.42000000000098</v>
      </c>
      <c r="I38" s="25">
        <f t="shared" si="2"/>
        <v>80.899999999999636</v>
      </c>
      <c r="J38" s="25">
        <f t="shared" si="2"/>
        <v>1417.0600000000004</v>
      </c>
      <c r="K38" s="25">
        <f t="shared" si="2"/>
        <v>1989.2900000000018</v>
      </c>
    </row>
    <row r="39" spans="1:11" x14ac:dyDescent="0.3">
      <c r="A39" s="29"/>
    </row>
    <row r="40" spans="1:11" x14ac:dyDescent="0.3">
      <c r="A40" s="29"/>
    </row>
    <row r="41" spans="1:11" x14ac:dyDescent="0.3">
      <c r="A41" s="29"/>
    </row>
    <row r="42" spans="1:11" x14ac:dyDescent="0.3">
      <c r="A42" s="29"/>
      <c r="E42" s="33"/>
      <c r="F42" s="33"/>
      <c r="G42" s="33"/>
      <c r="H42" s="33"/>
      <c r="I42" s="33"/>
      <c r="J42" s="33"/>
      <c r="K42" s="33"/>
    </row>
    <row r="43" spans="1:11" x14ac:dyDescent="0.3">
      <c r="A43" s="24" t="s">
        <v>41</v>
      </c>
    </row>
    <row r="44" spans="1:11" s="28" customFormat="1" x14ac:dyDescent="0.3">
      <c r="A44" s="26" t="s">
        <v>29</v>
      </c>
      <c r="B44" s="27">
        <v>45291</v>
      </c>
      <c r="C44" s="27">
        <v>45382</v>
      </c>
      <c r="D44" s="27">
        <v>45473</v>
      </c>
      <c r="E44" s="27">
        <v>45565</v>
      </c>
      <c r="F44" s="27">
        <v>45657</v>
      </c>
      <c r="G44" s="27">
        <v>45747</v>
      </c>
      <c r="H44" s="27">
        <v>45838</v>
      </c>
      <c r="I44" s="27">
        <v>45930</v>
      </c>
      <c r="J44" s="27">
        <v>46022</v>
      </c>
      <c r="K44" s="27">
        <v>46112</v>
      </c>
    </row>
    <row r="45" spans="1:11" s="29" customFormat="1" x14ac:dyDescent="0.3">
      <c r="A45" s="29" t="s">
        <v>3</v>
      </c>
      <c r="B45">
        <v>5503.81</v>
      </c>
      <c r="C45">
        <v>8260.25</v>
      </c>
      <c r="D45">
        <v>5484.92</v>
      </c>
      <c r="E45">
        <v>6584.1</v>
      </c>
      <c r="F45">
        <v>7277.09</v>
      </c>
      <c r="G45">
        <v>8993.3700000000008</v>
      </c>
      <c r="H45">
        <v>5486.91</v>
      </c>
      <c r="I45">
        <v>7511.8</v>
      </c>
      <c r="J45">
        <v>8473.1</v>
      </c>
      <c r="K45">
        <v>12310.37</v>
      </c>
    </row>
    <row r="46" spans="1:11" s="29" customFormat="1" x14ac:dyDescent="0.3">
      <c r="A46" s="29" t="s">
        <v>42</v>
      </c>
      <c r="B46">
        <v>5287.26</v>
      </c>
      <c r="C46">
        <v>7532.39</v>
      </c>
      <c r="D46">
        <v>5654.27</v>
      </c>
      <c r="E46">
        <v>6309.1</v>
      </c>
      <c r="F46">
        <v>6972.85</v>
      </c>
      <c r="G46">
        <v>8161.69</v>
      </c>
      <c r="H46">
        <v>6024.05</v>
      </c>
      <c r="I46">
        <v>6930.87</v>
      </c>
      <c r="J46">
        <v>7927.8</v>
      </c>
      <c r="K46">
        <v>10557.27</v>
      </c>
    </row>
    <row r="47" spans="1:11" s="29" customFormat="1" x14ac:dyDescent="0.3">
      <c r="A47" s="29" t="s">
        <v>35</v>
      </c>
      <c r="B47">
        <v>118.15</v>
      </c>
      <c r="C47">
        <v>170.18</v>
      </c>
      <c r="D47">
        <v>111.07</v>
      </c>
      <c r="E47">
        <v>127.89</v>
      </c>
      <c r="F47">
        <v>126.17</v>
      </c>
      <c r="G47">
        <v>159.19</v>
      </c>
      <c r="H47">
        <v>184.83</v>
      </c>
      <c r="I47">
        <v>188.97</v>
      </c>
      <c r="J47">
        <v>234.99</v>
      </c>
      <c r="K47">
        <v>259.91000000000003</v>
      </c>
    </row>
    <row r="48" spans="1:11" s="29" customFormat="1" x14ac:dyDescent="0.3">
      <c r="A48" s="29" t="s">
        <v>36</v>
      </c>
      <c r="B48">
        <v>60.6</v>
      </c>
      <c r="C48">
        <v>68.400000000000006</v>
      </c>
      <c r="D48">
        <v>58.97</v>
      </c>
      <c r="E48">
        <v>60.09</v>
      </c>
      <c r="F48">
        <v>67.88</v>
      </c>
      <c r="G48">
        <v>85.02</v>
      </c>
      <c r="H48">
        <v>74.52</v>
      </c>
      <c r="I48">
        <v>75.459999999999994</v>
      </c>
      <c r="J48">
        <v>77.989999999999995</v>
      </c>
      <c r="K48">
        <v>87.9</v>
      </c>
    </row>
    <row r="49" spans="1:11" s="29" customFormat="1" x14ac:dyDescent="0.3">
      <c r="A49" s="29" t="s">
        <v>37</v>
      </c>
      <c r="B49">
        <v>189.6</v>
      </c>
      <c r="C49">
        <v>193.32</v>
      </c>
      <c r="D49">
        <v>161.74</v>
      </c>
      <c r="E49">
        <v>201.38</v>
      </c>
      <c r="F49">
        <v>183.78</v>
      </c>
      <c r="G49">
        <v>201.43</v>
      </c>
      <c r="H49">
        <v>181.21</v>
      </c>
      <c r="I49">
        <v>195.21</v>
      </c>
      <c r="J49">
        <v>182.47</v>
      </c>
      <c r="K49">
        <v>197.52</v>
      </c>
    </row>
    <row r="50" spans="1:11" s="29" customFormat="1" x14ac:dyDescent="0.3">
      <c r="A50" s="29" t="s">
        <v>38</v>
      </c>
      <c r="B50">
        <v>84.5</v>
      </c>
      <c r="C50">
        <v>636.32000000000005</v>
      </c>
      <c r="D50">
        <v>-278.99</v>
      </c>
      <c r="E50">
        <v>141.41999999999999</v>
      </c>
      <c r="F50">
        <v>178.75</v>
      </c>
      <c r="G50">
        <v>704.42</v>
      </c>
      <c r="H50">
        <v>-608.04</v>
      </c>
      <c r="I50">
        <v>499.23</v>
      </c>
      <c r="J50">
        <v>519.83000000000004</v>
      </c>
      <c r="K50">
        <v>1727.59</v>
      </c>
    </row>
    <row r="51" spans="1:11" s="29" customFormat="1" x14ac:dyDescent="0.3">
      <c r="A51" s="29" t="s">
        <v>15</v>
      </c>
      <c r="B51">
        <v>24.18</v>
      </c>
      <c r="C51">
        <v>146.69999999999999</v>
      </c>
      <c r="D51">
        <v>-67.59</v>
      </c>
      <c r="E51">
        <v>35.270000000000003</v>
      </c>
      <c r="F51">
        <v>44.05</v>
      </c>
      <c r="G51">
        <v>199.97</v>
      </c>
      <c r="H51">
        <v>-152.54</v>
      </c>
      <c r="I51">
        <v>124.34</v>
      </c>
      <c r="J51">
        <v>129.43</v>
      </c>
      <c r="K51">
        <v>437.12</v>
      </c>
    </row>
    <row r="52" spans="1:11" s="29" customFormat="1" x14ac:dyDescent="0.3">
      <c r="A52" s="29" t="s">
        <v>39</v>
      </c>
      <c r="B52">
        <v>60.32</v>
      </c>
      <c r="C52">
        <v>489.62</v>
      </c>
      <c r="D52">
        <v>-211.4</v>
      </c>
      <c r="E52">
        <v>106.15</v>
      </c>
      <c r="F52">
        <v>134.69999999999999</v>
      </c>
      <c r="G52">
        <v>504.45</v>
      </c>
      <c r="H52">
        <v>-455.5</v>
      </c>
      <c r="I52">
        <v>374.89</v>
      </c>
      <c r="J52">
        <v>390.4</v>
      </c>
      <c r="K52">
        <v>1290.47</v>
      </c>
    </row>
    <row r="53" spans="1:11" x14ac:dyDescent="0.3">
      <c r="A53" s="29" t="s">
        <v>43</v>
      </c>
      <c r="B53">
        <v>216.55</v>
      </c>
      <c r="C53">
        <v>727.86</v>
      </c>
      <c r="D53">
        <v>-169.35</v>
      </c>
      <c r="E53">
        <v>275</v>
      </c>
      <c r="F53">
        <v>304.24</v>
      </c>
      <c r="G53">
        <v>831.68</v>
      </c>
      <c r="H53">
        <v>-537.14</v>
      </c>
      <c r="I53">
        <v>580.92999999999995</v>
      </c>
      <c r="J53">
        <v>545.29999999999995</v>
      </c>
      <c r="K53">
        <v>1753.1</v>
      </c>
    </row>
    <row r="54" spans="1:11" x14ac:dyDescent="0.3">
      <c r="A54" s="29"/>
    </row>
    <row r="55" spans="1:11" x14ac:dyDescent="0.3">
      <c r="A55" s="29"/>
    </row>
    <row r="56" spans="1:11" x14ac:dyDescent="0.3">
      <c r="A56" s="29"/>
    </row>
    <row r="57" spans="1:11" x14ac:dyDescent="0.3">
      <c r="A57" s="29"/>
    </row>
    <row r="58" spans="1:11" x14ac:dyDescent="0.3">
      <c r="A58" s="24" t="s">
        <v>44</v>
      </c>
    </row>
    <row r="59" spans="1:11" s="28" customFormat="1" x14ac:dyDescent="0.3">
      <c r="A59" s="26" t="s">
        <v>29</v>
      </c>
      <c r="B59" s="27">
        <v>42825</v>
      </c>
      <c r="C59" s="27">
        <v>43190</v>
      </c>
      <c r="D59" s="27">
        <v>43555</v>
      </c>
      <c r="E59" s="27">
        <v>43921</v>
      </c>
      <c r="F59" s="27">
        <v>44286</v>
      </c>
      <c r="G59" s="27">
        <v>44651</v>
      </c>
      <c r="H59" s="27">
        <v>45016</v>
      </c>
      <c r="I59" s="27">
        <v>45382</v>
      </c>
      <c r="J59" s="27">
        <v>45747</v>
      </c>
      <c r="K59" s="27">
        <v>46112</v>
      </c>
    </row>
    <row r="60" spans="1:11" x14ac:dyDescent="0.3">
      <c r="A60" s="29" t="s">
        <v>45</v>
      </c>
      <c r="B60">
        <v>489.52</v>
      </c>
      <c r="C60">
        <v>734.28</v>
      </c>
      <c r="D60">
        <v>696.41</v>
      </c>
      <c r="E60">
        <v>696.41</v>
      </c>
      <c r="F60">
        <v>696.41</v>
      </c>
      <c r="G60">
        <v>696.41</v>
      </c>
      <c r="H60">
        <v>696.41</v>
      </c>
      <c r="I60">
        <v>696.41</v>
      </c>
      <c r="J60">
        <v>696.41</v>
      </c>
      <c r="K60">
        <v>696.41</v>
      </c>
    </row>
    <row r="61" spans="1:11" x14ac:dyDescent="0.3">
      <c r="A61" s="29" t="s">
        <v>46</v>
      </c>
      <c r="B61">
        <v>31899.47</v>
      </c>
      <c r="C61">
        <v>31600.71</v>
      </c>
      <c r="D61">
        <v>30207.93</v>
      </c>
      <c r="E61">
        <v>27964.31</v>
      </c>
      <c r="F61">
        <v>25287.25</v>
      </c>
      <c r="G61">
        <v>25810.19</v>
      </c>
      <c r="H61">
        <v>23681.85</v>
      </c>
      <c r="I61">
        <v>23742.240000000002</v>
      </c>
      <c r="J61">
        <v>24025.75</v>
      </c>
      <c r="K61">
        <v>25450.19</v>
      </c>
    </row>
    <row r="62" spans="1:11" x14ac:dyDescent="0.3">
      <c r="A62" s="29" t="s">
        <v>47</v>
      </c>
      <c r="B62">
        <v>155.88999999999999</v>
      </c>
      <c r="C62">
        <v>109.73</v>
      </c>
      <c r="D62">
        <v>2598.4699999999998</v>
      </c>
      <c r="E62">
        <v>5079.96</v>
      </c>
      <c r="F62">
        <v>4950.8900000000003</v>
      </c>
      <c r="G62">
        <v>4829.93</v>
      </c>
      <c r="H62">
        <v>5453.51</v>
      </c>
      <c r="I62">
        <v>8856.4599999999991</v>
      </c>
      <c r="J62">
        <v>9014.6</v>
      </c>
      <c r="K62">
        <v>8186.95</v>
      </c>
    </row>
    <row r="63" spans="1:11" x14ac:dyDescent="0.3">
      <c r="A63" s="29" t="s">
        <v>48</v>
      </c>
      <c r="B63">
        <v>29152.84</v>
      </c>
      <c r="C63">
        <v>31495.34</v>
      </c>
      <c r="D63">
        <v>30987.02</v>
      </c>
      <c r="E63">
        <v>26550.33</v>
      </c>
      <c r="F63">
        <v>25025.18</v>
      </c>
      <c r="G63">
        <v>25654.31</v>
      </c>
      <c r="H63">
        <v>27832.04</v>
      </c>
      <c r="I63">
        <v>26488.97</v>
      </c>
      <c r="J63">
        <v>35112.19</v>
      </c>
      <c r="K63">
        <v>41852.06</v>
      </c>
    </row>
    <row r="64" spans="1:11" s="24" customFormat="1" x14ac:dyDescent="0.3">
      <c r="A64" s="24" t="s">
        <v>49</v>
      </c>
      <c r="B64">
        <v>61697.72</v>
      </c>
      <c r="C64">
        <v>63940.06</v>
      </c>
      <c r="D64">
        <v>64489.83</v>
      </c>
      <c r="E64">
        <v>60291.01</v>
      </c>
      <c r="F64">
        <v>55959.73</v>
      </c>
      <c r="G64">
        <v>56990.84</v>
      </c>
      <c r="H64">
        <v>57663.81</v>
      </c>
      <c r="I64">
        <v>59784.08</v>
      </c>
      <c r="J64">
        <v>68848.95</v>
      </c>
      <c r="K64">
        <v>76185.61</v>
      </c>
    </row>
    <row r="65" spans="1:11" x14ac:dyDescent="0.3">
      <c r="A65" s="29" t="s">
        <v>50</v>
      </c>
      <c r="B65">
        <v>3601.19</v>
      </c>
      <c r="C65">
        <v>3073.21</v>
      </c>
      <c r="D65">
        <v>2970.46</v>
      </c>
      <c r="E65">
        <v>2817.12</v>
      </c>
      <c r="F65">
        <v>2491.14</v>
      </c>
      <c r="G65">
        <v>2398.46</v>
      </c>
      <c r="H65">
        <v>2475.98</v>
      </c>
      <c r="I65">
        <v>2574.04</v>
      </c>
      <c r="J65">
        <v>2947.18</v>
      </c>
      <c r="K65">
        <v>3094.38</v>
      </c>
    </row>
    <row r="66" spans="1:11" x14ac:dyDescent="0.3">
      <c r="A66" s="29" t="s">
        <v>51</v>
      </c>
      <c r="B66">
        <v>168.34</v>
      </c>
      <c r="C66">
        <v>202.76</v>
      </c>
      <c r="D66">
        <v>235.44</v>
      </c>
      <c r="E66">
        <v>314</v>
      </c>
      <c r="F66">
        <v>419.56</v>
      </c>
      <c r="G66">
        <v>430.98</v>
      </c>
      <c r="H66">
        <v>353.85</v>
      </c>
      <c r="I66">
        <v>308.36</v>
      </c>
      <c r="J66">
        <v>195.43</v>
      </c>
      <c r="K66">
        <v>399.2</v>
      </c>
    </row>
    <row r="67" spans="1:11" x14ac:dyDescent="0.3">
      <c r="A67" s="29" t="s">
        <v>52</v>
      </c>
      <c r="B67">
        <v>757.13</v>
      </c>
      <c r="C67">
        <v>428.97</v>
      </c>
      <c r="D67">
        <v>152.36000000000001</v>
      </c>
      <c r="E67">
        <v>162.06</v>
      </c>
      <c r="F67">
        <v>185.34</v>
      </c>
      <c r="G67">
        <v>205.15</v>
      </c>
      <c r="H67">
        <v>235.42</v>
      </c>
      <c r="I67">
        <v>255.67</v>
      </c>
      <c r="J67">
        <v>275.57</v>
      </c>
      <c r="K67">
        <v>302.06</v>
      </c>
    </row>
    <row r="68" spans="1:11" x14ac:dyDescent="0.3">
      <c r="A68" s="29" t="s">
        <v>53</v>
      </c>
      <c r="B68">
        <v>57171.06</v>
      </c>
      <c r="C68">
        <v>60235.12</v>
      </c>
      <c r="D68">
        <v>61131.57</v>
      </c>
      <c r="E68">
        <v>56997.83</v>
      </c>
      <c r="F68">
        <v>52863.69</v>
      </c>
      <c r="G68">
        <v>53956.25</v>
      </c>
      <c r="H68">
        <v>54598.559999999998</v>
      </c>
      <c r="I68">
        <v>56646.01</v>
      </c>
      <c r="J68">
        <v>65430.77</v>
      </c>
      <c r="K68">
        <v>72389.97</v>
      </c>
    </row>
    <row r="69" spans="1:11" s="24" customFormat="1" x14ac:dyDescent="0.3">
      <c r="A69" s="24" t="s">
        <v>49</v>
      </c>
      <c r="B69">
        <v>61697.72</v>
      </c>
      <c r="C69">
        <v>63940.06</v>
      </c>
      <c r="D69">
        <v>64489.83</v>
      </c>
      <c r="E69">
        <v>60291.01</v>
      </c>
      <c r="F69">
        <v>55959.73</v>
      </c>
      <c r="G69">
        <v>56990.84</v>
      </c>
      <c r="H69">
        <v>57663.81</v>
      </c>
      <c r="I69">
        <v>59784.08</v>
      </c>
      <c r="J69">
        <v>68848.95</v>
      </c>
      <c r="K69">
        <v>76185.61</v>
      </c>
    </row>
    <row r="70" spans="1:11" s="29" customFormat="1" x14ac:dyDescent="0.3">
      <c r="A70" s="29" t="s">
        <v>54</v>
      </c>
      <c r="B70">
        <v>22077.58</v>
      </c>
      <c r="C70">
        <v>14064.68</v>
      </c>
      <c r="D70">
        <v>11863.14</v>
      </c>
      <c r="E70">
        <v>7108.6</v>
      </c>
      <c r="F70">
        <v>4035.07</v>
      </c>
      <c r="G70">
        <v>3024.75</v>
      </c>
      <c r="H70">
        <v>3128.35</v>
      </c>
      <c r="I70">
        <v>4785.38</v>
      </c>
      <c r="J70">
        <v>5884.35</v>
      </c>
      <c r="K70">
        <v>6796.27</v>
      </c>
    </row>
    <row r="71" spans="1:11" x14ac:dyDescent="0.3">
      <c r="A71" s="29" t="s">
        <v>55</v>
      </c>
      <c r="B71">
        <v>7729.94</v>
      </c>
      <c r="C71">
        <v>6729.6</v>
      </c>
      <c r="D71">
        <v>8355.56</v>
      </c>
      <c r="E71">
        <v>9450.68</v>
      </c>
      <c r="F71">
        <v>7913.97</v>
      </c>
      <c r="G71">
        <v>7307.29</v>
      </c>
      <c r="H71">
        <v>7499.69</v>
      </c>
      <c r="I71">
        <v>8002.73</v>
      </c>
      <c r="J71">
        <v>10635.26</v>
      </c>
      <c r="K71">
        <v>13334.58</v>
      </c>
    </row>
    <row r="72" spans="1:11" x14ac:dyDescent="0.3">
      <c r="A72" s="25" t="s">
        <v>56</v>
      </c>
      <c r="B72">
        <v>10493.55</v>
      </c>
      <c r="C72">
        <v>11176.28</v>
      </c>
      <c r="D72">
        <v>7503.54</v>
      </c>
      <c r="E72">
        <v>6418.59</v>
      </c>
      <c r="F72">
        <v>6701.45</v>
      </c>
      <c r="G72">
        <v>7153.69</v>
      </c>
      <c r="H72">
        <v>6698.07</v>
      </c>
      <c r="I72">
        <v>6157.47</v>
      </c>
      <c r="J72">
        <v>7612.41</v>
      </c>
      <c r="K72">
        <v>11866.62</v>
      </c>
    </row>
    <row r="73" spans="1:11" x14ac:dyDescent="0.3">
      <c r="A73" s="25" t="s">
        <v>57</v>
      </c>
      <c r="B73">
        <v>2447600000</v>
      </c>
      <c r="C73">
        <v>3671400000</v>
      </c>
      <c r="D73">
        <v>3482063355</v>
      </c>
      <c r="E73">
        <v>3482063355</v>
      </c>
      <c r="F73">
        <v>3482063355</v>
      </c>
      <c r="G73">
        <v>3482063355</v>
      </c>
      <c r="H73">
        <v>3482063355</v>
      </c>
      <c r="I73">
        <v>3482063355</v>
      </c>
      <c r="J73">
        <v>3482063355</v>
      </c>
    </row>
    <row r="74" spans="1:11" x14ac:dyDescent="0.3">
      <c r="A74" s="25" t="s">
        <v>58</v>
      </c>
      <c r="C74">
        <v>1223800000</v>
      </c>
      <c r="D74">
        <v>1223800000</v>
      </c>
    </row>
    <row r="75" spans="1:11" x14ac:dyDescent="0.3">
      <c r="A75" s="25" t="s">
        <v>59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>
        <v>2</v>
      </c>
      <c r="K75">
        <v>2</v>
      </c>
    </row>
    <row r="77" spans="1:11" x14ac:dyDescent="0.3">
      <c r="A77" s="29"/>
    </row>
    <row r="78" spans="1:11" x14ac:dyDescent="0.3">
      <c r="A78" s="29"/>
    </row>
    <row r="79" spans="1:11" x14ac:dyDescent="0.3">
      <c r="A79" s="29"/>
    </row>
    <row r="80" spans="1:11" x14ac:dyDescent="0.3">
      <c r="A80" s="29"/>
    </row>
    <row r="81" spans="1:11" x14ac:dyDescent="0.3">
      <c r="A81" s="29"/>
    </row>
    <row r="82" spans="1:11" x14ac:dyDescent="0.3">
      <c r="A82" s="29"/>
    </row>
    <row r="83" spans="1:11" x14ac:dyDescent="0.3">
      <c r="A83" s="24" t="s">
        <v>60</v>
      </c>
    </row>
    <row r="84" spans="1:11" s="28" customFormat="1" x14ac:dyDescent="0.3">
      <c r="A84" s="26" t="s">
        <v>29</v>
      </c>
      <c r="B84" s="27">
        <v>42825</v>
      </c>
      <c r="C84" s="27">
        <v>43190</v>
      </c>
      <c r="D84" s="27">
        <v>43555</v>
      </c>
      <c r="E84" s="27">
        <v>43921</v>
      </c>
      <c r="F84" s="27">
        <v>44286</v>
      </c>
      <c r="G84" s="27">
        <v>44651</v>
      </c>
      <c r="H84" s="27">
        <v>45016</v>
      </c>
      <c r="I84" s="27">
        <v>45382</v>
      </c>
      <c r="J84" s="27">
        <v>45747</v>
      </c>
      <c r="K84" s="27">
        <v>46112</v>
      </c>
    </row>
    <row r="85" spans="1:11" s="24" customFormat="1" x14ac:dyDescent="0.3">
      <c r="A85" s="29" t="s">
        <v>61</v>
      </c>
      <c r="B85">
        <v>560.41</v>
      </c>
      <c r="C85">
        <v>989.07</v>
      </c>
      <c r="D85">
        <v>-3860.15</v>
      </c>
      <c r="E85">
        <v>-2891.5</v>
      </c>
      <c r="F85">
        <v>559.95000000000005</v>
      </c>
      <c r="G85">
        <v>660.25</v>
      </c>
      <c r="H85">
        <v>-740.7</v>
      </c>
      <c r="I85">
        <v>-3712.9</v>
      </c>
      <c r="J85">
        <v>2191.89</v>
      </c>
      <c r="K85">
        <v>5837.38</v>
      </c>
    </row>
    <row r="86" spans="1:11" s="29" customFormat="1" x14ac:dyDescent="0.3">
      <c r="A86" s="29" t="s">
        <v>62</v>
      </c>
      <c r="B86">
        <v>-565.16</v>
      </c>
      <c r="C86">
        <v>961.21</v>
      </c>
      <c r="D86">
        <v>1918.85</v>
      </c>
      <c r="E86">
        <v>1877.06</v>
      </c>
      <c r="F86">
        <v>-42.5</v>
      </c>
      <c r="G86">
        <v>-1118.04</v>
      </c>
      <c r="H86">
        <v>1480.46</v>
      </c>
      <c r="I86">
        <v>1330.86</v>
      </c>
      <c r="J86">
        <v>-2730.91</v>
      </c>
      <c r="K86">
        <v>-3035.41</v>
      </c>
    </row>
    <row r="87" spans="1:11" s="29" customFormat="1" x14ac:dyDescent="0.3">
      <c r="A87" s="29" t="s">
        <v>63</v>
      </c>
      <c r="B87">
        <v>-467.87</v>
      </c>
      <c r="C87">
        <v>-667.39</v>
      </c>
      <c r="D87">
        <v>-31.64</v>
      </c>
      <c r="E87">
        <v>1621.99</v>
      </c>
      <c r="F87">
        <v>-394.15</v>
      </c>
      <c r="G87">
        <v>-329.49</v>
      </c>
      <c r="H87">
        <v>88.96</v>
      </c>
      <c r="I87">
        <v>2655.74</v>
      </c>
      <c r="J87">
        <v>-856.81</v>
      </c>
      <c r="K87">
        <v>-1805.73</v>
      </c>
    </row>
    <row r="88" spans="1:11" s="24" customFormat="1" x14ac:dyDescent="0.3">
      <c r="A88" s="29" t="s">
        <v>64</v>
      </c>
      <c r="B88">
        <v>-472.62</v>
      </c>
      <c r="C88">
        <v>1282.8900000000001</v>
      </c>
      <c r="D88">
        <v>-1972.94</v>
      </c>
      <c r="E88">
        <v>607.54999999999995</v>
      </c>
      <c r="F88">
        <v>123.3</v>
      </c>
      <c r="G88">
        <v>-787.28</v>
      </c>
      <c r="H88">
        <v>828.72</v>
      </c>
      <c r="I88">
        <v>273.7</v>
      </c>
      <c r="J88">
        <v>-1395.83</v>
      </c>
      <c r="K88">
        <v>996.24</v>
      </c>
    </row>
    <row r="89" spans="1:11" x14ac:dyDescent="0.3">
      <c r="A89" s="29"/>
    </row>
    <row r="90" spans="1:11" x14ac:dyDescent="0.3">
      <c r="A90" s="29"/>
    </row>
    <row r="91" spans="1:11" x14ac:dyDescent="0.3">
      <c r="A91" s="29"/>
    </row>
    <row r="92" spans="1:11" x14ac:dyDescent="0.3">
      <c r="A92" s="29"/>
    </row>
    <row r="93" spans="1:11" s="24" customFormat="1" x14ac:dyDescent="0.3">
      <c r="A93" s="24" t="s">
        <v>65</v>
      </c>
      <c r="B93">
        <v>108.57</v>
      </c>
      <c r="C93">
        <v>81.349999999999994</v>
      </c>
      <c r="D93">
        <v>74.95</v>
      </c>
      <c r="E93">
        <v>20.8</v>
      </c>
      <c r="F93">
        <v>48.75</v>
      </c>
      <c r="G93">
        <v>49.35</v>
      </c>
      <c r="H93">
        <v>70.05</v>
      </c>
      <c r="I93">
        <v>247.3</v>
      </c>
      <c r="J93">
        <v>216.43</v>
      </c>
      <c r="K93">
        <v>245.5</v>
      </c>
    </row>
    <row r="95" spans="1:11" s="24" customFormat="1" x14ac:dyDescent="0.3">
      <c r="A95" s="24" t="s">
        <v>66</v>
      </c>
    </row>
    <row r="96" spans="1:11" x14ac:dyDescent="0.3">
      <c r="A96" s="25" t="s">
        <v>67</v>
      </c>
      <c r="B96" s="25">
        <v>367.14</v>
      </c>
      <c r="C96" s="25">
        <v>367.14</v>
      </c>
      <c r="D96" s="25">
        <v>348.21</v>
      </c>
      <c r="E96" s="25">
        <v>348.21</v>
      </c>
      <c r="F96" s="25">
        <v>348.21</v>
      </c>
      <c r="G96" s="25">
        <v>348.21</v>
      </c>
      <c r="H96" s="25">
        <v>348.21</v>
      </c>
      <c r="I96" s="25">
        <v>348.21</v>
      </c>
      <c r="J96" s="25">
        <v>348.21</v>
      </c>
      <c r="K96" s="25">
        <v>348.21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54075B97-868C-47F9-BD90-888DD3539A9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E5972-1512-401B-86DA-333ACA7DC35D}">
  <dimension ref="A1:AI42"/>
  <sheetViews>
    <sheetView showGridLines="0" topLeftCell="A3" workbookViewId="0">
      <selection activeCell="H17" sqref="H17"/>
    </sheetView>
  </sheetViews>
  <sheetFormatPr defaultRowHeight="14.4" x14ac:dyDescent="0.3"/>
  <cols>
    <col min="1" max="1" width="50.88671875" bestFit="1" customWidth="1"/>
    <col min="2" max="6" width="9.88671875" bestFit="1" customWidth="1"/>
    <col min="8" max="9" width="9.88671875" bestFit="1" customWidth="1"/>
    <col min="25" max="35" width="9.88671875" bestFit="1" customWidth="1"/>
  </cols>
  <sheetData>
    <row r="1" spans="1:35" x14ac:dyDescent="0.3">
      <c r="A1" t="s">
        <v>68</v>
      </c>
      <c r="C1" s="30" t="s">
        <v>75</v>
      </c>
      <c r="D1" s="30" t="s">
        <v>74</v>
      </c>
      <c r="E1" s="30" t="s">
        <v>73</v>
      </c>
      <c r="F1" s="30" t="s">
        <v>72</v>
      </c>
      <c r="G1" s="30" t="s">
        <v>71</v>
      </c>
      <c r="H1" s="30" t="s">
        <v>70</v>
      </c>
      <c r="I1" s="30" t="s">
        <v>69</v>
      </c>
      <c r="Y1" s="30" t="s">
        <v>76</v>
      </c>
      <c r="Z1" s="30" t="s">
        <v>77</v>
      </c>
      <c r="AA1" s="30" t="s">
        <v>78</v>
      </c>
      <c r="AB1" s="30" t="s">
        <v>79</v>
      </c>
      <c r="AC1" s="30" t="s">
        <v>80</v>
      </c>
      <c r="AD1" s="30" t="s">
        <v>81</v>
      </c>
      <c r="AE1" s="30" t="s">
        <v>82</v>
      </c>
      <c r="AF1" s="30" t="s">
        <v>83</v>
      </c>
      <c r="AG1" s="30" t="s">
        <v>84</v>
      </c>
      <c r="AH1" s="30" t="s">
        <v>85</v>
      </c>
      <c r="AI1" s="30" t="s">
        <v>86</v>
      </c>
    </row>
    <row r="2" spans="1:35" x14ac:dyDescent="0.3">
      <c r="A2" t="s">
        <v>87</v>
      </c>
      <c r="C2" s="30" t="s">
        <v>88</v>
      </c>
      <c r="D2" s="30" t="s">
        <v>88</v>
      </c>
      <c r="E2" s="30" t="s">
        <v>88</v>
      </c>
      <c r="F2" s="30" t="s">
        <v>88</v>
      </c>
      <c r="G2" s="30" t="s">
        <v>88</v>
      </c>
      <c r="H2" s="30" t="s">
        <v>88</v>
      </c>
      <c r="I2" s="30" t="s">
        <v>88</v>
      </c>
      <c r="Y2" s="30" t="s">
        <v>88</v>
      </c>
      <c r="Z2" s="30" t="s">
        <v>88</v>
      </c>
      <c r="AA2" s="30" t="s">
        <v>88</v>
      </c>
      <c r="AB2" s="30" t="s">
        <v>88</v>
      </c>
      <c r="AC2" s="30" t="s">
        <v>88</v>
      </c>
      <c r="AD2" s="30" t="s">
        <v>88</v>
      </c>
      <c r="AE2" s="30" t="s">
        <v>88</v>
      </c>
      <c r="AF2" s="30" t="s">
        <v>88</v>
      </c>
      <c r="AG2" s="30" t="s">
        <v>88</v>
      </c>
      <c r="AH2" s="30" t="s">
        <v>88</v>
      </c>
      <c r="AI2" s="30" t="s">
        <v>88</v>
      </c>
    </row>
    <row r="3" spans="1:35" x14ac:dyDescent="0.3">
      <c r="A3" t="s">
        <v>89</v>
      </c>
      <c r="C3" s="33">
        <v>20494.59</v>
      </c>
      <c r="D3" s="33">
        <v>16295.8</v>
      </c>
      <c r="E3" s="33">
        <v>20153.38</v>
      </c>
      <c r="F3" s="33">
        <v>22136.3</v>
      </c>
      <c r="G3" s="33">
        <v>22920.52</v>
      </c>
      <c r="H3" s="33">
        <v>27355.17</v>
      </c>
      <c r="I3" s="33">
        <v>33782.18</v>
      </c>
      <c r="L3">
        <f t="shared" ref="L3:R8" si="0">VALUE(C3)</f>
        <v>20494.59</v>
      </c>
      <c r="M3">
        <f t="shared" si="0"/>
        <v>16295.8</v>
      </c>
      <c r="N3">
        <f t="shared" si="0"/>
        <v>20153.38</v>
      </c>
      <c r="O3">
        <f t="shared" si="0"/>
        <v>22136.3</v>
      </c>
      <c r="P3">
        <f t="shared" si="0"/>
        <v>22920.52</v>
      </c>
      <c r="Q3">
        <f t="shared" si="0"/>
        <v>27355.17</v>
      </c>
      <c r="R3">
        <f t="shared" si="0"/>
        <v>33782.18</v>
      </c>
      <c r="Y3" s="30" t="s">
        <v>90</v>
      </c>
      <c r="Z3" s="30" t="s">
        <v>91</v>
      </c>
      <c r="AA3" s="30" t="s">
        <v>92</v>
      </c>
      <c r="AB3" s="30" t="s">
        <v>93</v>
      </c>
      <c r="AC3" s="30" t="s">
        <v>94</v>
      </c>
      <c r="AD3" s="30" t="s">
        <v>95</v>
      </c>
      <c r="AE3" s="30" t="s">
        <v>96</v>
      </c>
      <c r="AF3" s="30" t="s">
        <v>97</v>
      </c>
      <c r="AG3" s="30" t="s">
        <v>98</v>
      </c>
      <c r="AH3" s="30" t="s">
        <v>99</v>
      </c>
      <c r="AI3" s="30" t="s">
        <v>100</v>
      </c>
    </row>
    <row r="4" spans="1:35" x14ac:dyDescent="0.3">
      <c r="A4" t="s">
        <v>101</v>
      </c>
      <c r="C4" s="33">
        <v>0</v>
      </c>
      <c r="D4" s="33">
        <v>0</v>
      </c>
      <c r="E4" s="33">
        <v>0</v>
      </c>
      <c r="F4" s="33">
        <v>0</v>
      </c>
      <c r="G4" s="33">
        <v>0</v>
      </c>
      <c r="H4" s="33">
        <v>0</v>
      </c>
      <c r="I4" s="33"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Y4" s="30" t="s">
        <v>102</v>
      </c>
      <c r="Z4" s="30" t="s">
        <v>103</v>
      </c>
      <c r="AA4" s="30" t="s">
        <v>104</v>
      </c>
      <c r="AB4" s="30" t="s">
        <v>105</v>
      </c>
      <c r="AC4" s="30" t="s">
        <v>106</v>
      </c>
      <c r="AD4" s="30" t="s">
        <v>107</v>
      </c>
      <c r="AE4" s="30" t="s">
        <v>108</v>
      </c>
      <c r="AF4" s="30" t="s">
        <v>109</v>
      </c>
      <c r="AG4" s="30" t="s">
        <v>110</v>
      </c>
      <c r="AH4" s="30" t="s">
        <v>111</v>
      </c>
      <c r="AI4" s="30" t="s">
        <v>112</v>
      </c>
    </row>
    <row r="5" spans="1:35" ht="15.6" x14ac:dyDescent="0.3">
      <c r="A5" s="31" t="s">
        <v>113</v>
      </c>
      <c r="C5" s="34">
        <v>20494.59</v>
      </c>
      <c r="D5" s="34">
        <v>16295.8</v>
      </c>
      <c r="E5" s="34">
        <v>20153.38</v>
      </c>
      <c r="F5" s="34">
        <v>22136.3</v>
      </c>
      <c r="G5" s="34">
        <v>22920.52</v>
      </c>
      <c r="H5" s="34">
        <v>27355.17</v>
      </c>
      <c r="I5" s="34">
        <v>33782.18</v>
      </c>
      <c r="L5">
        <f t="shared" si="0"/>
        <v>20494.59</v>
      </c>
      <c r="M5">
        <f t="shared" si="0"/>
        <v>16295.8</v>
      </c>
      <c r="N5">
        <f t="shared" si="0"/>
        <v>20153.38</v>
      </c>
      <c r="O5">
        <f t="shared" si="0"/>
        <v>22136.3</v>
      </c>
      <c r="P5">
        <f t="shared" si="0"/>
        <v>22920.52</v>
      </c>
      <c r="Q5">
        <f t="shared" si="0"/>
        <v>27355.17</v>
      </c>
      <c r="R5">
        <f t="shared" si="0"/>
        <v>33782.18</v>
      </c>
      <c r="Y5" s="32" t="s">
        <v>90</v>
      </c>
      <c r="Z5" s="32" t="s">
        <v>114</v>
      </c>
      <c r="AA5" s="32" t="s">
        <v>115</v>
      </c>
      <c r="AB5" s="32" t="s">
        <v>116</v>
      </c>
      <c r="AC5" s="32" t="s">
        <v>117</v>
      </c>
      <c r="AD5" s="32" t="s">
        <v>118</v>
      </c>
      <c r="AE5" s="32" t="s">
        <v>119</v>
      </c>
      <c r="AF5" s="32" t="s">
        <v>120</v>
      </c>
      <c r="AG5" s="32" t="s">
        <v>121</v>
      </c>
      <c r="AH5" s="32" t="s">
        <v>122</v>
      </c>
      <c r="AI5" s="32" t="s">
        <v>123</v>
      </c>
    </row>
    <row r="6" spans="1:35" x14ac:dyDescent="0.3">
      <c r="A6" t="s">
        <v>124</v>
      </c>
      <c r="C6" s="33">
        <v>21463.14</v>
      </c>
      <c r="D6" s="33">
        <v>17308.689999999999</v>
      </c>
      <c r="E6" s="33">
        <v>21211.09</v>
      </c>
      <c r="F6" s="33">
        <v>23364.94</v>
      </c>
      <c r="G6" s="33">
        <v>23892.78</v>
      </c>
      <c r="H6" s="33">
        <v>28339.48</v>
      </c>
      <c r="I6" s="33">
        <v>33782.18</v>
      </c>
      <c r="L6">
        <f t="shared" si="0"/>
        <v>21463.14</v>
      </c>
      <c r="M6">
        <f t="shared" si="0"/>
        <v>17308.689999999999</v>
      </c>
      <c r="N6">
        <f t="shared" si="0"/>
        <v>21211.09</v>
      </c>
      <c r="O6">
        <f t="shared" si="0"/>
        <v>23364.94</v>
      </c>
      <c r="P6">
        <f t="shared" si="0"/>
        <v>23892.78</v>
      </c>
      <c r="Q6">
        <f t="shared" si="0"/>
        <v>28339.48</v>
      </c>
      <c r="R6">
        <f t="shared" si="0"/>
        <v>33782.18</v>
      </c>
      <c r="Y6" s="30" t="s">
        <v>125</v>
      </c>
      <c r="Z6" s="30" t="s">
        <v>126</v>
      </c>
      <c r="AA6" s="30" t="s">
        <v>127</v>
      </c>
      <c r="AB6" s="30" t="s">
        <v>128</v>
      </c>
      <c r="AC6" s="30" t="s">
        <v>129</v>
      </c>
      <c r="AD6" s="30" t="s">
        <v>130</v>
      </c>
      <c r="AE6" s="30" t="s">
        <v>131</v>
      </c>
      <c r="AF6" s="30" t="s">
        <v>132</v>
      </c>
      <c r="AG6" s="30" t="s">
        <v>133</v>
      </c>
      <c r="AH6" s="30" t="s">
        <v>122</v>
      </c>
      <c r="AI6" s="30" t="s">
        <v>123</v>
      </c>
    </row>
    <row r="7" spans="1:35" ht="15.6" x14ac:dyDescent="0.3">
      <c r="A7" s="31" t="s">
        <v>35</v>
      </c>
      <c r="C7" s="34">
        <v>564.29999999999995</v>
      </c>
      <c r="D7" s="34">
        <v>348.42</v>
      </c>
      <c r="E7" s="34">
        <v>354.54</v>
      </c>
      <c r="F7" s="34">
        <v>488.63</v>
      </c>
      <c r="G7" s="34">
        <v>546.27</v>
      </c>
      <c r="H7" s="34">
        <v>465.31</v>
      </c>
      <c r="I7" s="34">
        <v>807.65</v>
      </c>
      <c r="L7">
        <f t="shared" si="0"/>
        <v>564.29999999999995</v>
      </c>
      <c r="M7">
        <f t="shared" si="0"/>
        <v>348.42</v>
      </c>
      <c r="N7">
        <f t="shared" si="0"/>
        <v>354.54</v>
      </c>
      <c r="O7">
        <f t="shared" si="0"/>
        <v>488.63</v>
      </c>
      <c r="P7">
        <f t="shared" si="0"/>
        <v>546.27</v>
      </c>
      <c r="Q7">
        <f t="shared" si="0"/>
        <v>465.31</v>
      </c>
      <c r="R7">
        <f t="shared" si="0"/>
        <v>807.65</v>
      </c>
      <c r="Y7" s="32" t="s">
        <v>134</v>
      </c>
      <c r="Z7" s="32" t="s">
        <v>135</v>
      </c>
      <c r="AA7" s="32" t="s">
        <v>136</v>
      </c>
      <c r="AB7" s="32" t="s">
        <v>137</v>
      </c>
      <c r="AC7" s="32" t="s">
        <v>138</v>
      </c>
      <c r="AD7" s="32" t="s">
        <v>139</v>
      </c>
      <c r="AE7" s="32" t="s">
        <v>140</v>
      </c>
      <c r="AF7" s="32" t="s">
        <v>141</v>
      </c>
      <c r="AG7" s="32" t="s">
        <v>142</v>
      </c>
      <c r="AH7" s="32" t="s">
        <v>143</v>
      </c>
      <c r="AI7" s="32" t="s">
        <v>144</v>
      </c>
    </row>
    <row r="8" spans="1:35" ht="15.6" x14ac:dyDescent="0.3">
      <c r="A8" s="31" t="s">
        <v>145</v>
      </c>
      <c r="C8" s="34">
        <v>22027.439999999999</v>
      </c>
      <c r="D8" s="34">
        <v>17657.11</v>
      </c>
      <c r="E8" s="34">
        <v>21565.63</v>
      </c>
      <c r="F8" s="34">
        <v>23853.57</v>
      </c>
      <c r="G8" s="34">
        <v>24439.05</v>
      </c>
      <c r="H8" s="34">
        <v>28804.79</v>
      </c>
      <c r="I8" s="34">
        <v>34589.83</v>
      </c>
      <c r="L8">
        <f t="shared" si="0"/>
        <v>22027.439999999999</v>
      </c>
      <c r="M8">
        <f t="shared" si="0"/>
        <v>17657.11</v>
      </c>
      <c r="N8">
        <f t="shared" si="0"/>
        <v>21565.63</v>
      </c>
      <c r="O8">
        <f t="shared" si="0"/>
        <v>23853.57</v>
      </c>
      <c r="P8">
        <f t="shared" si="0"/>
        <v>24439.05</v>
      </c>
      <c r="Q8">
        <f t="shared" si="0"/>
        <v>28804.79</v>
      </c>
      <c r="R8">
        <f t="shared" si="0"/>
        <v>34589.83</v>
      </c>
      <c r="Y8" s="32" t="s">
        <v>146</v>
      </c>
      <c r="Z8" s="32" t="s">
        <v>147</v>
      </c>
      <c r="AA8" s="32" t="s">
        <v>148</v>
      </c>
      <c r="AB8" s="32" t="s">
        <v>149</v>
      </c>
      <c r="AC8" s="32" t="s">
        <v>150</v>
      </c>
      <c r="AD8" s="32" t="s">
        <v>151</v>
      </c>
      <c r="AE8" s="32" t="s">
        <v>152</v>
      </c>
      <c r="AF8" s="32" t="s">
        <v>153</v>
      </c>
      <c r="AG8" s="32" t="s">
        <v>154</v>
      </c>
      <c r="AH8" s="32" t="s">
        <v>155</v>
      </c>
      <c r="AI8" s="32" t="s">
        <v>156</v>
      </c>
    </row>
    <row r="9" spans="1:35" x14ac:dyDescent="0.3">
      <c r="A9" t="s">
        <v>157</v>
      </c>
      <c r="C9" s="33"/>
      <c r="D9" s="33"/>
      <c r="E9" s="33"/>
      <c r="F9" s="33"/>
      <c r="G9" s="33"/>
      <c r="H9" s="33"/>
      <c r="I9" s="33"/>
      <c r="Y9" s="30" t="s">
        <v>88</v>
      </c>
      <c r="Z9" s="30" t="s">
        <v>88</v>
      </c>
      <c r="AA9" s="30" t="s">
        <v>88</v>
      </c>
      <c r="AB9" s="30" t="s">
        <v>88</v>
      </c>
      <c r="AC9" s="30" t="s">
        <v>88</v>
      </c>
      <c r="AD9" s="30" t="s">
        <v>88</v>
      </c>
      <c r="AE9" s="30" t="s">
        <v>88</v>
      </c>
      <c r="AF9" s="30" t="s">
        <v>88</v>
      </c>
      <c r="AG9" s="30" t="s">
        <v>88</v>
      </c>
      <c r="AH9" s="30" t="s">
        <v>88</v>
      </c>
      <c r="AI9" s="30" t="s">
        <v>88</v>
      </c>
    </row>
    <row r="10" spans="1:35" x14ac:dyDescent="0.3">
      <c r="A10" t="s">
        <v>158</v>
      </c>
      <c r="C10" s="33">
        <v>12134.55</v>
      </c>
      <c r="D10" s="33">
        <v>8447.2999999999993</v>
      </c>
      <c r="E10" s="33">
        <v>5327.07</v>
      </c>
      <c r="F10" s="33">
        <v>6279.46</v>
      </c>
      <c r="G10" s="33">
        <v>6466.55</v>
      </c>
      <c r="H10" s="33">
        <v>8640.26</v>
      </c>
      <c r="I10" s="33">
        <v>24274.28</v>
      </c>
      <c r="L10">
        <f t="shared" ref="L10:L18" si="1">VALUE(C10)</f>
        <v>12134.55</v>
      </c>
      <c r="M10">
        <f t="shared" ref="M10:M18" si="2">VALUE(D10)</f>
        <v>8447.2999999999993</v>
      </c>
      <c r="N10">
        <f t="shared" ref="N10:N18" si="3">VALUE(E10)</f>
        <v>5327.07</v>
      </c>
      <c r="O10">
        <f t="shared" ref="O10:O18" si="4">VALUE(F10)</f>
        <v>6279.46</v>
      </c>
      <c r="P10">
        <f t="shared" ref="P10:P18" si="5">VALUE(G10)</f>
        <v>6466.55</v>
      </c>
      <c r="Q10">
        <f t="shared" ref="Q10:Q18" si="6">VALUE(H10)</f>
        <v>8640.26</v>
      </c>
      <c r="R10">
        <f t="shared" ref="R10:R18" si="7">VALUE(I10)</f>
        <v>24274.28</v>
      </c>
      <c r="Y10" s="30" t="s">
        <v>159</v>
      </c>
      <c r="Z10" s="30" t="s">
        <v>160</v>
      </c>
      <c r="AA10" s="30" t="s">
        <v>161</v>
      </c>
      <c r="AB10" s="30" t="s">
        <v>162</v>
      </c>
      <c r="AC10" s="30" t="s">
        <v>163</v>
      </c>
      <c r="AD10" s="30" t="s">
        <v>164</v>
      </c>
      <c r="AE10" s="30" t="s">
        <v>165</v>
      </c>
      <c r="AF10" s="30" t="s">
        <v>166</v>
      </c>
      <c r="AG10" s="30" t="s">
        <v>167</v>
      </c>
      <c r="AH10" s="30" t="s">
        <v>168</v>
      </c>
      <c r="AI10" s="30" t="s">
        <v>169</v>
      </c>
    </row>
    <row r="11" spans="1:35" x14ac:dyDescent="0.3">
      <c r="A11" t="s">
        <v>170</v>
      </c>
      <c r="C11" s="33">
        <v>0</v>
      </c>
      <c r="D11" s="33">
        <v>0</v>
      </c>
      <c r="E11" s="33">
        <v>4141.75</v>
      </c>
      <c r="F11" s="33">
        <v>4657.33</v>
      </c>
      <c r="G11" s="33">
        <v>5868.46</v>
      </c>
      <c r="H11" s="33">
        <v>6757.99</v>
      </c>
      <c r="I11" s="33">
        <v>0</v>
      </c>
      <c r="L11">
        <f t="shared" si="1"/>
        <v>0</v>
      </c>
      <c r="M11">
        <f t="shared" si="2"/>
        <v>0</v>
      </c>
      <c r="N11">
        <f t="shared" si="3"/>
        <v>4141.75</v>
      </c>
      <c r="O11">
        <f t="shared" si="4"/>
        <v>4657.33</v>
      </c>
      <c r="P11">
        <f t="shared" si="5"/>
        <v>5868.46</v>
      </c>
      <c r="Q11">
        <f t="shared" si="6"/>
        <v>6757.99</v>
      </c>
      <c r="R11">
        <f t="shared" si="7"/>
        <v>0</v>
      </c>
      <c r="Y11" s="30" t="s">
        <v>102</v>
      </c>
      <c r="Z11" s="30" t="s">
        <v>102</v>
      </c>
      <c r="AA11" s="30" t="s">
        <v>102</v>
      </c>
      <c r="AB11" s="30" t="s">
        <v>102</v>
      </c>
      <c r="AC11" s="30" t="s">
        <v>102</v>
      </c>
      <c r="AD11" s="30" t="s">
        <v>102</v>
      </c>
      <c r="AE11" s="30" t="s">
        <v>102</v>
      </c>
      <c r="AF11" s="30" t="s">
        <v>102</v>
      </c>
      <c r="AG11" s="30" t="s">
        <v>102</v>
      </c>
      <c r="AH11" s="30" t="s">
        <v>102</v>
      </c>
      <c r="AI11" s="30" t="s">
        <v>102</v>
      </c>
    </row>
    <row r="12" spans="1:35" x14ac:dyDescent="0.3">
      <c r="A12" t="s">
        <v>171</v>
      </c>
      <c r="C12" s="33">
        <v>2947.17</v>
      </c>
      <c r="D12" s="33">
        <v>2912.47</v>
      </c>
      <c r="E12" s="33">
        <v>4792.6099999999997</v>
      </c>
      <c r="F12" s="33">
        <v>5421.08</v>
      </c>
      <c r="G12" s="33">
        <v>4908.84</v>
      </c>
      <c r="H12" s="33">
        <v>4989.22</v>
      </c>
      <c r="I12" s="33">
        <v>0</v>
      </c>
      <c r="L12">
        <f t="shared" si="1"/>
        <v>2947.17</v>
      </c>
      <c r="M12">
        <f t="shared" si="2"/>
        <v>2912.47</v>
      </c>
      <c r="N12">
        <f t="shared" si="3"/>
        <v>4792.6099999999997</v>
      </c>
      <c r="O12">
        <f t="shared" si="4"/>
        <v>5421.08</v>
      </c>
      <c r="P12">
        <f t="shared" si="5"/>
        <v>4908.84</v>
      </c>
      <c r="Q12">
        <f t="shared" si="6"/>
        <v>4989.22</v>
      </c>
      <c r="R12">
        <f t="shared" si="7"/>
        <v>0</v>
      </c>
      <c r="Y12" s="30" t="s">
        <v>172</v>
      </c>
      <c r="Z12" s="30" t="s">
        <v>173</v>
      </c>
      <c r="AA12" s="30" t="s">
        <v>174</v>
      </c>
      <c r="AB12" s="30" t="s">
        <v>175</v>
      </c>
      <c r="AC12" s="30" t="s">
        <v>176</v>
      </c>
      <c r="AD12" s="30" t="s">
        <v>177</v>
      </c>
      <c r="AE12" s="30" t="s">
        <v>102</v>
      </c>
      <c r="AF12" s="30" t="s">
        <v>178</v>
      </c>
      <c r="AG12" s="30" t="s">
        <v>179</v>
      </c>
      <c r="AH12" s="30" t="s">
        <v>180</v>
      </c>
      <c r="AI12" s="30" t="s">
        <v>181</v>
      </c>
    </row>
    <row r="13" spans="1:35" x14ac:dyDescent="0.3">
      <c r="A13" t="s">
        <v>182</v>
      </c>
      <c r="C13" s="33">
        <v>-1042.43</v>
      </c>
      <c r="D13" s="33">
        <v>510.86</v>
      </c>
      <c r="E13" s="33">
        <v>532.41</v>
      </c>
      <c r="F13" s="33">
        <v>-57.15</v>
      </c>
      <c r="G13" s="33">
        <v>-436.74</v>
      </c>
      <c r="H13" s="33">
        <v>-1542.32</v>
      </c>
      <c r="I13" s="33">
        <v>-1291.19</v>
      </c>
      <c r="L13">
        <f t="shared" si="1"/>
        <v>-1042.43</v>
      </c>
      <c r="M13">
        <f t="shared" si="2"/>
        <v>510.86</v>
      </c>
      <c r="N13">
        <f t="shared" si="3"/>
        <v>532.41</v>
      </c>
      <c r="O13">
        <f t="shared" si="4"/>
        <v>-57.15</v>
      </c>
      <c r="P13">
        <f t="shared" si="5"/>
        <v>-436.74</v>
      </c>
      <c r="Q13">
        <f t="shared" si="6"/>
        <v>-1542.32</v>
      </c>
      <c r="R13">
        <f t="shared" si="7"/>
        <v>-1291.19</v>
      </c>
      <c r="Y13" s="30" t="s">
        <v>183</v>
      </c>
      <c r="Z13" s="30" t="s">
        <v>184</v>
      </c>
      <c r="AA13" s="30" t="s">
        <v>185</v>
      </c>
      <c r="AB13" s="30" t="s">
        <v>186</v>
      </c>
      <c r="AC13" s="30" t="s">
        <v>187</v>
      </c>
      <c r="AD13" s="30" t="s">
        <v>188</v>
      </c>
      <c r="AE13" s="30" t="s">
        <v>189</v>
      </c>
      <c r="AF13" s="30" t="s">
        <v>190</v>
      </c>
      <c r="AG13" s="30" t="s">
        <v>191</v>
      </c>
      <c r="AH13" s="30" t="s">
        <v>192</v>
      </c>
      <c r="AI13" s="30" t="s">
        <v>193</v>
      </c>
    </row>
    <row r="14" spans="1:35" x14ac:dyDescent="0.3">
      <c r="A14" t="s">
        <v>194</v>
      </c>
      <c r="C14" s="33">
        <v>5431.88</v>
      </c>
      <c r="D14" s="33">
        <v>5378.15</v>
      </c>
      <c r="E14" s="33">
        <v>5519.05</v>
      </c>
      <c r="F14" s="33">
        <v>5700.63</v>
      </c>
      <c r="G14" s="33">
        <v>5628.84</v>
      </c>
      <c r="H14" s="33">
        <v>5923.42</v>
      </c>
      <c r="I14" s="33">
        <v>6467.62</v>
      </c>
      <c r="L14">
        <f t="shared" si="1"/>
        <v>5431.88</v>
      </c>
      <c r="M14">
        <f t="shared" si="2"/>
        <v>5378.15</v>
      </c>
      <c r="N14">
        <f t="shared" si="3"/>
        <v>5519.05</v>
      </c>
      <c r="O14">
        <f t="shared" si="4"/>
        <v>5700.63</v>
      </c>
      <c r="P14">
        <f t="shared" si="5"/>
        <v>5628.84</v>
      </c>
      <c r="Q14">
        <f t="shared" si="6"/>
        <v>5923.42</v>
      </c>
      <c r="R14">
        <f t="shared" si="7"/>
        <v>6467.62</v>
      </c>
      <c r="Y14" s="30" t="s">
        <v>195</v>
      </c>
      <c r="Z14" s="30" t="s">
        <v>196</v>
      </c>
      <c r="AA14" s="30" t="s">
        <v>197</v>
      </c>
      <c r="AB14" s="30" t="s">
        <v>198</v>
      </c>
      <c r="AC14" s="30" t="s">
        <v>199</v>
      </c>
      <c r="AD14" s="30" t="s">
        <v>200</v>
      </c>
      <c r="AE14" s="30" t="s">
        <v>201</v>
      </c>
      <c r="AF14" s="30" t="s">
        <v>202</v>
      </c>
      <c r="AG14" s="30" t="s">
        <v>203</v>
      </c>
      <c r="AH14" s="30" t="s">
        <v>204</v>
      </c>
      <c r="AI14" s="30" t="s">
        <v>205</v>
      </c>
    </row>
    <row r="15" spans="1:35" x14ac:dyDescent="0.3">
      <c r="A15" t="s">
        <v>206</v>
      </c>
      <c r="C15" s="33">
        <v>508.45</v>
      </c>
      <c r="D15" s="33">
        <v>373.95</v>
      </c>
      <c r="E15" s="33">
        <v>355.96</v>
      </c>
      <c r="F15" s="33">
        <v>521.42999999999995</v>
      </c>
      <c r="G15" s="33">
        <v>731.29</v>
      </c>
      <c r="H15" s="33">
        <v>748.33</v>
      </c>
      <c r="I15" s="33">
        <v>756.41</v>
      </c>
      <c r="L15">
        <f t="shared" si="1"/>
        <v>508.45</v>
      </c>
      <c r="M15">
        <f t="shared" si="2"/>
        <v>373.95</v>
      </c>
      <c r="N15">
        <f t="shared" si="3"/>
        <v>355.96</v>
      </c>
      <c r="O15">
        <f t="shared" si="4"/>
        <v>521.42999999999995</v>
      </c>
      <c r="P15">
        <f t="shared" si="5"/>
        <v>731.29</v>
      </c>
      <c r="Q15">
        <f t="shared" si="6"/>
        <v>748.33</v>
      </c>
      <c r="R15">
        <f t="shared" si="7"/>
        <v>756.41</v>
      </c>
      <c r="Y15" s="30" t="s">
        <v>207</v>
      </c>
      <c r="Z15" s="30" t="s">
        <v>208</v>
      </c>
      <c r="AA15" s="30" t="s">
        <v>209</v>
      </c>
      <c r="AB15" s="30" t="s">
        <v>210</v>
      </c>
      <c r="AC15" s="30" t="s">
        <v>211</v>
      </c>
      <c r="AD15" s="30" t="s">
        <v>212</v>
      </c>
      <c r="AE15" s="30" t="s">
        <v>213</v>
      </c>
      <c r="AF15" s="30" t="s">
        <v>214</v>
      </c>
      <c r="AG15" s="30" t="s">
        <v>215</v>
      </c>
      <c r="AH15" s="30" t="s">
        <v>216</v>
      </c>
      <c r="AI15" s="30" t="s">
        <v>217</v>
      </c>
    </row>
    <row r="16" spans="1:35" x14ac:dyDescent="0.3">
      <c r="A16" t="s">
        <v>218</v>
      </c>
      <c r="C16" s="33">
        <v>503.27</v>
      </c>
      <c r="D16" s="33">
        <v>473.25</v>
      </c>
      <c r="E16" s="33">
        <v>314.12</v>
      </c>
      <c r="F16" s="33">
        <v>260.33999999999997</v>
      </c>
      <c r="G16" s="33">
        <v>248.9</v>
      </c>
      <c r="H16" s="33">
        <v>271.95999999999998</v>
      </c>
      <c r="I16" s="33">
        <v>315.87</v>
      </c>
      <c r="L16">
        <f t="shared" si="1"/>
        <v>503.27</v>
      </c>
      <c r="M16">
        <f t="shared" si="2"/>
        <v>473.25</v>
      </c>
      <c r="N16">
        <f t="shared" si="3"/>
        <v>314.12</v>
      </c>
      <c r="O16">
        <f t="shared" si="4"/>
        <v>260.33999999999997</v>
      </c>
      <c r="P16">
        <f t="shared" si="5"/>
        <v>248.9</v>
      </c>
      <c r="Q16">
        <f t="shared" si="6"/>
        <v>271.95999999999998</v>
      </c>
      <c r="R16">
        <f t="shared" si="7"/>
        <v>315.87</v>
      </c>
      <c r="Y16" s="30" t="s">
        <v>219</v>
      </c>
      <c r="Z16" s="30" t="s">
        <v>220</v>
      </c>
      <c r="AA16" s="30" t="s">
        <v>221</v>
      </c>
      <c r="AB16" s="30" t="s">
        <v>222</v>
      </c>
      <c r="AC16" s="30" t="s">
        <v>223</v>
      </c>
      <c r="AD16" s="30" t="s">
        <v>224</v>
      </c>
      <c r="AE16" s="30" t="s">
        <v>225</v>
      </c>
      <c r="AF16" s="30" t="s">
        <v>226</v>
      </c>
      <c r="AG16" s="30" t="s">
        <v>227</v>
      </c>
      <c r="AH16" s="30" t="s">
        <v>228</v>
      </c>
      <c r="AI16" s="30" t="s">
        <v>229</v>
      </c>
    </row>
    <row r="17" spans="1:35" x14ac:dyDescent="0.3">
      <c r="A17" t="s">
        <v>34</v>
      </c>
      <c r="C17" s="33">
        <v>1995.54</v>
      </c>
      <c r="D17" s="33">
        <v>1733.74</v>
      </c>
      <c r="E17" s="33">
        <v>1688.87</v>
      </c>
      <c r="F17" s="33">
        <v>647.03</v>
      </c>
      <c r="G17" s="33">
        <v>844.23</v>
      </c>
      <c r="H17" s="33">
        <v>2329.34</v>
      </c>
      <c r="I17" s="33">
        <v>1989.28</v>
      </c>
      <c r="L17">
        <f t="shared" si="1"/>
        <v>1995.54</v>
      </c>
      <c r="M17">
        <f t="shared" si="2"/>
        <v>1733.74</v>
      </c>
      <c r="N17">
        <f t="shared" si="3"/>
        <v>1688.87</v>
      </c>
      <c r="O17">
        <f t="shared" si="4"/>
        <v>647.03</v>
      </c>
      <c r="P17">
        <f t="shared" si="5"/>
        <v>844.23</v>
      </c>
      <c r="Q17">
        <f t="shared" si="6"/>
        <v>2329.34</v>
      </c>
      <c r="R17">
        <f t="shared" si="7"/>
        <v>1989.28</v>
      </c>
      <c r="Y17" s="30" t="s">
        <v>230</v>
      </c>
      <c r="Z17" s="30" t="s">
        <v>231</v>
      </c>
      <c r="AA17" s="30" t="s">
        <v>232</v>
      </c>
      <c r="AB17" s="30" t="s">
        <v>233</v>
      </c>
      <c r="AC17" s="30" t="s">
        <v>234</v>
      </c>
      <c r="AD17" s="30" t="s">
        <v>235</v>
      </c>
      <c r="AE17" s="30" t="s">
        <v>236</v>
      </c>
      <c r="AF17" s="30" t="s">
        <v>237</v>
      </c>
      <c r="AG17" s="30" t="s">
        <v>238</v>
      </c>
      <c r="AH17" s="30" t="s">
        <v>239</v>
      </c>
      <c r="AI17" s="30" t="s">
        <v>240</v>
      </c>
    </row>
    <row r="18" spans="1:35" x14ac:dyDescent="0.3">
      <c r="A18" t="s">
        <v>241</v>
      </c>
      <c r="C18" s="33">
        <v>22712.23</v>
      </c>
      <c r="D18" s="33">
        <v>21297.18</v>
      </c>
      <c r="E18" s="33">
        <v>21145.59</v>
      </c>
      <c r="F18" s="33">
        <v>23430.15</v>
      </c>
      <c r="G18" s="33">
        <v>24260.37</v>
      </c>
      <c r="H18" s="33">
        <v>28118.2</v>
      </c>
      <c r="I18" s="33">
        <v>32512.27</v>
      </c>
      <c r="J18" s="33"/>
      <c r="L18">
        <f t="shared" si="1"/>
        <v>22712.23</v>
      </c>
      <c r="M18">
        <f t="shared" si="2"/>
        <v>21297.18</v>
      </c>
      <c r="N18">
        <f t="shared" si="3"/>
        <v>21145.59</v>
      </c>
      <c r="O18">
        <f t="shared" si="4"/>
        <v>23430.15</v>
      </c>
      <c r="P18">
        <f t="shared" si="5"/>
        <v>24260.37</v>
      </c>
      <c r="Q18">
        <f t="shared" si="6"/>
        <v>28118.2</v>
      </c>
      <c r="R18">
        <f t="shared" si="7"/>
        <v>32512.27</v>
      </c>
      <c r="Y18" s="30" t="s">
        <v>242</v>
      </c>
      <c r="Z18" s="30" t="s">
        <v>243</v>
      </c>
      <c r="AA18" s="30" t="s">
        <v>244</v>
      </c>
      <c r="AB18" s="30" t="s">
        <v>245</v>
      </c>
      <c r="AC18" s="30" t="s">
        <v>246</v>
      </c>
      <c r="AD18" s="30" t="s">
        <v>247</v>
      </c>
      <c r="AE18" s="30" t="s">
        <v>248</v>
      </c>
      <c r="AF18" s="30" t="s">
        <v>249</v>
      </c>
      <c r="AG18" s="30" t="s">
        <v>250</v>
      </c>
      <c r="AH18" s="30" t="s">
        <v>251</v>
      </c>
      <c r="AI18" s="30" t="s">
        <v>252</v>
      </c>
    </row>
    <row r="19" spans="1:35" x14ac:dyDescent="0.3">
      <c r="C19" s="33">
        <f>SUM(C10:C17)</f>
        <v>22478.43</v>
      </c>
      <c r="D19" s="33">
        <f t="shared" ref="D19:I19" si="8">SUM(D10:D17)</f>
        <v>19829.72</v>
      </c>
      <c r="E19" s="33">
        <f t="shared" si="8"/>
        <v>22671.839999999997</v>
      </c>
      <c r="F19" s="33">
        <f t="shared" si="8"/>
        <v>23430.15</v>
      </c>
      <c r="G19" s="33">
        <f t="shared" si="8"/>
        <v>24260.37</v>
      </c>
      <c r="H19" s="33">
        <f t="shared" si="8"/>
        <v>28118.2</v>
      </c>
      <c r="I19" s="33">
        <f t="shared" si="8"/>
        <v>32512.269999999997</v>
      </c>
      <c r="J19" s="33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 spans="1:35" x14ac:dyDescent="0.3">
      <c r="C20" s="33">
        <f>C18-C19</f>
        <v>233.79999999999927</v>
      </c>
      <c r="D20" s="33">
        <f t="shared" ref="D20:I20" si="9">D18-D19</f>
        <v>1467.4599999999991</v>
      </c>
      <c r="E20" s="33">
        <f t="shared" si="9"/>
        <v>-1526.2499999999964</v>
      </c>
      <c r="F20" s="33">
        <f t="shared" si="9"/>
        <v>0</v>
      </c>
      <c r="G20" s="33">
        <f t="shared" si="9"/>
        <v>0</v>
      </c>
      <c r="H20" s="33">
        <f t="shared" si="9"/>
        <v>0</v>
      </c>
      <c r="I20" s="33">
        <f t="shared" si="9"/>
        <v>0</v>
      </c>
      <c r="J20" s="33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 spans="1:35" x14ac:dyDescent="0.3">
      <c r="C21" s="33">
        <f>C8-C18</f>
        <v>-684.79000000000087</v>
      </c>
      <c r="D21" s="33">
        <f t="shared" ref="D21:I21" si="10">D8-D18</f>
        <v>-3640.0699999999997</v>
      </c>
      <c r="E21" s="33">
        <f t="shared" si="10"/>
        <v>420.04000000000087</v>
      </c>
      <c r="F21" s="33">
        <f t="shared" si="10"/>
        <v>423.41999999999825</v>
      </c>
      <c r="G21" s="33">
        <f t="shared" si="10"/>
        <v>178.68000000000029</v>
      </c>
      <c r="H21" s="33">
        <f t="shared" si="10"/>
        <v>686.59000000000015</v>
      </c>
      <c r="I21" s="33">
        <f t="shared" si="10"/>
        <v>2077.5600000000013</v>
      </c>
      <c r="J21" s="33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 spans="1:35" x14ac:dyDescent="0.3">
      <c r="A22" t="s">
        <v>253</v>
      </c>
      <c r="C22" s="33">
        <v>-684.79</v>
      </c>
      <c r="D22" s="33">
        <v>-3640.07</v>
      </c>
      <c r="E22" s="33">
        <v>420.04</v>
      </c>
      <c r="F22" s="33">
        <v>423.42</v>
      </c>
      <c r="G22" s="33">
        <v>178.68</v>
      </c>
      <c r="H22" s="33">
        <v>686.59</v>
      </c>
      <c r="I22" s="33">
        <v>2077.56</v>
      </c>
      <c r="L22">
        <f t="shared" ref="L22:R24" si="11">VALUE(C22)</f>
        <v>-684.79</v>
      </c>
      <c r="M22">
        <f t="shared" si="11"/>
        <v>-3640.07</v>
      </c>
      <c r="N22">
        <f t="shared" si="11"/>
        <v>420.04</v>
      </c>
      <c r="O22">
        <f t="shared" si="11"/>
        <v>423.42</v>
      </c>
      <c r="P22">
        <f t="shared" si="11"/>
        <v>178.68</v>
      </c>
      <c r="Q22">
        <f t="shared" si="11"/>
        <v>686.59</v>
      </c>
      <c r="R22">
        <f t="shared" si="11"/>
        <v>2077.56</v>
      </c>
      <c r="Y22" s="30" t="s">
        <v>254</v>
      </c>
      <c r="Z22" s="30" t="s">
        <v>255</v>
      </c>
      <c r="AA22" s="30" t="s">
        <v>256</v>
      </c>
      <c r="AB22" s="30" t="s">
        <v>257</v>
      </c>
      <c r="AC22" s="30" t="s">
        <v>258</v>
      </c>
      <c r="AD22" s="30" t="s">
        <v>259</v>
      </c>
      <c r="AE22" s="30" t="s">
        <v>260</v>
      </c>
      <c r="AF22" s="30" t="s">
        <v>261</v>
      </c>
      <c r="AG22" s="30" t="s">
        <v>262</v>
      </c>
      <c r="AH22" s="30" t="s">
        <v>263</v>
      </c>
      <c r="AI22" s="30" t="s">
        <v>264</v>
      </c>
    </row>
    <row r="23" spans="1:35" x14ac:dyDescent="0.3">
      <c r="A23" t="s">
        <v>265</v>
      </c>
      <c r="C23" s="33">
        <v>0</v>
      </c>
      <c r="D23" s="33">
        <v>0</v>
      </c>
      <c r="E23" s="33">
        <v>0</v>
      </c>
      <c r="F23" s="33">
        <v>0</v>
      </c>
      <c r="G23" s="33">
        <v>0</v>
      </c>
      <c r="H23" s="33">
        <v>0</v>
      </c>
      <c r="I23" s="33">
        <v>0</v>
      </c>
      <c r="L23">
        <f t="shared" si="11"/>
        <v>0</v>
      </c>
      <c r="M23">
        <f t="shared" si="11"/>
        <v>0</v>
      </c>
      <c r="N23">
        <f t="shared" si="11"/>
        <v>0</v>
      </c>
      <c r="O23">
        <f t="shared" si="11"/>
        <v>0</v>
      </c>
      <c r="P23">
        <f t="shared" si="11"/>
        <v>0</v>
      </c>
      <c r="Q23">
        <f t="shared" si="11"/>
        <v>0</v>
      </c>
      <c r="R23">
        <f t="shared" si="11"/>
        <v>0</v>
      </c>
      <c r="Y23" s="30" t="s">
        <v>102</v>
      </c>
      <c r="Z23" s="30" t="s">
        <v>102</v>
      </c>
      <c r="AA23" s="30" t="s">
        <v>102</v>
      </c>
      <c r="AB23" s="30" t="s">
        <v>102</v>
      </c>
      <c r="AC23" s="30" t="s">
        <v>102</v>
      </c>
      <c r="AD23" s="30" t="s">
        <v>102</v>
      </c>
      <c r="AE23" s="30" t="s">
        <v>266</v>
      </c>
      <c r="AF23" s="30" t="s">
        <v>267</v>
      </c>
      <c r="AG23" s="30" t="s">
        <v>268</v>
      </c>
      <c r="AH23" s="30" t="s">
        <v>102</v>
      </c>
      <c r="AI23" s="30" t="s">
        <v>102</v>
      </c>
    </row>
    <row r="24" spans="1:35" x14ac:dyDescent="0.3">
      <c r="A24" t="s">
        <v>269</v>
      </c>
      <c r="C24" s="33">
        <v>-684.79</v>
      </c>
      <c r="D24" s="33">
        <v>-3640.07</v>
      </c>
      <c r="E24" s="33">
        <v>420.04</v>
      </c>
      <c r="F24" s="33">
        <v>423.42</v>
      </c>
      <c r="G24" s="33">
        <v>178.68</v>
      </c>
      <c r="H24" s="33">
        <v>686.59</v>
      </c>
      <c r="I24" s="33">
        <v>2077.56</v>
      </c>
      <c r="L24">
        <f t="shared" si="11"/>
        <v>-684.79</v>
      </c>
      <c r="M24">
        <f t="shared" si="11"/>
        <v>-3640.07</v>
      </c>
      <c r="N24">
        <f t="shared" si="11"/>
        <v>420.04</v>
      </c>
      <c r="O24">
        <f t="shared" si="11"/>
        <v>423.42</v>
      </c>
      <c r="P24">
        <f t="shared" si="11"/>
        <v>178.68</v>
      </c>
      <c r="Q24">
        <f t="shared" si="11"/>
        <v>686.59</v>
      </c>
      <c r="R24">
        <f t="shared" si="11"/>
        <v>2077.56</v>
      </c>
      <c r="Y24" s="30" t="s">
        <v>254</v>
      </c>
      <c r="Z24" s="30" t="s">
        <v>255</v>
      </c>
      <c r="AA24" s="30" t="s">
        <v>256</v>
      </c>
      <c r="AB24" s="30" t="s">
        <v>257</v>
      </c>
      <c r="AC24" s="30" t="s">
        <v>258</v>
      </c>
      <c r="AD24" s="30" t="s">
        <v>259</v>
      </c>
      <c r="AE24" s="30" t="s">
        <v>270</v>
      </c>
      <c r="AF24" s="30" t="s">
        <v>271</v>
      </c>
      <c r="AG24" s="30" t="s">
        <v>272</v>
      </c>
      <c r="AH24" s="30" t="s">
        <v>263</v>
      </c>
      <c r="AI24" s="30" t="s">
        <v>264</v>
      </c>
    </row>
    <row r="25" spans="1:35" x14ac:dyDescent="0.3">
      <c r="A25" t="s">
        <v>273</v>
      </c>
      <c r="C25" s="33"/>
      <c r="D25" s="33"/>
      <c r="E25" s="33"/>
      <c r="F25" s="33"/>
      <c r="G25" s="33"/>
      <c r="H25" s="33"/>
      <c r="I25" s="33"/>
      <c r="Y25" s="30" t="s">
        <v>88</v>
      </c>
      <c r="Z25" s="30" t="s">
        <v>88</v>
      </c>
      <c r="AA25" s="30" t="s">
        <v>88</v>
      </c>
      <c r="AB25" s="30" t="s">
        <v>88</v>
      </c>
      <c r="AC25" s="30" t="s">
        <v>88</v>
      </c>
      <c r="AD25" s="30" t="s">
        <v>88</v>
      </c>
      <c r="AE25" s="30" t="s">
        <v>88</v>
      </c>
      <c r="AF25" s="30" t="s">
        <v>88</v>
      </c>
      <c r="AG25" s="30" t="s">
        <v>88</v>
      </c>
      <c r="AH25" s="30" t="s">
        <v>88</v>
      </c>
      <c r="AI25" s="30" t="s">
        <v>88</v>
      </c>
    </row>
    <row r="26" spans="1:35" x14ac:dyDescent="0.3">
      <c r="A26" t="s">
        <v>274</v>
      </c>
      <c r="C26" s="33">
        <v>1.52</v>
      </c>
      <c r="D26" s="33">
        <v>15.82</v>
      </c>
      <c r="E26" s="33">
        <v>-77.13</v>
      </c>
      <c r="F26" s="33">
        <v>-111.22</v>
      </c>
      <c r="G26" s="33">
        <v>-112.56</v>
      </c>
      <c r="H26" s="33">
        <v>23.16</v>
      </c>
      <c r="I26" s="33">
        <v>538.35</v>
      </c>
      <c r="L26">
        <f t="shared" ref="L26:L35" si="12">VALUE(C26)</f>
        <v>1.52</v>
      </c>
      <c r="M26">
        <f t="shared" ref="M26:M35" si="13">VALUE(D26)</f>
        <v>15.82</v>
      </c>
      <c r="N26">
        <f t="shared" ref="N26:N35" si="14">VALUE(E26)</f>
        <v>-77.13</v>
      </c>
      <c r="O26">
        <f t="shared" ref="O26:O35" si="15">VALUE(F26)</f>
        <v>-111.22</v>
      </c>
      <c r="P26">
        <f t="shared" ref="P26:P35" si="16">VALUE(G26)</f>
        <v>-112.56</v>
      </c>
      <c r="Q26">
        <f t="shared" ref="Q26:Q35" si="17">VALUE(H26)</f>
        <v>23.16</v>
      </c>
      <c r="R26">
        <f t="shared" ref="R26:R35" si="18">VALUE(I26)</f>
        <v>538.35</v>
      </c>
      <c r="Y26" s="30" t="s">
        <v>275</v>
      </c>
      <c r="Z26" s="30" t="s">
        <v>276</v>
      </c>
      <c r="AA26" s="30" t="s">
        <v>277</v>
      </c>
      <c r="AB26" s="30" t="s">
        <v>278</v>
      </c>
      <c r="AC26" s="30" t="s">
        <v>279</v>
      </c>
      <c r="AD26" s="30" t="s">
        <v>280</v>
      </c>
      <c r="AE26" s="30" t="s">
        <v>281</v>
      </c>
      <c r="AF26" s="30" t="s">
        <v>282</v>
      </c>
      <c r="AG26" s="30" t="s">
        <v>283</v>
      </c>
      <c r="AH26" s="30" t="s">
        <v>284</v>
      </c>
      <c r="AI26" s="30" t="s">
        <v>285</v>
      </c>
    </row>
    <row r="27" spans="1:35" x14ac:dyDescent="0.3">
      <c r="A27" t="s">
        <v>286</v>
      </c>
      <c r="C27" s="33">
        <v>0</v>
      </c>
      <c r="D27" s="33">
        <v>0</v>
      </c>
      <c r="E27" s="33">
        <v>0</v>
      </c>
      <c r="F27" s="33">
        <v>0</v>
      </c>
      <c r="G27" s="33">
        <v>0</v>
      </c>
      <c r="H27" s="33">
        <v>0</v>
      </c>
      <c r="I27" s="33">
        <v>0</v>
      </c>
      <c r="L27">
        <f t="shared" si="12"/>
        <v>0</v>
      </c>
      <c r="M27">
        <f t="shared" si="13"/>
        <v>0</v>
      </c>
      <c r="N27">
        <f t="shared" si="14"/>
        <v>0</v>
      </c>
      <c r="O27">
        <f t="shared" si="15"/>
        <v>0</v>
      </c>
      <c r="P27">
        <f t="shared" si="16"/>
        <v>0</v>
      </c>
      <c r="Q27">
        <f t="shared" si="17"/>
        <v>0</v>
      </c>
      <c r="R27">
        <f t="shared" si="18"/>
        <v>0</v>
      </c>
      <c r="Y27" s="30" t="s">
        <v>102</v>
      </c>
      <c r="Z27" s="30" t="s">
        <v>102</v>
      </c>
      <c r="AA27" s="30" t="s">
        <v>102</v>
      </c>
      <c r="AB27" s="30" t="s">
        <v>102</v>
      </c>
      <c r="AC27" s="30" t="s">
        <v>102</v>
      </c>
      <c r="AD27" s="30" t="s">
        <v>102</v>
      </c>
      <c r="AE27" s="30" t="s">
        <v>102</v>
      </c>
      <c r="AF27" s="30" t="s">
        <v>102</v>
      </c>
      <c r="AG27" s="30" t="s">
        <v>102</v>
      </c>
      <c r="AH27" s="30" t="s">
        <v>102</v>
      </c>
      <c r="AI27" s="30" t="s">
        <v>102</v>
      </c>
    </row>
    <row r="28" spans="1:35" x14ac:dyDescent="0.3">
      <c r="A28" t="s">
        <v>287</v>
      </c>
      <c r="C28" s="33">
        <v>807.76</v>
      </c>
      <c r="D28" s="33">
        <v>-912.05</v>
      </c>
      <c r="E28" s="33">
        <v>102.88</v>
      </c>
      <c r="F28" s="33">
        <v>113.27</v>
      </c>
      <c r="G28" s="33">
        <v>73</v>
      </c>
      <c r="H28" s="33">
        <v>188.54</v>
      </c>
      <c r="I28" s="33">
        <v>0</v>
      </c>
      <c r="L28">
        <f t="shared" si="12"/>
        <v>807.76</v>
      </c>
      <c r="M28">
        <f t="shared" si="13"/>
        <v>-912.05</v>
      </c>
      <c r="N28">
        <f t="shared" si="14"/>
        <v>102.88</v>
      </c>
      <c r="O28">
        <f t="shared" si="15"/>
        <v>113.27</v>
      </c>
      <c r="P28">
        <f t="shared" si="16"/>
        <v>73</v>
      </c>
      <c r="Q28">
        <f t="shared" si="17"/>
        <v>188.54</v>
      </c>
      <c r="R28">
        <f t="shared" si="18"/>
        <v>0</v>
      </c>
      <c r="Y28" s="30" t="s">
        <v>288</v>
      </c>
      <c r="Z28" s="30" t="s">
        <v>289</v>
      </c>
      <c r="AA28" s="30" t="s">
        <v>290</v>
      </c>
      <c r="AB28" s="30" t="s">
        <v>291</v>
      </c>
      <c r="AC28" s="30" t="s">
        <v>292</v>
      </c>
      <c r="AD28" s="30" t="s">
        <v>293</v>
      </c>
      <c r="AE28" s="30" t="s">
        <v>294</v>
      </c>
      <c r="AF28" s="30" t="s">
        <v>295</v>
      </c>
      <c r="AG28" s="30" t="s">
        <v>296</v>
      </c>
      <c r="AH28" s="30" t="s">
        <v>297</v>
      </c>
      <c r="AI28" s="30" t="s">
        <v>298</v>
      </c>
    </row>
    <row r="29" spans="1:35" x14ac:dyDescent="0.3">
      <c r="A29" t="s">
        <v>299</v>
      </c>
      <c r="C29" s="33">
        <v>0</v>
      </c>
      <c r="D29" s="33">
        <v>0</v>
      </c>
      <c r="E29" s="33">
        <v>0</v>
      </c>
      <c r="F29" s="33">
        <v>0</v>
      </c>
      <c r="G29" s="33">
        <v>0</v>
      </c>
      <c r="H29" s="33">
        <v>0</v>
      </c>
      <c r="I29" s="33">
        <v>0</v>
      </c>
      <c r="L29">
        <f t="shared" si="12"/>
        <v>0</v>
      </c>
      <c r="M29">
        <f t="shared" si="13"/>
        <v>0</v>
      </c>
      <c r="N29">
        <f t="shared" si="14"/>
        <v>0</v>
      </c>
      <c r="O29">
        <f t="shared" si="15"/>
        <v>0</v>
      </c>
      <c r="P29">
        <f t="shared" si="16"/>
        <v>0</v>
      </c>
      <c r="Q29">
        <f t="shared" si="17"/>
        <v>0</v>
      </c>
      <c r="R29">
        <f t="shared" si="18"/>
        <v>0</v>
      </c>
      <c r="Y29" s="30" t="s">
        <v>102</v>
      </c>
      <c r="Z29" s="30" t="s">
        <v>102</v>
      </c>
      <c r="AA29" s="30" t="s">
        <v>102</v>
      </c>
      <c r="AB29" s="30" t="s">
        <v>102</v>
      </c>
      <c r="AC29" s="30" t="s">
        <v>102</v>
      </c>
      <c r="AD29" s="30" t="s">
        <v>102</v>
      </c>
      <c r="AE29" s="30" t="s">
        <v>102</v>
      </c>
      <c r="AF29" s="30" t="s">
        <v>102</v>
      </c>
      <c r="AG29" s="30" t="s">
        <v>102</v>
      </c>
      <c r="AH29" s="30" t="s">
        <v>300</v>
      </c>
      <c r="AI29" s="30" t="s">
        <v>301</v>
      </c>
    </row>
    <row r="30" spans="1:35" x14ac:dyDescent="0.3">
      <c r="A30" t="s">
        <v>302</v>
      </c>
      <c r="C30" s="33">
        <v>809.28</v>
      </c>
      <c r="D30" s="33">
        <v>-896.23</v>
      </c>
      <c r="E30" s="33">
        <v>25.75</v>
      </c>
      <c r="F30" s="33">
        <v>2.0499999999999998</v>
      </c>
      <c r="G30" s="33">
        <v>-39.56</v>
      </c>
      <c r="H30" s="33">
        <v>211.7</v>
      </c>
      <c r="I30" s="33">
        <v>538.35</v>
      </c>
      <c r="L30">
        <f t="shared" si="12"/>
        <v>809.28</v>
      </c>
      <c r="M30">
        <f t="shared" si="13"/>
        <v>-896.23</v>
      </c>
      <c r="N30">
        <f t="shared" si="14"/>
        <v>25.75</v>
      </c>
      <c r="O30">
        <f t="shared" si="15"/>
        <v>2.0499999999999998</v>
      </c>
      <c r="P30">
        <f t="shared" si="16"/>
        <v>-39.56</v>
      </c>
      <c r="Q30">
        <f t="shared" si="17"/>
        <v>211.7</v>
      </c>
      <c r="R30">
        <f t="shared" si="18"/>
        <v>538.35</v>
      </c>
      <c r="Y30" s="30" t="s">
        <v>303</v>
      </c>
      <c r="Z30" s="30" t="s">
        <v>304</v>
      </c>
      <c r="AA30" s="30" t="s">
        <v>305</v>
      </c>
      <c r="AB30" s="30" t="s">
        <v>306</v>
      </c>
      <c r="AC30" s="30" t="s">
        <v>307</v>
      </c>
      <c r="AD30" s="30" t="s">
        <v>308</v>
      </c>
      <c r="AE30" s="30" t="s">
        <v>309</v>
      </c>
      <c r="AF30" s="30" t="s">
        <v>310</v>
      </c>
      <c r="AG30" s="30" t="s">
        <v>311</v>
      </c>
      <c r="AH30" s="30" t="s">
        <v>312</v>
      </c>
      <c r="AI30" s="30" t="s">
        <v>313</v>
      </c>
    </row>
    <row r="31" spans="1:35" x14ac:dyDescent="0.3">
      <c r="A31" t="s">
        <v>314</v>
      </c>
      <c r="C31" s="33">
        <v>-1494.07</v>
      </c>
      <c r="D31" s="33">
        <v>-2743.84</v>
      </c>
      <c r="E31" s="33">
        <v>394.29</v>
      </c>
      <c r="F31" s="33">
        <v>421.37</v>
      </c>
      <c r="G31" s="33">
        <v>218.24</v>
      </c>
      <c r="H31" s="33">
        <v>474.89</v>
      </c>
      <c r="I31" s="33">
        <v>1539.21</v>
      </c>
      <c r="L31">
        <f t="shared" si="12"/>
        <v>-1494.07</v>
      </c>
      <c r="M31">
        <f t="shared" si="13"/>
        <v>-2743.84</v>
      </c>
      <c r="N31">
        <f t="shared" si="14"/>
        <v>394.29</v>
      </c>
      <c r="O31">
        <f t="shared" si="15"/>
        <v>421.37</v>
      </c>
      <c r="P31">
        <f t="shared" si="16"/>
        <v>218.24</v>
      </c>
      <c r="Q31">
        <f t="shared" si="17"/>
        <v>474.89</v>
      </c>
      <c r="R31">
        <f t="shared" si="18"/>
        <v>1539.21</v>
      </c>
      <c r="Y31" s="30" t="s">
        <v>315</v>
      </c>
      <c r="Z31" s="30" t="s">
        <v>316</v>
      </c>
      <c r="AA31" s="30" t="s">
        <v>317</v>
      </c>
      <c r="AB31" s="30" t="s">
        <v>318</v>
      </c>
      <c r="AC31" s="30" t="s">
        <v>319</v>
      </c>
      <c r="AD31" s="30" t="s">
        <v>320</v>
      </c>
      <c r="AE31" s="30" t="s">
        <v>321</v>
      </c>
      <c r="AF31" s="30" t="s">
        <v>322</v>
      </c>
      <c r="AG31" s="30" t="s">
        <v>323</v>
      </c>
      <c r="AH31" s="30" t="s">
        <v>324</v>
      </c>
      <c r="AI31" s="30" t="s">
        <v>325</v>
      </c>
    </row>
    <row r="32" spans="1:35" x14ac:dyDescent="0.3">
      <c r="A32" t="s">
        <v>326</v>
      </c>
      <c r="C32" s="33">
        <v>-1494.07</v>
      </c>
      <c r="D32" s="33">
        <v>-2743.84</v>
      </c>
      <c r="E32" s="33">
        <v>394.29</v>
      </c>
      <c r="F32" s="33">
        <v>421.37</v>
      </c>
      <c r="G32" s="33">
        <v>218.24</v>
      </c>
      <c r="H32" s="33">
        <v>474.89</v>
      </c>
      <c r="I32" s="33">
        <v>1539.21</v>
      </c>
      <c r="L32">
        <f t="shared" si="12"/>
        <v>-1494.07</v>
      </c>
      <c r="M32">
        <f t="shared" si="13"/>
        <v>-2743.84</v>
      </c>
      <c r="N32">
        <f t="shared" si="14"/>
        <v>394.29</v>
      </c>
      <c r="O32">
        <f t="shared" si="15"/>
        <v>421.37</v>
      </c>
      <c r="P32">
        <f t="shared" si="16"/>
        <v>218.24</v>
      </c>
      <c r="Q32">
        <f t="shared" si="17"/>
        <v>474.89</v>
      </c>
      <c r="R32">
        <f t="shared" si="18"/>
        <v>1539.21</v>
      </c>
      <c r="Y32" s="30" t="s">
        <v>315</v>
      </c>
      <c r="Z32" s="30" t="s">
        <v>316</v>
      </c>
      <c r="AA32" s="30" t="s">
        <v>317</v>
      </c>
      <c r="AB32" s="30" t="s">
        <v>318</v>
      </c>
      <c r="AC32" s="30" t="s">
        <v>327</v>
      </c>
      <c r="AD32" s="30" t="s">
        <v>328</v>
      </c>
      <c r="AE32" s="30" t="s">
        <v>329</v>
      </c>
      <c r="AF32" s="30" t="s">
        <v>330</v>
      </c>
      <c r="AG32" s="30" t="s">
        <v>331</v>
      </c>
      <c r="AH32" s="30" t="s">
        <v>332</v>
      </c>
      <c r="AI32" s="30" t="s">
        <v>333</v>
      </c>
    </row>
    <row r="33" spans="1:35" x14ac:dyDescent="0.3">
      <c r="A33" t="s">
        <v>334</v>
      </c>
      <c r="C33" s="33">
        <v>-1494.07</v>
      </c>
      <c r="D33" s="33">
        <v>-2743.84</v>
      </c>
      <c r="E33" s="33">
        <v>394.29</v>
      </c>
      <c r="F33" s="33">
        <v>421.37</v>
      </c>
      <c r="G33" s="33">
        <v>218.24</v>
      </c>
      <c r="H33" s="33">
        <v>474.89</v>
      </c>
      <c r="I33" s="33">
        <v>1539.21</v>
      </c>
      <c r="L33">
        <f t="shared" si="12"/>
        <v>-1494.07</v>
      </c>
      <c r="M33">
        <f t="shared" si="13"/>
        <v>-2743.84</v>
      </c>
      <c r="N33">
        <f t="shared" si="14"/>
        <v>394.29</v>
      </c>
      <c r="O33">
        <f t="shared" si="15"/>
        <v>421.37</v>
      </c>
      <c r="P33">
        <f t="shared" si="16"/>
        <v>218.24</v>
      </c>
      <c r="Q33">
        <f t="shared" si="17"/>
        <v>474.89</v>
      </c>
      <c r="R33">
        <f t="shared" si="18"/>
        <v>1539.21</v>
      </c>
      <c r="Y33" s="30" t="s">
        <v>315</v>
      </c>
      <c r="Z33" s="30" t="s">
        <v>316</v>
      </c>
      <c r="AA33" s="30" t="s">
        <v>317</v>
      </c>
      <c r="AB33" s="30" t="s">
        <v>318</v>
      </c>
      <c r="AC33" s="30" t="s">
        <v>327</v>
      </c>
      <c r="AD33" s="30" t="s">
        <v>328</v>
      </c>
      <c r="AE33" s="30" t="s">
        <v>329</v>
      </c>
      <c r="AF33" s="30" t="s">
        <v>330</v>
      </c>
      <c r="AG33" s="30" t="s">
        <v>331</v>
      </c>
      <c r="AH33" s="30" t="s">
        <v>332</v>
      </c>
      <c r="AI33" s="30" t="s">
        <v>333</v>
      </c>
    </row>
    <row r="34" spans="1:35" x14ac:dyDescent="0.3">
      <c r="A34" t="s">
        <v>335</v>
      </c>
      <c r="C34" s="33">
        <v>2.34</v>
      </c>
      <c r="D34" s="33">
        <v>2.59</v>
      </c>
      <c r="E34" s="33">
        <v>1.32</v>
      </c>
      <c r="F34" s="33">
        <v>0</v>
      </c>
      <c r="G34" s="33">
        <v>0</v>
      </c>
      <c r="H34" s="33">
        <v>0</v>
      </c>
      <c r="I34" s="33">
        <v>0</v>
      </c>
      <c r="L34">
        <f t="shared" si="12"/>
        <v>2.34</v>
      </c>
      <c r="M34">
        <f t="shared" si="13"/>
        <v>2.59</v>
      </c>
      <c r="N34">
        <f t="shared" si="14"/>
        <v>1.32</v>
      </c>
      <c r="O34">
        <f t="shared" si="15"/>
        <v>0</v>
      </c>
      <c r="P34">
        <f t="shared" si="16"/>
        <v>0</v>
      </c>
      <c r="Q34">
        <f t="shared" si="17"/>
        <v>0</v>
      </c>
      <c r="R34">
        <f t="shared" si="18"/>
        <v>0</v>
      </c>
      <c r="Y34" s="30" t="s">
        <v>336</v>
      </c>
      <c r="Z34" s="30" t="s">
        <v>337</v>
      </c>
      <c r="AA34" s="30" t="s">
        <v>338</v>
      </c>
      <c r="AB34" s="30" t="s">
        <v>339</v>
      </c>
      <c r="AC34" s="30" t="s">
        <v>340</v>
      </c>
      <c r="AD34" s="30" t="s">
        <v>341</v>
      </c>
      <c r="AE34" s="30" t="s">
        <v>342</v>
      </c>
      <c r="AF34" s="30" t="s">
        <v>343</v>
      </c>
      <c r="AG34" s="30" t="s">
        <v>102</v>
      </c>
      <c r="AH34" s="30" t="s">
        <v>102</v>
      </c>
      <c r="AI34" s="30" t="s">
        <v>102</v>
      </c>
    </row>
    <row r="35" spans="1:35" x14ac:dyDescent="0.3">
      <c r="A35" t="s">
        <v>344</v>
      </c>
      <c r="C35" s="33">
        <v>-1466.01</v>
      </c>
      <c r="D35" s="33">
        <v>-2697.11</v>
      </c>
      <c r="E35" s="33">
        <v>446.03</v>
      </c>
      <c r="F35" s="33">
        <v>477.39</v>
      </c>
      <c r="G35" s="33">
        <v>282.22000000000003</v>
      </c>
      <c r="H35" s="33">
        <v>533.9</v>
      </c>
      <c r="I35" s="33">
        <v>1600.26</v>
      </c>
      <c r="L35">
        <f t="shared" si="12"/>
        <v>-1466.01</v>
      </c>
      <c r="M35">
        <f t="shared" si="13"/>
        <v>-2697.11</v>
      </c>
      <c r="N35">
        <f t="shared" si="14"/>
        <v>446.03</v>
      </c>
      <c r="O35">
        <f t="shared" si="15"/>
        <v>477.39</v>
      </c>
      <c r="P35">
        <f t="shared" si="16"/>
        <v>282.22000000000003</v>
      </c>
      <c r="Q35">
        <f t="shared" si="17"/>
        <v>533.9</v>
      </c>
      <c r="R35">
        <f t="shared" si="18"/>
        <v>1600.26</v>
      </c>
      <c r="Y35" s="30" t="s">
        <v>345</v>
      </c>
      <c r="Z35" s="30" t="s">
        <v>346</v>
      </c>
      <c r="AA35" s="30" t="s">
        <v>347</v>
      </c>
      <c r="AB35" s="30" t="s">
        <v>348</v>
      </c>
      <c r="AC35" s="30" t="s">
        <v>349</v>
      </c>
      <c r="AD35" s="30" t="s">
        <v>350</v>
      </c>
      <c r="AE35" s="30" t="s">
        <v>351</v>
      </c>
      <c r="AF35" s="30" t="s">
        <v>352</v>
      </c>
      <c r="AG35" s="30" t="s">
        <v>331</v>
      </c>
      <c r="AH35" s="30" t="s">
        <v>332</v>
      </c>
      <c r="AI35" s="30" t="s">
        <v>333</v>
      </c>
    </row>
    <row r="36" spans="1:35" x14ac:dyDescent="0.3">
      <c r="A36" t="s">
        <v>353</v>
      </c>
      <c r="C36" s="33"/>
      <c r="D36" s="33"/>
      <c r="E36" s="33"/>
      <c r="F36" s="33"/>
      <c r="G36" s="33"/>
      <c r="H36" s="33"/>
      <c r="I36" s="33"/>
      <c r="Y36" s="30" t="s">
        <v>88</v>
      </c>
      <c r="Z36" s="30" t="s">
        <v>88</v>
      </c>
      <c r="AA36" s="30" t="s">
        <v>88</v>
      </c>
      <c r="AB36" s="30" t="s">
        <v>88</v>
      </c>
      <c r="AC36" s="30" t="s">
        <v>88</v>
      </c>
      <c r="AD36" s="30" t="s">
        <v>88</v>
      </c>
      <c r="AE36" s="30" t="s">
        <v>88</v>
      </c>
      <c r="AF36" s="30" t="s">
        <v>88</v>
      </c>
      <c r="AG36" s="30" t="s">
        <v>88</v>
      </c>
      <c r="AH36" s="30" t="s">
        <v>88</v>
      </c>
      <c r="AI36" s="30" t="s">
        <v>88</v>
      </c>
    </row>
    <row r="37" spans="1:35" x14ac:dyDescent="0.3">
      <c r="A37" t="s">
        <v>354</v>
      </c>
      <c r="C37" s="33"/>
      <c r="D37" s="33"/>
      <c r="E37" s="33"/>
      <c r="F37" s="33"/>
      <c r="G37" s="33"/>
      <c r="H37" s="33"/>
      <c r="I37" s="33"/>
      <c r="Y37" s="30" t="s">
        <v>88</v>
      </c>
      <c r="Z37" s="30" t="s">
        <v>88</v>
      </c>
      <c r="AA37" s="30" t="s">
        <v>88</v>
      </c>
      <c r="AB37" s="30" t="s">
        <v>88</v>
      </c>
      <c r="AC37" s="30" t="s">
        <v>88</v>
      </c>
      <c r="AD37" s="30" t="s">
        <v>88</v>
      </c>
      <c r="AE37" s="30" t="s">
        <v>88</v>
      </c>
      <c r="AF37" s="30" t="s">
        <v>88</v>
      </c>
      <c r="AG37" s="30" t="s">
        <v>88</v>
      </c>
      <c r="AH37" s="30" t="s">
        <v>88</v>
      </c>
      <c r="AI37" s="30" t="s">
        <v>88</v>
      </c>
    </row>
    <row r="38" spans="1:35" x14ac:dyDescent="0.3">
      <c r="A38" t="s">
        <v>355</v>
      </c>
      <c r="C38" s="33">
        <v>-4</v>
      </c>
      <c r="D38" s="33">
        <v>-8</v>
      </c>
      <c r="E38" s="33">
        <v>1</v>
      </c>
      <c r="F38" s="33">
        <v>1</v>
      </c>
      <c r="G38" s="33">
        <v>1</v>
      </c>
      <c r="H38" s="33">
        <v>2</v>
      </c>
      <c r="I38" s="33">
        <v>5</v>
      </c>
      <c r="L38">
        <f t="shared" ref="L38:R39" si="19">VALUE(C38)</f>
        <v>-4</v>
      </c>
      <c r="M38">
        <f t="shared" si="19"/>
        <v>-8</v>
      </c>
      <c r="N38">
        <f t="shared" si="19"/>
        <v>1</v>
      </c>
      <c r="O38">
        <f t="shared" si="19"/>
        <v>1</v>
      </c>
      <c r="P38">
        <f t="shared" si="19"/>
        <v>1</v>
      </c>
      <c r="Q38">
        <f t="shared" si="19"/>
        <v>2</v>
      </c>
      <c r="R38">
        <f t="shared" si="19"/>
        <v>5</v>
      </c>
      <c r="Y38" s="30" t="s">
        <v>357</v>
      </c>
      <c r="Z38" s="30" t="s">
        <v>356</v>
      </c>
      <c r="AA38" s="30" t="s">
        <v>356</v>
      </c>
      <c r="AB38" s="30" t="s">
        <v>358</v>
      </c>
      <c r="AC38" s="30" t="s">
        <v>359</v>
      </c>
      <c r="AD38" s="30" t="s">
        <v>360</v>
      </c>
      <c r="AE38" s="30" t="s">
        <v>361</v>
      </c>
      <c r="AF38" s="30" t="s">
        <v>362</v>
      </c>
      <c r="AG38" s="30" t="s">
        <v>363</v>
      </c>
      <c r="AH38" s="30" t="s">
        <v>364</v>
      </c>
      <c r="AI38" s="30" t="s">
        <v>365</v>
      </c>
    </row>
    <row r="39" spans="1:35" x14ac:dyDescent="0.3">
      <c r="A39" t="s">
        <v>366</v>
      </c>
      <c r="C39" s="33">
        <v>-4</v>
      </c>
      <c r="D39" s="33">
        <v>-8</v>
      </c>
      <c r="E39" s="33">
        <v>1</v>
      </c>
      <c r="F39" s="33">
        <v>1</v>
      </c>
      <c r="G39" s="33">
        <v>1</v>
      </c>
      <c r="H39" s="33">
        <v>2</v>
      </c>
      <c r="I39" s="33">
        <v>5</v>
      </c>
      <c r="L39">
        <f t="shared" si="19"/>
        <v>-4</v>
      </c>
      <c r="M39">
        <f t="shared" si="19"/>
        <v>-8</v>
      </c>
      <c r="N39">
        <f t="shared" si="19"/>
        <v>1</v>
      </c>
      <c r="O39">
        <f t="shared" si="19"/>
        <v>1</v>
      </c>
      <c r="P39">
        <f t="shared" si="19"/>
        <v>1</v>
      </c>
      <c r="Q39">
        <f t="shared" si="19"/>
        <v>2</v>
      </c>
      <c r="R39">
        <f t="shared" si="19"/>
        <v>5</v>
      </c>
      <c r="Y39" s="30" t="s">
        <v>357</v>
      </c>
      <c r="Z39" s="30" t="s">
        <v>356</v>
      </c>
      <c r="AA39" s="30" t="s">
        <v>356</v>
      </c>
      <c r="AB39" s="30" t="s">
        <v>358</v>
      </c>
      <c r="AC39" s="30" t="s">
        <v>359</v>
      </c>
      <c r="AD39" s="30" t="s">
        <v>360</v>
      </c>
      <c r="AE39" s="30" t="s">
        <v>361</v>
      </c>
      <c r="AF39" s="30" t="s">
        <v>362</v>
      </c>
      <c r="AG39" s="30" t="s">
        <v>363</v>
      </c>
      <c r="AH39" s="30" t="s">
        <v>364</v>
      </c>
      <c r="AI39" s="30" t="s">
        <v>365</v>
      </c>
    </row>
    <row r="40" spans="1:35" x14ac:dyDescent="0.3">
      <c r="A40" t="s">
        <v>367</v>
      </c>
      <c r="C40" s="33"/>
      <c r="D40" s="33"/>
      <c r="E40" s="33"/>
      <c r="F40" s="33"/>
      <c r="G40" s="33"/>
      <c r="H40" s="33"/>
      <c r="I40" s="33"/>
      <c r="Y40" s="30" t="s">
        <v>88</v>
      </c>
      <c r="Z40" s="30" t="s">
        <v>88</v>
      </c>
      <c r="AA40" s="30" t="s">
        <v>88</v>
      </c>
      <c r="AB40" s="30" t="s">
        <v>88</v>
      </c>
      <c r="AC40" s="30" t="s">
        <v>88</v>
      </c>
      <c r="AD40" s="30" t="s">
        <v>88</v>
      </c>
      <c r="AE40" s="30" t="s">
        <v>88</v>
      </c>
      <c r="AF40" s="30" t="s">
        <v>88</v>
      </c>
      <c r="AG40" s="30" t="s">
        <v>88</v>
      </c>
      <c r="AH40" s="30" t="s">
        <v>88</v>
      </c>
      <c r="AI40" s="30" t="s">
        <v>88</v>
      </c>
    </row>
    <row r="41" spans="1:35" x14ac:dyDescent="0.3">
      <c r="A41" t="s">
        <v>368</v>
      </c>
      <c r="C41" s="33">
        <v>0</v>
      </c>
      <c r="D41" s="33">
        <v>0</v>
      </c>
      <c r="E41" s="33">
        <v>0</v>
      </c>
      <c r="F41" s="33">
        <v>139.28</v>
      </c>
      <c r="G41" s="33">
        <v>139.28</v>
      </c>
      <c r="H41" s="33">
        <v>87.05</v>
      </c>
      <c r="I41" s="33">
        <v>0</v>
      </c>
      <c r="L41">
        <f t="shared" ref="L41:R42" si="20">VALUE(C41)</f>
        <v>0</v>
      </c>
      <c r="M41">
        <f t="shared" si="20"/>
        <v>0</v>
      </c>
      <c r="N41">
        <f t="shared" si="20"/>
        <v>0</v>
      </c>
      <c r="O41">
        <f t="shared" si="20"/>
        <v>139.28</v>
      </c>
      <c r="P41">
        <f t="shared" si="20"/>
        <v>139.28</v>
      </c>
      <c r="Q41">
        <f t="shared" si="20"/>
        <v>87.05</v>
      </c>
      <c r="R41">
        <f t="shared" si="20"/>
        <v>0</v>
      </c>
      <c r="Y41" s="30" t="s">
        <v>369</v>
      </c>
      <c r="Z41" s="30" t="s">
        <v>370</v>
      </c>
      <c r="AA41" s="30" t="s">
        <v>371</v>
      </c>
      <c r="AB41" s="30" t="s">
        <v>372</v>
      </c>
      <c r="AC41" s="30" t="s">
        <v>373</v>
      </c>
      <c r="AD41" s="30" t="s">
        <v>374</v>
      </c>
      <c r="AE41" s="30" t="s">
        <v>375</v>
      </c>
      <c r="AF41" s="30" t="s">
        <v>376</v>
      </c>
      <c r="AG41" s="30" t="s">
        <v>377</v>
      </c>
      <c r="AH41" s="30" t="s">
        <v>378</v>
      </c>
      <c r="AI41" s="30" t="s">
        <v>379</v>
      </c>
    </row>
    <row r="42" spans="1:35" x14ac:dyDescent="0.3">
      <c r="A42" t="s">
        <v>380</v>
      </c>
      <c r="C42" s="33">
        <v>0</v>
      </c>
      <c r="D42" s="33">
        <v>0</v>
      </c>
      <c r="E42" s="33">
        <v>0</v>
      </c>
      <c r="F42" s="33">
        <v>0</v>
      </c>
      <c r="G42" s="33">
        <v>0</v>
      </c>
      <c r="H42" s="33">
        <v>0</v>
      </c>
      <c r="I42" s="33">
        <v>0</v>
      </c>
      <c r="L42">
        <f t="shared" si="20"/>
        <v>0</v>
      </c>
      <c r="M42">
        <f t="shared" si="20"/>
        <v>0</v>
      </c>
      <c r="N42">
        <f t="shared" si="20"/>
        <v>0</v>
      </c>
      <c r="O42">
        <f t="shared" si="20"/>
        <v>0</v>
      </c>
      <c r="P42">
        <f t="shared" si="20"/>
        <v>0</v>
      </c>
      <c r="Q42">
        <f t="shared" si="20"/>
        <v>0</v>
      </c>
      <c r="R42">
        <f t="shared" si="20"/>
        <v>0</v>
      </c>
      <c r="Y42" s="30" t="s">
        <v>381</v>
      </c>
      <c r="Z42" s="30" t="s">
        <v>382</v>
      </c>
      <c r="AA42" s="30" t="s">
        <v>383</v>
      </c>
      <c r="AB42" s="30" t="s">
        <v>384</v>
      </c>
      <c r="AC42" s="30" t="s">
        <v>385</v>
      </c>
      <c r="AD42" s="30" t="s">
        <v>386</v>
      </c>
      <c r="AE42" s="30" t="s">
        <v>387</v>
      </c>
      <c r="AF42" s="30" t="s">
        <v>388</v>
      </c>
      <c r="AG42" s="30" t="s">
        <v>389</v>
      </c>
      <c r="AH42" s="30" t="s">
        <v>390</v>
      </c>
      <c r="AI42" s="30" t="s">
        <v>391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F0E6-D777-4F9B-821C-01C1EE42764C}">
  <dimension ref="A1:T35"/>
  <sheetViews>
    <sheetView showGridLines="0" zoomScale="92" workbookViewId="0">
      <selection activeCell="Q2" sqref="Q2"/>
    </sheetView>
  </sheetViews>
  <sheetFormatPr defaultRowHeight="14.4" x14ac:dyDescent="0.3"/>
  <cols>
    <col min="1" max="1" width="2.77734375" customWidth="1"/>
    <col min="2" max="2" width="50.77734375" customWidth="1"/>
    <col min="3" max="13" width="10.77734375" customWidth="1"/>
    <col min="14" max="14" width="9.6640625" bestFit="1" customWidth="1"/>
    <col min="15" max="17" width="10.21875" bestFit="1" customWidth="1"/>
  </cols>
  <sheetData>
    <row r="1" spans="1:20" ht="16.05" customHeight="1" x14ac:dyDescent="0.3">
      <c r="B1" s="1"/>
    </row>
    <row r="2" spans="1:20" ht="21" x14ac:dyDescent="0.4">
      <c r="B2" s="2" t="s">
        <v>0</v>
      </c>
      <c r="Q2" s="3"/>
    </row>
    <row r="4" spans="1:20" ht="19.95" customHeight="1" x14ac:dyDescent="0.3">
      <c r="A4" t="s">
        <v>1</v>
      </c>
      <c r="B4" s="4" t="s">
        <v>2</v>
      </c>
      <c r="C4" s="5">
        <v>2020</v>
      </c>
      <c r="D4" s="5">
        <f t="shared" ref="D4:Q4" si="0">C4+1</f>
        <v>2021</v>
      </c>
      <c r="E4" s="5">
        <f t="shared" si="0"/>
        <v>2022</v>
      </c>
      <c r="F4" s="5">
        <f t="shared" si="0"/>
        <v>2023</v>
      </c>
      <c r="G4" s="5">
        <f t="shared" si="0"/>
        <v>2024</v>
      </c>
      <c r="H4" s="5">
        <f t="shared" si="0"/>
        <v>2025</v>
      </c>
      <c r="I4" s="5">
        <f t="shared" si="0"/>
        <v>2026</v>
      </c>
      <c r="J4" s="6">
        <f t="shared" si="0"/>
        <v>2027</v>
      </c>
      <c r="K4" s="6">
        <f t="shared" si="0"/>
        <v>2028</v>
      </c>
      <c r="L4" s="6">
        <f t="shared" si="0"/>
        <v>2029</v>
      </c>
      <c r="M4" s="6">
        <f t="shared" si="0"/>
        <v>2030</v>
      </c>
      <c r="N4" s="6">
        <f t="shared" si="0"/>
        <v>2031</v>
      </c>
      <c r="O4" s="6">
        <f t="shared" si="0"/>
        <v>2032</v>
      </c>
      <c r="P4" s="6">
        <f t="shared" si="0"/>
        <v>2033</v>
      </c>
      <c r="Q4" s="6">
        <f t="shared" si="0"/>
        <v>2034</v>
      </c>
    </row>
    <row r="5" spans="1:20" s="4" customFormat="1" ht="18" customHeight="1" x14ac:dyDescent="0.3">
      <c r="B5" s="4" t="s">
        <v>3</v>
      </c>
      <c r="C5" s="35">
        <v>21463.14</v>
      </c>
      <c r="D5" s="35">
        <v>17308.689999999999</v>
      </c>
      <c r="E5" s="35">
        <v>21211.09</v>
      </c>
      <c r="F5" s="35">
        <v>23364.94</v>
      </c>
      <c r="G5" s="35">
        <v>23892.78</v>
      </c>
      <c r="H5" s="35">
        <v>28339.48</v>
      </c>
      <c r="I5" s="35">
        <v>33782.18</v>
      </c>
      <c r="J5" s="7"/>
      <c r="K5" s="7"/>
      <c r="L5" s="7"/>
      <c r="M5" s="7"/>
      <c r="N5" s="7"/>
      <c r="O5" s="7"/>
      <c r="P5" s="7"/>
      <c r="Q5" s="7"/>
    </row>
    <row r="6" spans="1:20" s="4" customFormat="1" ht="18" customHeight="1" x14ac:dyDescent="0.3">
      <c r="B6" s="8" t="s">
        <v>4</v>
      </c>
      <c r="C6" s="36">
        <v>-14720.839999999998</v>
      </c>
      <c r="D6" s="36">
        <v>-12373.6</v>
      </c>
      <c r="E6" s="36">
        <v>-15374.63</v>
      </c>
      <c r="F6" s="36">
        <v>-16971.79</v>
      </c>
      <c r="G6" s="36">
        <v>-17472.260000000002</v>
      </c>
      <c r="H6" s="36">
        <v>-19599.52</v>
      </c>
      <c r="I6" s="36">
        <v>-22983.09</v>
      </c>
      <c r="J6" s="7"/>
      <c r="K6" s="7"/>
      <c r="L6" s="7"/>
      <c r="M6" s="7"/>
      <c r="N6" s="7"/>
      <c r="O6" s="7"/>
      <c r="P6" s="7"/>
      <c r="Q6" s="7"/>
    </row>
    <row r="7" spans="1:20" ht="18" customHeight="1" x14ac:dyDescent="0.3">
      <c r="A7" t="s">
        <v>1</v>
      </c>
      <c r="B7" s="9" t="s">
        <v>5</v>
      </c>
      <c r="C7" s="10">
        <f>SUM(C5:C6)</f>
        <v>6742.3000000000011</v>
      </c>
      <c r="D7" s="10">
        <f t="shared" ref="D7:I7" si="1">SUM(D5:D6)</f>
        <v>4935.0899999999983</v>
      </c>
      <c r="E7" s="10">
        <f t="shared" si="1"/>
        <v>5836.4600000000009</v>
      </c>
      <c r="F7" s="10">
        <f t="shared" si="1"/>
        <v>6393.1499999999978</v>
      </c>
      <c r="G7" s="10">
        <f t="shared" si="1"/>
        <v>6420.5199999999968</v>
      </c>
      <c r="H7" s="10">
        <f t="shared" si="1"/>
        <v>8739.9599999999991</v>
      </c>
      <c r="I7" s="10">
        <f t="shared" si="1"/>
        <v>10799.09</v>
      </c>
      <c r="J7" s="10">
        <f t="shared" ref="J7:Q7" si="2">SUM(J5:J6)</f>
        <v>0</v>
      </c>
      <c r="K7" s="10">
        <f t="shared" si="2"/>
        <v>0</v>
      </c>
      <c r="L7" s="10">
        <f t="shared" si="2"/>
        <v>0</v>
      </c>
      <c r="M7" s="10">
        <f t="shared" si="2"/>
        <v>0</v>
      </c>
      <c r="N7" s="10">
        <f t="shared" si="2"/>
        <v>0</v>
      </c>
      <c r="O7" s="10">
        <f t="shared" si="2"/>
        <v>0</v>
      </c>
      <c r="P7" s="10">
        <f t="shared" si="2"/>
        <v>0</v>
      </c>
      <c r="Q7" s="10">
        <f t="shared" si="2"/>
        <v>0</v>
      </c>
      <c r="S7" s="11"/>
    </row>
    <row r="8" spans="1:20" ht="18" customHeight="1" x14ac:dyDescent="0.3">
      <c r="B8" t="s">
        <v>6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S8" s="11"/>
    </row>
    <row r="9" spans="1:20" ht="18" customHeight="1" x14ac:dyDescent="0.3">
      <c r="B9" s="13" t="s">
        <v>7</v>
      </c>
      <c r="C9" s="14">
        <v>-5431.88</v>
      </c>
      <c r="D9" s="14">
        <v>-5378.15</v>
      </c>
      <c r="E9" s="14">
        <v>-5519.05</v>
      </c>
      <c r="F9" s="14">
        <v>-5700.63</v>
      </c>
      <c r="G9" s="14">
        <v>-5628.84</v>
      </c>
      <c r="H9" s="14">
        <v>-5923.42</v>
      </c>
      <c r="I9" s="14">
        <v>-6467.62</v>
      </c>
      <c r="J9" s="12"/>
      <c r="K9" s="12"/>
      <c r="L9" s="12"/>
      <c r="M9" s="12"/>
      <c r="N9" s="12"/>
      <c r="O9" s="12"/>
      <c r="P9" s="12"/>
      <c r="Q9" s="12"/>
      <c r="S9" s="11"/>
    </row>
    <row r="10" spans="1:20" ht="18" customHeight="1" x14ac:dyDescent="0.3">
      <c r="B10" s="13" t="s">
        <v>8</v>
      </c>
      <c r="C10" s="14">
        <v>-1443.57</v>
      </c>
      <c r="D10" s="14">
        <v>-2605.41</v>
      </c>
      <c r="E10" s="14">
        <v>510.62999999999988</v>
      </c>
      <c r="F10" s="14">
        <v>351.13000000000011</v>
      </c>
      <c r="G10" s="14">
        <v>-80.789999999999964</v>
      </c>
      <c r="H10" s="14">
        <v>-1417.22</v>
      </c>
      <c r="I10" s="14">
        <v>-1989.28</v>
      </c>
      <c r="J10" s="12"/>
      <c r="K10" s="12"/>
      <c r="L10" s="12"/>
      <c r="M10" s="12"/>
      <c r="N10" s="12"/>
      <c r="O10" s="12"/>
      <c r="P10" s="12"/>
      <c r="Q10" s="12"/>
      <c r="S10" s="11"/>
    </row>
    <row r="11" spans="1:20" ht="18" customHeight="1" x14ac:dyDescent="0.3">
      <c r="B11" s="15" t="s">
        <v>9</v>
      </c>
      <c r="C11" s="16">
        <f>SUM(C9:C10)</f>
        <v>-6875.45</v>
      </c>
      <c r="D11" s="16">
        <f t="shared" ref="D11:I11" si="3">SUM(D9:D10)</f>
        <v>-7983.5599999999995</v>
      </c>
      <c r="E11" s="16">
        <f t="shared" si="3"/>
        <v>-5008.42</v>
      </c>
      <c r="F11" s="16">
        <f t="shared" si="3"/>
        <v>-5349.5</v>
      </c>
      <c r="G11" s="16">
        <f t="shared" si="3"/>
        <v>-5709.63</v>
      </c>
      <c r="H11" s="16">
        <f t="shared" si="3"/>
        <v>-7340.64</v>
      </c>
      <c r="I11" s="16">
        <f t="shared" si="3"/>
        <v>-8456.9</v>
      </c>
      <c r="J11" s="16">
        <f t="shared" ref="J11:Q11" si="4">SUM(J9:J10)</f>
        <v>0</v>
      </c>
      <c r="K11" s="16">
        <f t="shared" si="4"/>
        <v>0</v>
      </c>
      <c r="L11" s="16">
        <f t="shared" si="4"/>
        <v>0</v>
      </c>
      <c r="M11" s="16">
        <f t="shared" si="4"/>
        <v>0</v>
      </c>
      <c r="N11" s="16">
        <f t="shared" si="4"/>
        <v>0</v>
      </c>
      <c r="O11" s="16">
        <f t="shared" si="4"/>
        <v>0</v>
      </c>
      <c r="P11" s="16">
        <f t="shared" si="4"/>
        <v>0</v>
      </c>
      <c r="Q11" s="16">
        <f t="shared" si="4"/>
        <v>0</v>
      </c>
      <c r="T11" s="17"/>
    </row>
    <row r="12" spans="1:20" ht="18" customHeight="1" x14ac:dyDescent="0.3">
      <c r="A12" t="s">
        <v>1</v>
      </c>
      <c r="B12" s="4" t="s">
        <v>10</v>
      </c>
      <c r="C12" s="7">
        <f>C7+C11</f>
        <v>-133.14999999999873</v>
      </c>
      <c r="D12" s="7">
        <f>D7+D11</f>
        <v>-3048.4700000000012</v>
      </c>
      <c r="E12" s="7">
        <f>E7+E11</f>
        <v>828.04000000000087</v>
      </c>
      <c r="F12" s="7">
        <f t="shared" ref="F12:I12" si="5">F7+F11</f>
        <v>1043.6499999999978</v>
      </c>
      <c r="G12" s="7">
        <f t="shared" si="5"/>
        <v>710.88999999999669</v>
      </c>
      <c r="H12" s="7">
        <f t="shared" si="5"/>
        <v>1399.3199999999988</v>
      </c>
      <c r="I12" s="7">
        <f t="shared" si="5"/>
        <v>2342.1900000000005</v>
      </c>
      <c r="J12" s="7"/>
      <c r="K12" s="7"/>
      <c r="L12" s="7"/>
      <c r="M12" s="7"/>
      <c r="N12" s="7"/>
      <c r="O12" s="7"/>
      <c r="P12" s="7"/>
      <c r="Q12" s="7"/>
    </row>
    <row r="13" spans="1:20" ht="18" customHeight="1" x14ac:dyDescent="0.3">
      <c r="B13" t="s">
        <v>11</v>
      </c>
      <c r="C13" s="14">
        <v>-503.27</v>
      </c>
      <c r="D13" s="14">
        <v>-473.25</v>
      </c>
      <c r="E13" s="14">
        <v>-314.12</v>
      </c>
      <c r="F13" s="14">
        <v>-260.33999999999997</v>
      </c>
      <c r="G13" s="14">
        <v>-248.9</v>
      </c>
      <c r="H13" s="14">
        <v>-271.95999999999998</v>
      </c>
      <c r="I13" s="14">
        <v>-315.87</v>
      </c>
      <c r="J13" s="18"/>
      <c r="K13" s="18"/>
      <c r="L13" s="18"/>
      <c r="M13" s="18"/>
      <c r="N13" s="18"/>
      <c r="O13" s="18"/>
      <c r="P13" s="18"/>
      <c r="Q13" s="18"/>
    </row>
    <row r="14" spans="1:20" ht="18" customHeight="1" x14ac:dyDescent="0.3">
      <c r="B14" s="15" t="s">
        <v>12</v>
      </c>
      <c r="C14" s="10">
        <f>C12+C13</f>
        <v>-636.41999999999871</v>
      </c>
      <c r="D14" s="10">
        <f t="shared" ref="D14:I14" si="6">D12+D13</f>
        <v>-3521.7200000000012</v>
      </c>
      <c r="E14" s="10">
        <f t="shared" si="6"/>
        <v>513.92000000000087</v>
      </c>
      <c r="F14" s="10">
        <f t="shared" si="6"/>
        <v>783.3099999999979</v>
      </c>
      <c r="G14" s="10">
        <f t="shared" si="6"/>
        <v>461.98999999999671</v>
      </c>
      <c r="H14" s="10">
        <f t="shared" si="6"/>
        <v>1127.3599999999988</v>
      </c>
      <c r="I14" s="10">
        <f t="shared" si="6"/>
        <v>2026.3200000000006</v>
      </c>
      <c r="J14" s="10">
        <f t="shared" ref="J14" si="7">J12+J13</f>
        <v>0</v>
      </c>
      <c r="K14" s="10">
        <f t="shared" ref="K14" si="8">K12+K13</f>
        <v>0</v>
      </c>
      <c r="L14" s="10">
        <f t="shared" ref="L14" si="9">L12+L13</f>
        <v>0</v>
      </c>
      <c r="M14" s="10">
        <f t="shared" ref="M14" si="10">M12+M13</f>
        <v>0</v>
      </c>
      <c r="N14" s="10">
        <f t="shared" ref="N14" si="11">N12+N13</f>
        <v>0</v>
      </c>
      <c r="O14" s="10">
        <f t="shared" ref="O14" si="12">O12+O13</f>
        <v>0</v>
      </c>
      <c r="P14" s="10">
        <f t="shared" ref="P14" si="13">P12+P13</f>
        <v>0</v>
      </c>
      <c r="Q14" s="10">
        <f t="shared" ref="Q14" si="14">Q12+Q13</f>
        <v>0</v>
      </c>
    </row>
    <row r="15" spans="1:20" ht="18" customHeight="1" x14ac:dyDescent="0.3">
      <c r="B15" t="s">
        <v>35</v>
      </c>
      <c r="C15" s="14">
        <v>590.02</v>
      </c>
      <c r="D15" s="14">
        <v>392.56</v>
      </c>
      <c r="E15" s="14">
        <v>404.67</v>
      </c>
      <c r="F15" s="14">
        <v>544.49</v>
      </c>
      <c r="G15" s="14">
        <v>608.30999999999995</v>
      </c>
      <c r="H15" s="14">
        <v>524.32000000000005</v>
      </c>
      <c r="I15" s="14">
        <v>868.7</v>
      </c>
      <c r="J15" s="12"/>
      <c r="K15" s="12"/>
      <c r="L15" s="12"/>
      <c r="M15" s="12"/>
      <c r="N15" s="12"/>
      <c r="O15" s="12"/>
      <c r="P15" s="12"/>
      <c r="Q15" s="12"/>
    </row>
    <row r="16" spans="1:20" ht="18" customHeight="1" x14ac:dyDescent="0.3">
      <c r="B16" t="s">
        <v>13</v>
      </c>
      <c r="C16" s="14">
        <v>-612.66999999999996</v>
      </c>
      <c r="D16" s="14">
        <v>-466.56</v>
      </c>
      <c r="E16" s="14">
        <v>-448.13</v>
      </c>
      <c r="F16" s="14">
        <v>-612.19000000000005</v>
      </c>
      <c r="G16" s="14">
        <v>-827.64</v>
      </c>
      <c r="H16" s="14">
        <v>-906.08</v>
      </c>
      <c r="I16" s="14">
        <v>-756.41</v>
      </c>
      <c r="J16" s="18"/>
      <c r="K16" s="18"/>
      <c r="L16" s="18"/>
      <c r="M16" s="18"/>
      <c r="N16" s="18"/>
      <c r="O16" s="18"/>
      <c r="P16" s="18"/>
      <c r="Q16" s="18"/>
    </row>
    <row r="17" spans="1:17" ht="18" customHeight="1" x14ac:dyDescent="0.3">
      <c r="A17" t="s">
        <v>1</v>
      </c>
      <c r="B17" s="15" t="s">
        <v>14</v>
      </c>
      <c r="C17" s="19">
        <f>SUM(C14:C16)</f>
        <v>-659.06999999999869</v>
      </c>
      <c r="D17" s="19">
        <f t="shared" ref="D17:I17" si="15">SUM(D14:D16)</f>
        <v>-3595.7200000000012</v>
      </c>
      <c r="E17" s="19">
        <f t="shared" si="15"/>
        <v>470.46000000000083</v>
      </c>
      <c r="F17" s="19">
        <f t="shared" si="15"/>
        <v>715.60999999999785</v>
      </c>
      <c r="G17" s="19">
        <f t="shared" si="15"/>
        <v>242.65999999999656</v>
      </c>
      <c r="H17" s="19">
        <f t="shared" si="15"/>
        <v>745.59999999999889</v>
      </c>
      <c r="I17" s="19">
        <f t="shared" si="15"/>
        <v>2138.6100000000006</v>
      </c>
      <c r="J17" s="19">
        <f t="shared" ref="J17" si="16">SUM(J14:J16)</f>
        <v>0</v>
      </c>
      <c r="K17" s="19">
        <f t="shared" ref="K17" si="17">SUM(K14:K16)</f>
        <v>0</v>
      </c>
      <c r="L17" s="19">
        <f t="shared" ref="L17" si="18">SUM(L14:L16)</f>
        <v>0</v>
      </c>
      <c r="M17" s="19">
        <f t="shared" ref="M17" si="19">SUM(M14:M16)</f>
        <v>0</v>
      </c>
      <c r="N17" s="19">
        <f t="shared" ref="N17" si="20">SUM(N14:N16)</f>
        <v>0</v>
      </c>
      <c r="O17" s="19">
        <f t="shared" ref="O17" si="21">SUM(O14:O16)</f>
        <v>0</v>
      </c>
      <c r="P17" s="19">
        <f t="shared" ref="P17" si="22">SUM(P14:P16)</f>
        <v>0</v>
      </c>
      <c r="Q17" s="19">
        <f t="shared" ref="Q17" si="23">SUM(Q14:Q16)</f>
        <v>0</v>
      </c>
    </row>
    <row r="18" spans="1:17" ht="18" customHeight="1" x14ac:dyDescent="0.3">
      <c r="B18" t="s">
        <v>15</v>
      </c>
      <c r="C18" s="14">
        <v>-809.28</v>
      </c>
      <c r="D18" s="14">
        <v>896.23</v>
      </c>
      <c r="E18" s="14">
        <v>-25.75</v>
      </c>
      <c r="F18" s="14">
        <v>-61.49</v>
      </c>
      <c r="G18" s="14">
        <v>39.56</v>
      </c>
      <c r="H18" s="14">
        <v>-211.7</v>
      </c>
      <c r="I18" s="14">
        <v>-538.35</v>
      </c>
      <c r="J18" s="12"/>
      <c r="K18" s="12"/>
      <c r="L18" s="12"/>
      <c r="M18" s="12"/>
      <c r="N18" s="12"/>
      <c r="O18" s="12"/>
      <c r="P18" s="12"/>
      <c r="Q18" s="12"/>
    </row>
    <row r="19" spans="1:17" ht="18" customHeight="1" x14ac:dyDescent="0.3">
      <c r="B19" t="s">
        <v>16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0" spans="1:17" ht="15" thickBot="1" x14ac:dyDescent="0.35">
      <c r="A20" t="s">
        <v>1</v>
      </c>
      <c r="B20" s="20" t="s">
        <v>17</v>
      </c>
      <c r="C20" s="21">
        <f>SUM(C17:C19)</f>
        <v>-1468.3499999999985</v>
      </c>
      <c r="D20" s="21">
        <f t="shared" ref="D20:I20" si="24">SUM(D17:D19)</f>
        <v>-2699.4900000000011</v>
      </c>
      <c r="E20" s="21">
        <f t="shared" si="24"/>
        <v>444.71000000000083</v>
      </c>
      <c r="F20" s="21">
        <f t="shared" si="24"/>
        <v>654.11999999999784</v>
      </c>
      <c r="G20" s="21">
        <f t="shared" si="24"/>
        <v>282.21999999999656</v>
      </c>
      <c r="H20" s="21">
        <f t="shared" si="24"/>
        <v>533.89999999999895</v>
      </c>
      <c r="I20" s="21">
        <f t="shared" si="24"/>
        <v>1600.2600000000007</v>
      </c>
      <c r="J20" s="21">
        <f t="shared" ref="J20" si="25">SUM(J17:J19)</f>
        <v>0</v>
      </c>
      <c r="K20" s="21">
        <f t="shared" ref="K20" si="26">SUM(K17:K19)</f>
        <v>0</v>
      </c>
      <c r="L20" s="21">
        <f t="shared" ref="L20" si="27">SUM(L17:L19)</f>
        <v>0</v>
      </c>
      <c r="M20" s="21">
        <f t="shared" ref="M20" si="28">SUM(M17:M19)</f>
        <v>0</v>
      </c>
      <c r="N20" s="21">
        <f t="shared" ref="N20" si="29">SUM(N17:N19)</f>
        <v>0</v>
      </c>
      <c r="O20" s="21">
        <f t="shared" ref="O20" si="30">SUM(O17:O19)</f>
        <v>0</v>
      </c>
      <c r="P20" s="21">
        <f t="shared" ref="P20" si="31">SUM(P17:P19)</f>
        <v>0</v>
      </c>
      <c r="Q20" s="21">
        <f t="shared" ref="Q20" si="32">SUM(Q17:Q19)</f>
        <v>0</v>
      </c>
    </row>
    <row r="21" spans="1:17" ht="18" customHeight="1" thickTop="1" x14ac:dyDescent="0.3">
      <c r="C21" s="11"/>
      <c r="D21" s="11"/>
      <c r="E21" s="11"/>
      <c r="F21" s="11"/>
      <c r="G21" s="11"/>
      <c r="H21" s="11"/>
      <c r="I21" s="11"/>
      <c r="J21" s="1"/>
    </row>
    <row r="22" spans="1:17" x14ac:dyDescent="0.3">
      <c r="C22" s="33"/>
      <c r="D22" s="33"/>
      <c r="E22" s="33"/>
      <c r="F22" s="33"/>
      <c r="G22" s="33"/>
      <c r="H22" s="33"/>
      <c r="I22" s="33"/>
    </row>
    <row r="23" spans="1:17" ht="18" customHeight="1" x14ac:dyDescent="0.3">
      <c r="C23" s="22"/>
      <c r="D23" s="22"/>
      <c r="E23" s="22"/>
      <c r="F23" s="22"/>
      <c r="G23" s="22"/>
      <c r="H23" s="22"/>
      <c r="I23" s="22"/>
      <c r="J23" s="23"/>
      <c r="K23" s="23"/>
    </row>
    <row r="24" spans="1:17" ht="18" customHeight="1" x14ac:dyDescent="0.3">
      <c r="B24" s="4"/>
      <c r="C24" s="12"/>
      <c r="D24" s="12"/>
      <c r="E24" s="12"/>
      <c r="F24" s="12"/>
      <c r="G24" s="12"/>
      <c r="H24" s="12"/>
      <c r="I24" s="12"/>
    </row>
    <row r="25" spans="1:17" ht="18" customHeight="1" x14ac:dyDescent="0.3">
      <c r="C25" s="12"/>
      <c r="D25" s="12"/>
      <c r="E25" s="12"/>
      <c r="F25" s="12"/>
      <c r="G25" s="12"/>
      <c r="H25" s="12"/>
      <c r="I25" s="12"/>
    </row>
    <row r="26" spans="1:17" ht="18" customHeight="1" x14ac:dyDescent="0.3">
      <c r="I26" s="12"/>
    </row>
    <row r="35" ht="18" customHeight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21A00-E5C1-4297-B5F0-48CB56DA4052}">
  <dimension ref="A1:Q50"/>
  <sheetViews>
    <sheetView showGridLines="0" tabSelected="1" topLeftCell="A18" zoomScale="88" workbookViewId="0">
      <selection activeCell="A18" sqref="A18"/>
    </sheetView>
  </sheetViews>
  <sheetFormatPr defaultRowHeight="14.4" x14ac:dyDescent="0.3"/>
  <cols>
    <col min="1" max="1" width="2.77734375" style="1" customWidth="1"/>
    <col min="2" max="2" width="50.77734375" customWidth="1"/>
    <col min="3" max="13" width="10.77734375" style="12" customWidth="1"/>
    <col min="14" max="16" width="9.88671875" bestFit="1" customWidth="1"/>
    <col min="17" max="17" width="9.44140625" bestFit="1" customWidth="1"/>
  </cols>
  <sheetData>
    <row r="1" spans="1:17" ht="18" customHeight="1" x14ac:dyDescent="0.3">
      <c r="C1"/>
      <c r="D1"/>
      <c r="E1"/>
      <c r="F1"/>
      <c r="G1"/>
      <c r="H1"/>
      <c r="I1"/>
      <c r="J1"/>
      <c r="K1"/>
      <c r="L1"/>
      <c r="M1"/>
    </row>
    <row r="2" spans="1:17" ht="18" customHeight="1" x14ac:dyDescent="0.4">
      <c r="B2" s="2" t="s">
        <v>392</v>
      </c>
      <c r="C2"/>
      <c r="D2"/>
      <c r="E2"/>
      <c r="F2"/>
      <c r="G2"/>
      <c r="H2"/>
      <c r="I2"/>
      <c r="J2"/>
      <c r="K2"/>
      <c r="L2"/>
      <c r="M2"/>
      <c r="Q2" s="3"/>
    </row>
    <row r="3" spans="1:17" ht="18" customHeight="1" x14ac:dyDescent="0.3">
      <c r="C3"/>
      <c r="D3"/>
      <c r="E3"/>
      <c r="F3"/>
      <c r="G3"/>
      <c r="H3"/>
      <c r="I3"/>
      <c r="J3"/>
      <c r="K3"/>
      <c r="L3"/>
      <c r="M3"/>
    </row>
    <row r="4" spans="1:17" ht="18" customHeight="1" x14ac:dyDescent="0.3">
      <c r="B4" s="4" t="s">
        <v>2</v>
      </c>
      <c r="C4" s="5">
        <v>2020</v>
      </c>
      <c r="D4" s="5">
        <f t="shared" ref="D4:Q4" si="0">C4+1</f>
        <v>2021</v>
      </c>
      <c r="E4" s="5">
        <f t="shared" si="0"/>
        <v>2022</v>
      </c>
      <c r="F4" s="5">
        <f t="shared" si="0"/>
        <v>2023</v>
      </c>
      <c r="G4" s="5">
        <f t="shared" si="0"/>
        <v>2024</v>
      </c>
      <c r="H4" s="5">
        <f t="shared" si="0"/>
        <v>2025</v>
      </c>
      <c r="I4" s="5">
        <f t="shared" si="0"/>
        <v>2026</v>
      </c>
      <c r="J4" s="6">
        <f t="shared" si="0"/>
        <v>2027</v>
      </c>
      <c r="K4" s="6">
        <f t="shared" si="0"/>
        <v>2028</v>
      </c>
      <c r="L4" s="6">
        <f t="shared" si="0"/>
        <v>2029</v>
      </c>
      <c r="M4" s="6">
        <f t="shared" si="0"/>
        <v>2030</v>
      </c>
      <c r="N4" s="6">
        <f t="shared" si="0"/>
        <v>2031</v>
      </c>
      <c r="O4" s="6">
        <f t="shared" si="0"/>
        <v>2032</v>
      </c>
      <c r="P4" s="6">
        <f t="shared" si="0"/>
        <v>2033</v>
      </c>
      <c r="Q4" s="6">
        <f t="shared" si="0"/>
        <v>2034</v>
      </c>
    </row>
    <row r="5" spans="1:17" ht="18" customHeight="1" x14ac:dyDescent="0.3">
      <c r="C5"/>
      <c r="D5"/>
      <c r="E5"/>
      <c r="F5"/>
      <c r="G5"/>
      <c r="H5"/>
      <c r="I5"/>
      <c r="J5"/>
      <c r="K5"/>
      <c r="L5"/>
      <c r="M5"/>
    </row>
    <row r="6" spans="1:17" ht="18" customHeight="1" x14ac:dyDescent="0.35">
      <c r="A6" s="1" t="s">
        <v>1</v>
      </c>
      <c r="B6" s="37" t="s">
        <v>393</v>
      </c>
      <c r="N6" s="12"/>
      <c r="O6" s="12"/>
      <c r="P6" s="12"/>
      <c r="Q6" s="12"/>
    </row>
    <row r="7" spans="1:17" ht="18" customHeight="1" x14ac:dyDescent="0.3">
      <c r="B7" s="4" t="s">
        <v>394</v>
      </c>
      <c r="N7" s="12"/>
      <c r="O7" s="12"/>
      <c r="P7" s="12"/>
      <c r="Q7" s="12"/>
    </row>
    <row r="8" spans="1:17" ht="18" customHeight="1" x14ac:dyDescent="0.3">
      <c r="B8" s="38" t="s">
        <v>395</v>
      </c>
      <c r="C8" s="14">
        <v>696.41</v>
      </c>
      <c r="D8" s="14">
        <v>696.41</v>
      </c>
      <c r="E8" s="14">
        <v>696.41</v>
      </c>
      <c r="F8" s="14">
        <v>696.41</v>
      </c>
      <c r="G8" s="14">
        <v>696.41</v>
      </c>
      <c r="H8" s="14">
        <v>696.41</v>
      </c>
      <c r="I8" s="14">
        <v>696.41</v>
      </c>
      <c r="J8" s="18"/>
      <c r="K8" s="18"/>
      <c r="L8" s="18"/>
      <c r="M8" s="18"/>
      <c r="N8" s="18"/>
      <c r="O8" s="18"/>
      <c r="P8" s="18"/>
      <c r="Q8" s="18"/>
    </row>
    <row r="9" spans="1:17" ht="18" customHeight="1" x14ac:dyDescent="0.3">
      <c r="B9" s="38" t="s">
        <v>396</v>
      </c>
      <c r="C9" s="14">
        <v>27964.31</v>
      </c>
      <c r="D9" s="14">
        <v>25287.25</v>
      </c>
      <c r="E9" s="14">
        <v>25810.19</v>
      </c>
      <c r="F9" s="14">
        <v>23681.85</v>
      </c>
      <c r="G9" s="14">
        <v>23742.240000000002</v>
      </c>
      <c r="H9" s="14">
        <v>24025.75</v>
      </c>
      <c r="I9" s="14">
        <v>25450.19</v>
      </c>
      <c r="N9" s="12"/>
      <c r="O9" s="12"/>
      <c r="P9" s="12"/>
      <c r="Q9" s="12"/>
    </row>
    <row r="10" spans="1:17" ht="18" customHeight="1" x14ac:dyDescent="0.3">
      <c r="B10" s="39" t="s">
        <v>397</v>
      </c>
      <c r="C10" s="7">
        <f>SUM(C8:C9)</f>
        <v>28660.720000000001</v>
      </c>
      <c r="D10" s="7">
        <f t="shared" ref="D10:Q10" si="1">SUM(D8:D9)</f>
        <v>25983.66</v>
      </c>
      <c r="E10" s="7">
        <f t="shared" si="1"/>
        <v>26506.6</v>
      </c>
      <c r="F10" s="7">
        <f t="shared" si="1"/>
        <v>24378.26</v>
      </c>
      <c r="G10" s="7">
        <f t="shared" si="1"/>
        <v>24438.65</v>
      </c>
      <c r="H10" s="7">
        <f t="shared" si="1"/>
        <v>24722.16</v>
      </c>
      <c r="I10" s="7">
        <f t="shared" si="1"/>
        <v>26146.6</v>
      </c>
      <c r="J10" s="7">
        <f t="shared" si="1"/>
        <v>0</v>
      </c>
      <c r="K10" s="7">
        <f t="shared" si="1"/>
        <v>0</v>
      </c>
      <c r="L10" s="7">
        <f t="shared" si="1"/>
        <v>0</v>
      </c>
      <c r="M10" s="7">
        <f t="shared" si="1"/>
        <v>0</v>
      </c>
      <c r="N10" s="7">
        <f t="shared" si="1"/>
        <v>0</v>
      </c>
      <c r="O10" s="7">
        <f t="shared" si="1"/>
        <v>0</v>
      </c>
      <c r="P10" s="7">
        <f t="shared" si="1"/>
        <v>0</v>
      </c>
      <c r="Q10" s="7">
        <f t="shared" si="1"/>
        <v>0</v>
      </c>
    </row>
    <row r="11" spans="1:17" ht="18" customHeight="1" x14ac:dyDescent="0.3">
      <c r="N11" s="12"/>
      <c r="O11" s="12"/>
      <c r="P11" s="12"/>
      <c r="Q11" s="12"/>
    </row>
    <row r="12" spans="1:17" ht="18" customHeight="1" x14ac:dyDescent="0.3">
      <c r="A12" s="1" t="s">
        <v>1</v>
      </c>
      <c r="B12" s="4" t="s">
        <v>416</v>
      </c>
      <c r="N12" s="12"/>
      <c r="O12" s="12"/>
      <c r="P12" s="12"/>
      <c r="Q12" s="12"/>
    </row>
    <row r="13" spans="1:17" ht="18" customHeight="1" x14ac:dyDescent="0.3">
      <c r="B13" s="4" t="s">
        <v>398</v>
      </c>
      <c r="N13" s="12"/>
      <c r="O13" s="12"/>
      <c r="P13" s="12"/>
      <c r="Q13" s="12"/>
    </row>
    <row r="14" spans="1:17" ht="18" customHeight="1" x14ac:dyDescent="0.3">
      <c r="B14" s="38" t="s">
        <v>419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168.18</v>
      </c>
      <c r="N14" s="12"/>
      <c r="O14" s="12"/>
      <c r="P14" s="12"/>
      <c r="Q14" s="12"/>
    </row>
    <row r="15" spans="1:17" ht="18" customHeight="1" x14ac:dyDescent="0.3">
      <c r="B15" s="38" t="s">
        <v>422</v>
      </c>
      <c r="C15" s="14">
        <v>4225.16</v>
      </c>
      <c r="D15" s="14">
        <v>3925.56</v>
      </c>
      <c r="E15" s="14">
        <v>3771.21</v>
      </c>
      <c r="F15" s="14">
        <v>4101.0200000000004</v>
      </c>
      <c r="G15" s="14">
        <v>2489.08</v>
      </c>
      <c r="H15" s="14">
        <v>2585.56</v>
      </c>
      <c r="I15" s="14">
        <v>2354.62</v>
      </c>
      <c r="N15" s="12"/>
      <c r="O15" s="12"/>
      <c r="P15" s="12"/>
      <c r="Q15" s="12"/>
    </row>
    <row r="16" spans="1:17" ht="18" customHeight="1" x14ac:dyDescent="0.3">
      <c r="B16" s="38" t="s">
        <v>420</v>
      </c>
      <c r="C16" s="14">
        <v>4263.2700000000004</v>
      </c>
      <c r="D16" s="14">
        <v>4982.75</v>
      </c>
      <c r="E16" s="14">
        <v>4594.8</v>
      </c>
      <c r="F16" s="14">
        <v>5089.29</v>
      </c>
      <c r="G16" s="14">
        <v>6744.96</v>
      </c>
      <c r="H16" s="14">
        <v>12549.87</v>
      </c>
      <c r="I16" s="14">
        <v>15214.03</v>
      </c>
      <c r="N16" s="12"/>
      <c r="O16" s="12"/>
      <c r="P16" s="12"/>
      <c r="Q16" s="12"/>
    </row>
    <row r="17" spans="1:17" ht="18" customHeight="1" x14ac:dyDescent="0.3">
      <c r="B17" s="39" t="s">
        <v>399</v>
      </c>
      <c r="C17" s="7">
        <f>SUM(C14:C16)</f>
        <v>8488.43</v>
      </c>
      <c r="D17" s="7">
        <f t="shared" ref="D17:Q17" si="2">SUM(D14:D16)</f>
        <v>8908.31</v>
      </c>
      <c r="E17" s="7">
        <f t="shared" si="2"/>
        <v>8366.01</v>
      </c>
      <c r="F17" s="7">
        <f t="shared" si="2"/>
        <v>9190.3100000000013</v>
      </c>
      <c r="G17" s="7">
        <f t="shared" si="2"/>
        <v>9234.0400000000009</v>
      </c>
      <c r="H17" s="7">
        <f t="shared" si="2"/>
        <v>15135.43</v>
      </c>
      <c r="I17" s="7">
        <f t="shared" si="2"/>
        <v>17736.830000000002</v>
      </c>
      <c r="J17" s="7">
        <f t="shared" si="2"/>
        <v>0</v>
      </c>
      <c r="K17" s="7">
        <f t="shared" si="2"/>
        <v>0</v>
      </c>
      <c r="L17" s="7">
        <f t="shared" si="2"/>
        <v>0</v>
      </c>
      <c r="M17" s="7">
        <f t="shared" si="2"/>
        <v>0</v>
      </c>
      <c r="N17" s="7">
        <f t="shared" si="2"/>
        <v>0</v>
      </c>
      <c r="O17" s="7">
        <f t="shared" si="2"/>
        <v>0</v>
      </c>
      <c r="P17" s="7">
        <f t="shared" si="2"/>
        <v>0</v>
      </c>
      <c r="Q17" s="7">
        <f t="shared" si="2"/>
        <v>0</v>
      </c>
    </row>
    <row r="18" spans="1:17" ht="18" customHeight="1" x14ac:dyDescent="0.3">
      <c r="B18" s="8" t="s">
        <v>423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18" customHeight="1" x14ac:dyDescent="0.3">
      <c r="B19" s="38" t="s">
        <v>421</v>
      </c>
      <c r="C19" s="14">
        <v>4947.92</v>
      </c>
      <c r="D19" s="14">
        <v>4849.28</v>
      </c>
      <c r="E19" s="14">
        <v>4745</v>
      </c>
      <c r="F19" s="14">
        <v>5385</v>
      </c>
      <c r="G19" s="14">
        <v>8808</v>
      </c>
      <c r="H19" s="14">
        <v>8795</v>
      </c>
      <c r="I19" s="14">
        <v>8018.77</v>
      </c>
      <c r="J19" s="18"/>
      <c r="K19" s="18"/>
      <c r="L19" s="18"/>
      <c r="M19" s="18"/>
      <c r="N19" s="18"/>
      <c r="O19" s="18"/>
      <c r="P19" s="18"/>
      <c r="Q19" s="18"/>
    </row>
    <row r="20" spans="1:17" ht="18" customHeight="1" x14ac:dyDescent="0.3">
      <c r="B20" s="38" t="s">
        <v>400</v>
      </c>
      <c r="C20" s="14">
        <v>8829.16</v>
      </c>
      <c r="D20" s="14">
        <v>6683.51</v>
      </c>
      <c r="E20" s="14">
        <v>7749.59</v>
      </c>
      <c r="F20" s="14">
        <v>9895.83</v>
      </c>
      <c r="G20" s="14">
        <v>8696.24</v>
      </c>
      <c r="H20" s="14">
        <v>9540.92</v>
      </c>
      <c r="I20" s="14">
        <v>10491.6</v>
      </c>
      <c r="J20" s="18"/>
      <c r="K20" s="18"/>
      <c r="L20" s="18"/>
      <c r="M20" s="18"/>
      <c r="N20" s="18"/>
      <c r="O20" s="18"/>
      <c r="P20" s="18"/>
      <c r="Q20" s="18"/>
    </row>
    <row r="21" spans="1:17" ht="18" customHeight="1" x14ac:dyDescent="0.3">
      <c r="B21" s="38" t="s">
        <v>417</v>
      </c>
      <c r="C21" s="14">
        <v>8831.4000000000015</v>
      </c>
      <c r="D21" s="14">
        <v>8827.11</v>
      </c>
      <c r="E21" s="14">
        <v>8876.56</v>
      </c>
      <c r="F21" s="14">
        <v>8070.619999999999</v>
      </c>
      <c r="G21" s="14">
        <v>7828.57</v>
      </c>
      <c r="H21" s="14">
        <v>9889.67</v>
      </c>
      <c r="I21" s="14">
        <v>13791.81</v>
      </c>
      <c r="N21" s="12"/>
      <c r="O21" s="12"/>
      <c r="P21" s="12"/>
      <c r="Q21" s="12"/>
    </row>
    <row r="22" spans="1:17" ht="18" customHeight="1" x14ac:dyDescent="0.3">
      <c r="B22" s="38" t="s">
        <v>424</v>
      </c>
      <c r="C22" s="42">
        <f>SUM(C19:C21)</f>
        <v>22608.480000000003</v>
      </c>
      <c r="D22" s="42">
        <f t="shared" ref="D22:Q22" si="3">SUM(D19:D21)</f>
        <v>20359.900000000001</v>
      </c>
      <c r="E22" s="42">
        <f t="shared" si="3"/>
        <v>21371.15</v>
      </c>
      <c r="F22" s="42">
        <f t="shared" si="3"/>
        <v>23351.449999999997</v>
      </c>
      <c r="G22" s="42">
        <f t="shared" si="3"/>
        <v>25332.809999999998</v>
      </c>
      <c r="H22" s="42">
        <f t="shared" si="3"/>
        <v>28225.589999999997</v>
      </c>
      <c r="I22" s="42">
        <f t="shared" si="3"/>
        <v>32302.18</v>
      </c>
      <c r="J22" s="42">
        <f t="shared" si="3"/>
        <v>0</v>
      </c>
      <c r="K22" s="42">
        <f t="shared" si="3"/>
        <v>0</v>
      </c>
      <c r="L22" s="42">
        <f t="shared" si="3"/>
        <v>0</v>
      </c>
      <c r="M22" s="42">
        <f t="shared" si="3"/>
        <v>0</v>
      </c>
      <c r="N22" s="42">
        <f t="shared" si="3"/>
        <v>0</v>
      </c>
      <c r="O22" s="42">
        <f t="shared" si="3"/>
        <v>0</v>
      </c>
      <c r="P22" s="42">
        <f t="shared" si="3"/>
        <v>0</v>
      </c>
      <c r="Q22" s="42">
        <f t="shared" si="3"/>
        <v>0</v>
      </c>
    </row>
    <row r="23" spans="1:17" ht="18" customHeight="1" x14ac:dyDescent="0.3">
      <c r="B23" s="39" t="s">
        <v>418</v>
      </c>
      <c r="C23" s="7">
        <f>C17+C22</f>
        <v>31096.910000000003</v>
      </c>
      <c r="D23" s="7">
        <f t="shared" ref="D23:Q23" si="4">D17+D22</f>
        <v>29268.21</v>
      </c>
      <c r="E23" s="7">
        <f t="shared" si="4"/>
        <v>29737.160000000003</v>
      </c>
      <c r="F23" s="7">
        <f t="shared" si="4"/>
        <v>32541.759999999998</v>
      </c>
      <c r="G23" s="7">
        <f t="shared" si="4"/>
        <v>34566.85</v>
      </c>
      <c r="H23" s="7">
        <f t="shared" si="4"/>
        <v>43361.02</v>
      </c>
      <c r="I23" s="7">
        <f t="shared" si="4"/>
        <v>50039.01</v>
      </c>
      <c r="J23" s="7">
        <f t="shared" si="4"/>
        <v>0</v>
      </c>
      <c r="K23" s="7">
        <f t="shared" si="4"/>
        <v>0</v>
      </c>
      <c r="L23" s="7">
        <f t="shared" si="4"/>
        <v>0</v>
      </c>
      <c r="M23" s="7">
        <f t="shared" si="4"/>
        <v>0</v>
      </c>
      <c r="N23" s="7">
        <f t="shared" si="4"/>
        <v>0</v>
      </c>
      <c r="O23" s="7">
        <f t="shared" si="4"/>
        <v>0</v>
      </c>
      <c r="P23" s="7">
        <f t="shared" si="4"/>
        <v>0</v>
      </c>
      <c r="Q23" s="7">
        <f t="shared" si="4"/>
        <v>0</v>
      </c>
    </row>
    <row r="24" spans="1:17" ht="18" customHeight="1" x14ac:dyDescent="0.3">
      <c r="N24" s="12"/>
      <c r="O24" s="12"/>
      <c r="P24" s="12"/>
      <c r="Q24" s="12"/>
    </row>
    <row r="25" spans="1:17" ht="18" customHeight="1" x14ac:dyDescent="0.3">
      <c r="A25" s="1" t="s">
        <v>1</v>
      </c>
      <c r="B25" s="4" t="s">
        <v>401</v>
      </c>
      <c r="C25" s="7">
        <f>C10+C23</f>
        <v>59757.630000000005</v>
      </c>
      <c r="D25" s="7">
        <f t="shared" ref="D25:Q25" si="5">D10+D23</f>
        <v>55251.869999999995</v>
      </c>
      <c r="E25" s="7">
        <f t="shared" si="5"/>
        <v>56243.76</v>
      </c>
      <c r="F25" s="7">
        <f t="shared" si="5"/>
        <v>56920.02</v>
      </c>
      <c r="G25" s="7">
        <f t="shared" si="5"/>
        <v>59005.5</v>
      </c>
      <c r="H25" s="7">
        <f t="shared" si="5"/>
        <v>68083.179999999993</v>
      </c>
      <c r="I25" s="7">
        <f t="shared" si="5"/>
        <v>76185.61</v>
      </c>
      <c r="J25" s="7">
        <f t="shared" si="5"/>
        <v>0</v>
      </c>
      <c r="K25" s="7">
        <f t="shared" si="5"/>
        <v>0</v>
      </c>
      <c r="L25" s="7">
        <f t="shared" si="5"/>
        <v>0</v>
      </c>
      <c r="M25" s="7">
        <f t="shared" si="5"/>
        <v>0</v>
      </c>
      <c r="N25" s="7">
        <f t="shared" si="5"/>
        <v>0</v>
      </c>
      <c r="O25" s="7">
        <f t="shared" si="5"/>
        <v>0</v>
      </c>
      <c r="P25" s="7">
        <f t="shared" si="5"/>
        <v>0</v>
      </c>
      <c r="Q25" s="7">
        <f t="shared" si="5"/>
        <v>0</v>
      </c>
    </row>
    <row r="26" spans="1:17" ht="18" customHeight="1" x14ac:dyDescent="0.3">
      <c r="N26" s="12"/>
      <c r="O26" s="12"/>
      <c r="P26" s="12"/>
      <c r="Q26" s="12"/>
    </row>
    <row r="27" spans="1:17" ht="18" customHeight="1" x14ac:dyDescent="0.35">
      <c r="B27" s="37" t="s">
        <v>402</v>
      </c>
      <c r="N27" s="12"/>
      <c r="O27" s="12"/>
      <c r="P27" s="12"/>
      <c r="Q27" s="12"/>
    </row>
    <row r="28" spans="1:17" ht="18" customHeight="1" x14ac:dyDescent="0.3">
      <c r="B28" s="4" t="s">
        <v>403</v>
      </c>
      <c r="N28" s="12"/>
      <c r="O28" s="12"/>
      <c r="P28" s="12"/>
      <c r="Q28" s="12"/>
    </row>
    <row r="29" spans="1:17" ht="18" customHeight="1" x14ac:dyDescent="0.3">
      <c r="B29" s="4" t="s">
        <v>404</v>
      </c>
      <c r="N29" s="12"/>
      <c r="O29" s="12"/>
      <c r="P29" s="12"/>
      <c r="Q29" s="12"/>
    </row>
    <row r="30" spans="1:17" ht="18" customHeight="1" x14ac:dyDescent="0.3">
      <c r="B30" s="38" t="s">
        <v>405</v>
      </c>
      <c r="C30" s="14">
        <v>2817</v>
      </c>
      <c r="D30" s="14">
        <v>2491</v>
      </c>
      <c r="E30" s="14">
        <v>2398</v>
      </c>
      <c r="F30" s="14">
        <v>2476</v>
      </c>
      <c r="G30" s="14">
        <v>2574</v>
      </c>
      <c r="H30" s="14">
        <v>2947</v>
      </c>
      <c r="I30" s="14">
        <v>3094</v>
      </c>
      <c r="J30" s="18"/>
      <c r="K30" s="18"/>
      <c r="L30" s="18"/>
      <c r="M30" s="18"/>
      <c r="N30" s="18"/>
      <c r="O30" s="18"/>
      <c r="P30" s="18"/>
      <c r="Q30" s="18"/>
    </row>
    <row r="31" spans="1:17" ht="18" customHeight="1" x14ac:dyDescent="0.3">
      <c r="B31" s="38" t="s">
        <v>51</v>
      </c>
      <c r="C31" s="14">
        <v>314</v>
      </c>
      <c r="D31" s="14">
        <v>420</v>
      </c>
      <c r="E31" s="14">
        <v>431</v>
      </c>
      <c r="F31" s="14">
        <v>354</v>
      </c>
      <c r="G31" s="14">
        <v>308</v>
      </c>
      <c r="H31" s="14">
        <v>195</v>
      </c>
      <c r="I31" s="14">
        <v>399</v>
      </c>
      <c r="J31" s="18"/>
      <c r="K31" s="18"/>
      <c r="L31" s="18"/>
      <c r="M31" s="18"/>
      <c r="N31" s="18"/>
      <c r="O31" s="18"/>
      <c r="P31" s="18"/>
      <c r="Q31" s="18"/>
    </row>
    <row r="32" spans="1:17" ht="18" customHeight="1" x14ac:dyDescent="0.3">
      <c r="B32" s="38" t="s">
        <v>52</v>
      </c>
      <c r="C32" s="14">
        <v>162</v>
      </c>
      <c r="D32" s="14">
        <v>185</v>
      </c>
      <c r="E32" s="14">
        <v>205</v>
      </c>
      <c r="F32" s="14">
        <v>235</v>
      </c>
      <c r="G32" s="14">
        <v>256</v>
      </c>
      <c r="H32" s="14">
        <v>276</v>
      </c>
      <c r="I32" s="14">
        <v>302</v>
      </c>
      <c r="J32" s="18"/>
      <c r="K32" s="18"/>
      <c r="L32" s="18"/>
      <c r="M32" s="18"/>
      <c r="N32" s="18"/>
      <c r="O32" s="18"/>
      <c r="P32" s="18"/>
      <c r="Q32" s="18"/>
    </row>
    <row r="33" spans="2:17" ht="18" customHeight="1" x14ac:dyDescent="0.3">
      <c r="B33" s="39" t="s">
        <v>406</v>
      </c>
      <c r="C33" s="7">
        <f>SUM(C30:C32)</f>
        <v>3293</v>
      </c>
      <c r="D33" s="7">
        <f t="shared" ref="D33:Q33" si="6">SUM(D30:D32)</f>
        <v>3096</v>
      </c>
      <c r="E33" s="7">
        <f t="shared" si="6"/>
        <v>3034</v>
      </c>
      <c r="F33" s="7">
        <f t="shared" si="6"/>
        <v>3065</v>
      </c>
      <c r="G33" s="7">
        <f t="shared" si="6"/>
        <v>3138</v>
      </c>
      <c r="H33" s="7">
        <f t="shared" si="6"/>
        <v>3418</v>
      </c>
      <c r="I33" s="7">
        <f t="shared" si="6"/>
        <v>3795</v>
      </c>
      <c r="J33" s="7">
        <f t="shared" si="6"/>
        <v>0</v>
      </c>
      <c r="K33" s="7">
        <f t="shared" si="6"/>
        <v>0</v>
      </c>
      <c r="L33" s="7">
        <f t="shared" si="6"/>
        <v>0</v>
      </c>
      <c r="M33" s="7">
        <f t="shared" si="6"/>
        <v>0</v>
      </c>
      <c r="N33" s="7">
        <f t="shared" si="6"/>
        <v>0</v>
      </c>
      <c r="O33" s="7">
        <f t="shared" si="6"/>
        <v>0</v>
      </c>
      <c r="P33" s="7">
        <f t="shared" si="6"/>
        <v>0</v>
      </c>
      <c r="Q33" s="7">
        <f t="shared" si="6"/>
        <v>0</v>
      </c>
    </row>
    <row r="34" spans="2:17" ht="18" customHeight="1" x14ac:dyDescent="0.3">
      <c r="B34" s="38" t="s">
        <v>407</v>
      </c>
      <c r="C34" s="14">
        <v>23737.120000000006</v>
      </c>
      <c r="D34" s="14">
        <v>23784.499999999996</v>
      </c>
      <c r="E34" s="14">
        <v>25339.120000000006</v>
      </c>
      <c r="F34" s="14">
        <v>23763.479999999996</v>
      </c>
      <c r="G34" s="14">
        <v>21295.769999999997</v>
      </c>
      <c r="H34" s="14">
        <v>21871.679999999993</v>
      </c>
      <c r="I34" s="14">
        <v>20935.260000000002</v>
      </c>
      <c r="L34"/>
      <c r="M34"/>
      <c r="N34" s="12"/>
      <c r="O34" s="12"/>
      <c r="P34" s="12"/>
      <c r="Q34" s="12"/>
    </row>
    <row r="35" spans="2:17" ht="18" customHeight="1" x14ac:dyDescent="0.3">
      <c r="B35" s="39" t="s">
        <v>408</v>
      </c>
      <c r="C35" s="7">
        <f>SUM(C33:C34)</f>
        <v>27030.120000000006</v>
      </c>
      <c r="D35" s="7">
        <f t="shared" ref="D35:I35" si="7">SUM(D33:D34)</f>
        <v>26880.499999999996</v>
      </c>
      <c r="E35" s="7">
        <f t="shared" si="7"/>
        <v>28373.120000000006</v>
      </c>
      <c r="F35" s="7">
        <f t="shared" si="7"/>
        <v>26828.479999999996</v>
      </c>
      <c r="G35" s="7">
        <f t="shared" si="7"/>
        <v>24433.769999999997</v>
      </c>
      <c r="H35" s="7">
        <f t="shared" si="7"/>
        <v>25289.679999999993</v>
      </c>
      <c r="I35" s="7">
        <f t="shared" si="7"/>
        <v>24730.260000000002</v>
      </c>
      <c r="J35" s="7">
        <f t="shared" ref="J35" si="8">SUM(J33:J34)</f>
        <v>0</v>
      </c>
      <c r="K35" s="7">
        <f t="shared" ref="K35" si="9">SUM(K33:K34)</f>
        <v>0</v>
      </c>
      <c r="L35" s="7">
        <f t="shared" ref="L35" si="10">SUM(L33:L34)</f>
        <v>0</v>
      </c>
      <c r="M35" s="7">
        <f t="shared" ref="M35" si="11">SUM(M33:M34)</f>
        <v>0</v>
      </c>
      <c r="N35" s="7">
        <f t="shared" ref="N35" si="12">SUM(N33:N34)</f>
        <v>0</v>
      </c>
      <c r="O35" s="7">
        <f t="shared" ref="O35" si="13">SUM(O33:O34)</f>
        <v>0</v>
      </c>
      <c r="P35" s="7">
        <f t="shared" ref="P35" si="14">SUM(P33:P34)</f>
        <v>0</v>
      </c>
      <c r="Q35" s="7">
        <f t="shared" ref="Q35" si="15">SUM(Q33:Q34)</f>
        <v>0</v>
      </c>
    </row>
    <row r="36" spans="2:17" ht="18" customHeight="1" x14ac:dyDescent="0.3">
      <c r="B36" s="39"/>
      <c r="N36" s="12"/>
      <c r="O36" s="12"/>
      <c r="P36" s="12"/>
      <c r="Q36" s="12"/>
    </row>
    <row r="37" spans="2:17" ht="18" customHeight="1" x14ac:dyDescent="0.3">
      <c r="B37" s="8" t="s">
        <v>409</v>
      </c>
      <c r="N37" s="12"/>
      <c r="O37" s="12"/>
      <c r="P37" s="12"/>
      <c r="Q37" s="12"/>
    </row>
    <row r="38" spans="2:17" ht="18" customHeight="1" x14ac:dyDescent="0.3">
      <c r="B38" s="38" t="s">
        <v>410</v>
      </c>
      <c r="C38" s="14">
        <v>7108.6</v>
      </c>
      <c r="D38" s="14">
        <v>4035.07</v>
      </c>
      <c r="E38" s="14">
        <v>3024.75</v>
      </c>
      <c r="F38" s="14">
        <v>3128.35</v>
      </c>
      <c r="G38" s="14">
        <v>4785.38</v>
      </c>
      <c r="H38" s="14">
        <v>5884.35</v>
      </c>
      <c r="I38" s="14">
        <v>6796.27</v>
      </c>
      <c r="J38" s="18"/>
      <c r="K38" s="18"/>
      <c r="L38" s="18"/>
      <c r="M38" s="18"/>
      <c r="N38" s="18"/>
      <c r="O38" s="18"/>
      <c r="P38" s="18"/>
      <c r="Q38" s="18"/>
    </row>
    <row r="39" spans="2:17" ht="18" customHeight="1" x14ac:dyDescent="0.3">
      <c r="B39" s="38" t="s">
        <v>411</v>
      </c>
      <c r="C39" s="14">
        <v>8908.23</v>
      </c>
      <c r="D39" s="14">
        <v>7194.45</v>
      </c>
      <c r="E39" s="14">
        <v>6560.21</v>
      </c>
      <c r="F39" s="14">
        <v>6755.9</v>
      </c>
      <c r="G39" s="14">
        <v>7220.57</v>
      </c>
      <c r="H39" s="14">
        <v>9869.49</v>
      </c>
      <c r="I39" s="14">
        <v>13334.58</v>
      </c>
      <c r="J39" s="18"/>
      <c r="K39" s="18"/>
      <c r="L39" s="18"/>
      <c r="M39" s="18"/>
      <c r="N39" s="18"/>
      <c r="O39" s="18"/>
      <c r="P39" s="18"/>
      <c r="Q39" s="18"/>
    </row>
    <row r="40" spans="2:17" ht="18" customHeight="1" x14ac:dyDescent="0.3">
      <c r="B40" s="38" t="s">
        <v>412</v>
      </c>
      <c r="C40" s="14">
        <v>10292.09</v>
      </c>
      <c r="D40" s="14">
        <v>10440.4</v>
      </c>
      <c r="E40" s="14">
        <v>11131.99</v>
      </c>
      <c r="F40" s="14">
        <v>13564.710000000001</v>
      </c>
      <c r="G40" s="14">
        <v>16408.310000000001</v>
      </c>
      <c r="H40" s="14">
        <v>19427.25</v>
      </c>
      <c r="I40" s="14">
        <v>19457.88</v>
      </c>
      <c r="J40" s="18"/>
      <c r="K40" s="18"/>
      <c r="L40" s="18"/>
      <c r="M40" s="18"/>
      <c r="N40" s="18"/>
      <c r="O40" s="18"/>
      <c r="P40" s="18"/>
      <c r="Q40" s="18"/>
    </row>
    <row r="41" spans="2:17" ht="18" customHeight="1" x14ac:dyDescent="0.3">
      <c r="B41" s="39" t="s">
        <v>425</v>
      </c>
      <c r="C41" s="14">
        <v>6418.59</v>
      </c>
      <c r="D41" s="14">
        <v>6701.45</v>
      </c>
      <c r="E41" s="14">
        <v>7153.69</v>
      </c>
      <c r="F41" s="14">
        <v>6642.58</v>
      </c>
      <c r="G41" s="14">
        <v>6157.47</v>
      </c>
      <c r="H41" s="14">
        <v>7612.41</v>
      </c>
      <c r="I41" s="14">
        <v>11866.62</v>
      </c>
      <c r="J41" s="18"/>
      <c r="K41" s="18"/>
      <c r="L41" s="18"/>
      <c r="M41" s="18"/>
      <c r="N41" s="18"/>
      <c r="O41" s="18"/>
      <c r="P41" s="18"/>
      <c r="Q41" s="18"/>
    </row>
    <row r="42" spans="2:17" ht="18" customHeight="1" x14ac:dyDescent="0.3">
      <c r="B42" s="39" t="s">
        <v>413</v>
      </c>
      <c r="C42" s="7">
        <f>SUM(C38:C41)</f>
        <v>32727.51</v>
      </c>
      <c r="D42" s="7">
        <f t="shared" ref="D42:Q42" si="16">SUM(D38:D41)</f>
        <v>28371.37</v>
      </c>
      <c r="E42" s="7">
        <f t="shared" si="16"/>
        <v>27870.639999999996</v>
      </c>
      <c r="F42" s="7">
        <f t="shared" si="16"/>
        <v>30091.54</v>
      </c>
      <c r="G42" s="7">
        <f t="shared" si="16"/>
        <v>34571.730000000003</v>
      </c>
      <c r="H42" s="7">
        <f t="shared" si="16"/>
        <v>42793.5</v>
      </c>
      <c r="I42" s="7">
        <f t="shared" si="16"/>
        <v>51455.35</v>
      </c>
      <c r="J42" s="7">
        <f t="shared" si="16"/>
        <v>0</v>
      </c>
      <c r="K42" s="7">
        <f t="shared" si="16"/>
        <v>0</v>
      </c>
      <c r="L42" s="7">
        <f t="shared" si="16"/>
        <v>0</v>
      </c>
      <c r="M42" s="7">
        <f t="shared" si="16"/>
        <v>0</v>
      </c>
      <c r="N42" s="7">
        <f t="shared" si="16"/>
        <v>0</v>
      </c>
      <c r="O42" s="7">
        <f t="shared" si="16"/>
        <v>0</v>
      </c>
      <c r="P42" s="7">
        <f t="shared" si="16"/>
        <v>0</v>
      </c>
      <c r="Q42" s="7">
        <f t="shared" si="16"/>
        <v>0</v>
      </c>
    </row>
    <row r="43" spans="2:17" ht="18" customHeight="1" x14ac:dyDescent="0.3">
      <c r="N43" s="12"/>
      <c r="O43" s="12"/>
      <c r="P43" s="12"/>
      <c r="Q43" s="12"/>
    </row>
    <row r="44" spans="2:17" ht="18" customHeight="1" x14ac:dyDescent="0.3">
      <c r="B44" s="8" t="s">
        <v>414</v>
      </c>
      <c r="C44" s="7">
        <f>C42+C35</f>
        <v>59757.630000000005</v>
      </c>
      <c r="D44" s="7">
        <f t="shared" ref="D44:Q44" si="17">D42+D35</f>
        <v>55251.869999999995</v>
      </c>
      <c r="E44" s="7">
        <f t="shared" si="17"/>
        <v>56243.76</v>
      </c>
      <c r="F44" s="7">
        <f t="shared" si="17"/>
        <v>56920.02</v>
      </c>
      <c r="G44" s="7">
        <f t="shared" si="17"/>
        <v>59005.5</v>
      </c>
      <c r="H44" s="7">
        <f t="shared" si="17"/>
        <v>68083.179999999993</v>
      </c>
      <c r="I44" s="7">
        <f t="shared" si="17"/>
        <v>76185.61</v>
      </c>
      <c r="J44" s="7">
        <f t="shared" si="17"/>
        <v>0</v>
      </c>
      <c r="K44" s="7">
        <f t="shared" si="17"/>
        <v>0</v>
      </c>
      <c r="L44" s="7">
        <f t="shared" si="17"/>
        <v>0</v>
      </c>
      <c r="M44" s="7">
        <f t="shared" si="17"/>
        <v>0</v>
      </c>
      <c r="N44" s="7">
        <f t="shared" si="17"/>
        <v>0</v>
      </c>
      <c r="O44" s="7">
        <f t="shared" si="17"/>
        <v>0</v>
      </c>
      <c r="P44" s="7">
        <f t="shared" si="17"/>
        <v>0</v>
      </c>
      <c r="Q44" s="7">
        <f t="shared" si="17"/>
        <v>0</v>
      </c>
    </row>
    <row r="45" spans="2:17" ht="18" customHeight="1" x14ac:dyDescent="0.3">
      <c r="N45" s="12"/>
      <c r="O45" s="12"/>
      <c r="P45" s="12"/>
      <c r="Q45" s="12"/>
    </row>
    <row r="46" spans="2:17" ht="18" customHeight="1" x14ac:dyDescent="0.3">
      <c r="N46" s="12"/>
      <c r="O46" s="12"/>
      <c r="P46" s="12"/>
      <c r="Q46" s="12"/>
    </row>
    <row r="47" spans="2:17" ht="18" customHeight="1" x14ac:dyDescent="0.3">
      <c r="B47" t="s">
        <v>415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12"/>
    </row>
    <row r="48" spans="2:17" x14ac:dyDescent="0.3">
      <c r="C48" s="43"/>
      <c r="D48" s="43"/>
      <c r="E48" s="43"/>
      <c r="F48" s="43"/>
      <c r="G48" s="43"/>
      <c r="H48" s="43"/>
      <c r="I48" s="44"/>
      <c r="J48" s="44"/>
      <c r="K48" s="44"/>
      <c r="L48" s="44"/>
      <c r="M48" s="44"/>
      <c r="N48" s="44"/>
      <c r="O48" s="45"/>
      <c r="P48" s="46"/>
    </row>
    <row r="49" spans="3:16" x14ac:dyDescent="0.3">
      <c r="C49" s="47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6"/>
    </row>
    <row r="50" spans="3:16" x14ac:dyDescent="0.3"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Sheet</vt:lpstr>
      <vt:lpstr>Sheet1</vt:lpstr>
      <vt:lpstr>PL</vt:lpstr>
      <vt:lpstr>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khanna</dc:creator>
  <cp:lastModifiedBy>shivam khanna</cp:lastModifiedBy>
  <dcterms:created xsi:type="dcterms:W3CDTF">2026-06-27T18:47:22Z</dcterms:created>
  <dcterms:modified xsi:type="dcterms:W3CDTF">2026-06-29T07:08:53Z</dcterms:modified>
</cp:coreProperties>
</file>