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4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  <font>
      <b val="1"/>
      <sz val="11"/>
    </font>
    <font>
      <i val="1"/>
      <color rgb="00808080"/>
      <sz val="9"/>
    </font>
    <font>
      <i val="1"/>
      <color rgb="001F3864"/>
      <sz val="9"/>
    </font>
    <font>
      <color rgb="00808080"/>
      <sz val="9"/>
    </font>
    <font>
      <name val="Calibri"/>
      <b val="1"/>
      <color rgb="001F3864"/>
      <sz val="12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i val="1"/>
      <color rgb="001F3864"/>
      <sz val="10"/>
    </font>
    <font>
      <name val="Calibri"/>
      <color rgb="00000000"/>
      <sz val="10"/>
    </font>
    <font>
      <name val="Calibri"/>
      <color rgb="00008000"/>
      <sz val="10"/>
    </font>
    <font>
      <i val="1"/>
      <color rgb="00C00000"/>
      <sz val="9"/>
    </font>
    <font>
      <i val="1"/>
      <color rgb="00808080"/>
      <sz val="8"/>
    </font>
    <font>
      <name val="Calibri"/>
      <color rgb="000000CC"/>
      <sz val="10"/>
    </font>
  </fonts>
  <fills count="9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EF8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/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114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  <xf numFmtId="0" fontId="28" fillId="0" borderId="0" pivotButton="0" quotePrefix="0" xfId="0"/>
    <xf numFmtId="0" fontId="27" fillId="5" borderId="3" applyAlignment="1" pivotButton="0" quotePrefix="0" xfId="0">
      <alignment horizontal="center"/>
    </xf>
    <xf numFmtId="0" fontId="29" fillId="0" borderId="0" pivotButton="0" quotePrefix="0" xfId="0"/>
    <xf numFmtId="0" fontId="30" fillId="0" borderId="0" pivotButton="0" quotePrefix="0" xfId="0"/>
    <xf numFmtId="167" fontId="25" fillId="7" borderId="3" applyAlignment="1" pivotButton="0" quotePrefix="0" xfId="0">
      <alignment horizontal="right"/>
    </xf>
    <xf numFmtId="0" fontId="31" fillId="0" borderId="0" pivotButton="0" quotePrefix="0" xfId="0"/>
    <xf numFmtId="1" fontId="25" fillId="7" borderId="3" applyAlignment="1" pivotButton="0" quotePrefix="0" xfId="0">
      <alignment horizontal="right"/>
    </xf>
    <xf numFmtId="167" fontId="36" fillId="5" borderId="3" applyAlignment="1" pivotButton="0" quotePrefix="0" xfId="0">
      <alignment horizontal="right"/>
    </xf>
    <xf numFmtId="0" fontId="33" fillId="0" borderId="0" pivotButton="0" quotePrefix="0" xfId="0"/>
    <xf numFmtId="0" fontId="3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172" fontId="37" fillId="0" borderId="0" applyAlignment="1" pivotButton="0" quotePrefix="0" xfId="0">
      <alignment horizontal="right"/>
    </xf>
    <xf numFmtId="172" fontId="40" fillId="0" borderId="0" pivotButton="0" quotePrefix="0" xfId="0"/>
    <xf numFmtId="172" fontId="40" fillId="0" borderId="0" applyAlignment="1" pivotButton="0" quotePrefix="0" xfId="0">
      <alignment horizontal="right"/>
    </xf>
    <xf numFmtId="0" fontId="36" fillId="0" borderId="0" pivotButton="0" quotePrefix="0" xfId="0"/>
    <xf numFmtId="172" fontId="37" fillId="0" borderId="0" pivotButton="0" quotePrefix="0" xfId="0"/>
    <xf numFmtId="0" fontId="32" fillId="0" borderId="0" pivotButton="0" quotePrefix="0" xfId="0"/>
    <xf numFmtId="164" fontId="33" fillId="0" borderId="0" applyAlignment="1" pivotButton="0" quotePrefix="0" xfId="0">
      <alignment horizontal="right"/>
    </xf>
    <xf numFmtId="165" fontId="33" fillId="0" borderId="0" applyAlignment="1" pivotButton="0" quotePrefix="0" xfId="0">
      <alignment horizontal="right"/>
    </xf>
    <xf numFmtId="9" fontId="0" fillId="8" borderId="0" pivotButton="0" quotePrefix="0" xfId="2"/>
    <xf numFmtId="0" fontId="34" fillId="8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left" indent="1"/>
    </xf>
    <xf numFmtId="172" fontId="36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left" indent="1"/>
    </xf>
    <xf numFmtId="172" fontId="33" fillId="4" borderId="0" applyAlignment="1" pivotButton="0" quotePrefix="0" xfId="0">
      <alignment horizontal="right"/>
    </xf>
    <xf numFmtId="0" fontId="33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 indent="1"/>
    </xf>
    <xf numFmtId="172" fontId="37" fillId="6" borderId="0" applyAlignment="1" pivotButton="0" quotePrefix="0" xfId="0">
      <alignment horizontal="right"/>
    </xf>
    <xf numFmtId="172" fontId="33" fillId="4" borderId="4" applyAlignment="1" pivotButton="0" quotePrefix="0" xfId="0">
      <alignment horizontal="right"/>
    </xf>
    <xf numFmtId="0" fontId="34" fillId="8" borderId="0" applyAlignment="1" pivotButton="0" quotePrefix="0" xfId="0">
      <alignment horizontal="left" indent="1"/>
    </xf>
    <xf numFmtId="166" fontId="6" fillId="8" borderId="0" pivotButton="0" quotePrefix="0" xfId="0"/>
    <xf numFmtId="172" fontId="22" fillId="8" borderId="0" applyAlignment="1" pivotButton="0" quotePrefix="0" xfId="0">
      <alignment horizontal="right"/>
    </xf>
    <xf numFmtId="0" fontId="36" fillId="0" borderId="0" applyAlignment="1" pivotButton="0" quotePrefix="0" xfId="0">
      <alignment horizontal="left"/>
    </xf>
    <xf numFmtId="2" fontId="38" fillId="0" borderId="0" pivotButton="0" quotePrefix="0" xfId="0"/>
    <xf numFmtId="0" fontId="39" fillId="0" borderId="0" pivotButton="0" quotePrefix="0" xfId="0"/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74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44" customWidth="1" style="46" min="2" max="2"/>
    <col width="11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66" customWidth="1" style="46" min="17" max="17"/>
  </cols>
  <sheetData>
    <row r="1">
      <c r="B1" s="53" t="inlineStr">
        <is>
          <t>FORECAST ASSUMPTIONS  -  variable (scenario-driven) &amp; fixed</t>
        </is>
      </c>
    </row>
    <row r="3">
      <c r="B3" s="76" t="inlineStr">
        <is>
          <t>Scenario Switch</t>
        </is>
      </c>
      <c r="C3" s="77" t="inlineStr">
        <is>
          <t>Base</t>
        </is>
      </c>
      <c r="E3" s="78" t="inlineStr">
        <is>
          <t>&lt;- toggle Base / Best / Bear and the whole PL, BS &amp; engine recalculate</t>
        </is>
      </c>
    </row>
    <row r="4">
      <c r="E4" s="79" t="inlineStr">
        <is>
          <t>Active scenario FY2033E:</t>
        </is>
      </c>
      <c r="G4" s="79">
        <f>"Sales "&amp;TEXT('PL'!P5,"#,##0")&amp;"  |  EBITDA "&amp;TEXT('PL'!P12,"#,##0")&amp;"  |  PAT "&amp;TEXT('PL'!P20,"#,##0")</f>
        <v/>
      </c>
    </row>
    <row r="6">
      <c r="B6" s="61" t="inlineStr">
        <is>
          <t>A.  VARIABLE ASSUMPTIONS  (Base / Best / Bear, selected by Scenario Switch)</t>
        </is>
      </c>
    </row>
    <row r="7">
      <c r="B7" s="68" t="inlineStr">
        <is>
          <t>ratios / INR Crore</t>
        </is>
      </c>
      <c r="J7" s="55" t="n">
        <v>2027</v>
      </c>
      <c r="K7" s="55" t="n">
        <v>2028</v>
      </c>
      <c r="L7" s="55" t="n">
        <v>2029</v>
      </c>
      <c r="M7" s="55" t="n">
        <v>2030</v>
      </c>
      <c r="N7" s="55" t="n">
        <v>2031</v>
      </c>
      <c r="O7" s="55" t="n">
        <v>2032</v>
      </c>
      <c r="P7" s="55" t="n">
        <v>2033</v>
      </c>
      <c r="Q7" s="54" t="inlineStr">
        <is>
          <t>Rationale</t>
        </is>
      </c>
    </row>
    <row r="8" ht="40" customHeight="1" s="46">
      <c r="B8" s="63" t="inlineStr">
        <is>
          <t>Revenue growth %</t>
        </is>
      </c>
      <c r="J8" s="80">
        <f>IF($C$3="Best",J10,IF($C$3="Bear",J11,J9))</f>
        <v/>
      </c>
      <c r="K8" s="80">
        <f>IF($C$3="Best",K10,IF($C$3="Bear",K11,K9))</f>
        <v/>
      </c>
      <c r="L8" s="80">
        <f>IF($C$3="Best",L10,IF($C$3="Bear",L11,L9))</f>
        <v/>
      </c>
      <c r="M8" s="80">
        <f>IF($C$3="Best",M10,IF($C$3="Bear",M11,M9))</f>
        <v/>
      </c>
      <c r="N8" s="80">
        <f>IF($C$3="Best",N10,IF($C$3="Bear",N11,N9))</f>
        <v/>
      </c>
      <c r="O8" s="80">
        <f>IF($C$3="Best",O10,IF($C$3="Bear",O11,O9))</f>
        <v/>
      </c>
      <c r="P8" s="80">
        <f>IF($C$3="Best",P10,IF($C$3="Bear",P11,P9))</f>
        <v/>
      </c>
      <c r="Q8" s="58" t="inlineStr">
        <is>
          <t>Demand driver. Base = order-book-supported double digits tapering; Best = faster execution/new ordering; Bear = slower power capex &amp; execution delays.</t>
        </is>
      </c>
    </row>
    <row r="9">
      <c r="B9" s="81" t="inlineStr">
        <is>
          <t xml:space="preserve">   Base</t>
        </is>
      </c>
      <c r="J9" s="57" t="n">
        <v>0.15</v>
      </c>
      <c r="K9" s="57" t="n">
        <v>0.14</v>
      </c>
      <c r="L9" s="57" t="n">
        <v>0.13</v>
      </c>
      <c r="M9" s="57" t="n">
        <v>0.12</v>
      </c>
      <c r="N9" s="57" t="n">
        <v>0.11</v>
      </c>
      <c r="O9" s="57" t="n">
        <v>0.1</v>
      </c>
      <c r="P9" s="57" t="n">
        <v>0.09</v>
      </c>
    </row>
    <row r="10">
      <c r="B10" s="81" t="inlineStr">
        <is>
          <t xml:space="preserve">   Best</t>
        </is>
      </c>
      <c r="J10" s="57" t="n">
        <v>0.18</v>
      </c>
      <c r="K10" s="57" t="n">
        <v>0.17</v>
      </c>
      <c r="L10" s="57" t="n">
        <v>0.16</v>
      </c>
      <c r="M10" s="57" t="n">
        <v>0.14</v>
      </c>
      <c r="N10" s="57" t="n">
        <v>0.13</v>
      </c>
      <c r="O10" s="57" t="n">
        <v>0.12</v>
      </c>
      <c r="P10" s="57" t="n">
        <v>0.11</v>
      </c>
    </row>
    <row r="11">
      <c r="B11" s="81" t="inlineStr">
        <is>
          <t xml:space="preserve">   Bear</t>
        </is>
      </c>
      <c r="J11" s="57" t="n">
        <v>0.1</v>
      </c>
      <c r="K11" s="57" t="n">
        <v>0.09</v>
      </c>
      <c r="L11" s="57" t="n">
        <v>0.08</v>
      </c>
      <c r="M11" s="57" t="n">
        <v>0.07000000000000001</v>
      </c>
      <c r="N11" s="57" t="n">
        <v>0.06</v>
      </c>
      <c r="O11" s="57" t="n">
        <v>0.06</v>
      </c>
      <c r="P11" s="57" t="n">
        <v>0.05</v>
      </c>
    </row>
    <row r="13" ht="40" customHeight="1" s="46">
      <c r="B13" s="63" t="inlineStr">
        <is>
          <t>Gross margin %</t>
        </is>
      </c>
      <c r="J13" s="80">
        <f>IF($C$3="Best",J15,IF($C$3="Bear",J16,J14))</f>
        <v/>
      </c>
      <c r="K13" s="80">
        <f>IF($C$3="Best",K15,IF($C$3="Bear",K16,K14))</f>
        <v/>
      </c>
      <c r="L13" s="80">
        <f>IF($C$3="Best",L15,IF($C$3="Bear",L16,L14))</f>
        <v/>
      </c>
      <c r="M13" s="80">
        <f>IF($C$3="Best",M15,IF($C$3="Bear",M16,M14))</f>
        <v/>
      </c>
      <c r="N13" s="80">
        <f>IF($C$3="Best",N15,IF($C$3="Bear",N16,N14))</f>
        <v/>
      </c>
      <c r="O13" s="80">
        <f>IF($C$3="Best",O15,IF($C$3="Bear",O16,O14))</f>
        <v/>
      </c>
      <c r="P13" s="80">
        <f>IF($C$3="Best",P15,IF($C$3="Bear",P16,P14))</f>
        <v/>
      </c>
      <c r="Q13" s="58" t="inlineStr">
        <is>
          <t>Margin driver. Actual FY26 32.0%. Best = favourable mix + benign steel/copper; Bear = commodity inflation &amp; competitive pricing.</t>
        </is>
      </c>
    </row>
    <row r="14">
      <c r="B14" s="81" t="inlineStr">
        <is>
          <t xml:space="preserve">   Base</t>
        </is>
      </c>
      <c r="J14" s="57" t="n">
        <v>0.325</v>
      </c>
      <c r="K14" s="57" t="n">
        <v>0.33</v>
      </c>
      <c r="L14" s="57" t="n">
        <v>0.335</v>
      </c>
      <c r="M14" s="57" t="n">
        <v>0.34</v>
      </c>
      <c r="N14" s="57" t="n">
        <v>0.34</v>
      </c>
      <c r="O14" s="57" t="n">
        <v>0.345</v>
      </c>
      <c r="P14" s="57" t="n">
        <v>0.35</v>
      </c>
    </row>
    <row r="15">
      <c r="B15" s="81" t="inlineStr">
        <is>
          <t xml:space="preserve">   Best</t>
        </is>
      </c>
      <c r="J15" s="57" t="n">
        <v>0.335</v>
      </c>
      <c r="K15" s="57" t="n">
        <v>0.345</v>
      </c>
      <c r="L15" s="57" t="n">
        <v>0.355</v>
      </c>
      <c r="M15" s="57" t="n">
        <v>0.36</v>
      </c>
      <c r="N15" s="57" t="n">
        <v>0.365</v>
      </c>
      <c r="O15" s="57" t="n">
        <v>0.37</v>
      </c>
      <c r="P15" s="57" t="n">
        <v>0.375</v>
      </c>
    </row>
    <row r="16">
      <c r="B16" s="81" t="inlineStr">
        <is>
          <t xml:space="preserve">   Bear</t>
        </is>
      </c>
      <c r="J16" s="57" t="n">
        <v>0.31</v>
      </c>
      <c r="K16" s="57" t="n">
        <v>0.31</v>
      </c>
      <c r="L16" s="57" t="n">
        <v>0.315</v>
      </c>
      <c r="M16" s="57" t="n">
        <v>0.315</v>
      </c>
      <c r="N16" s="57" t="n">
        <v>0.32</v>
      </c>
      <c r="O16" s="57" t="n">
        <v>0.32</v>
      </c>
      <c r="P16" s="57" t="n">
        <v>0.325</v>
      </c>
    </row>
    <row r="18" ht="40" customHeight="1" s="46">
      <c r="B18" s="63" t="inlineStr">
        <is>
          <t>EBITDA margin %</t>
        </is>
      </c>
      <c r="J18" s="80">
        <f>IF($C$3="Best",J20,IF($C$3="Bear",J21,J19))</f>
        <v/>
      </c>
      <c r="K18" s="80">
        <f>IF($C$3="Best",K20,IF($C$3="Bear",K21,K19))</f>
        <v/>
      </c>
      <c r="L18" s="80">
        <f>IF($C$3="Best",L20,IF($C$3="Bear",L21,L19))</f>
        <v/>
      </c>
      <c r="M18" s="80">
        <f>IF($C$3="Best",M20,IF($C$3="Bear",M21,M19))</f>
        <v/>
      </c>
      <c r="N18" s="80">
        <f>IF($C$3="Best",N20,IF($C$3="Bear",N21,N19))</f>
        <v/>
      </c>
      <c r="O18" s="80">
        <f>IF($C$3="Best",O20,IF($C$3="Bear",O21,O19))</f>
        <v/>
      </c>
      <c r="P18" s="80">
        <f>IF($C$3="Best",P20,IF($C$3="Bear",P21,P19))</f>
        <v/>
      </c>
      <c r="Q18" s="58" t="inlineStr">
        <is>
          <t>Operating leverage. Actual FY26 6.9%. Best = strong leverage to low-/mid-teens; Bear = limited leverage if growth disappoints.</t>
        </is>
      </c>
    </row>
    <row r="19">
      <c r="B19" s="81" t="inlineStr">
        <is>
          <t xml:space="preserve">   Base</t>
        </is>
      </c>
      <c r="J19" s="57" t="n">
        <v>0.08</v>
      </c>
      <c r="K19" s="57" t="n">
        <v>0.09</v>
      </c>
      <c r="L19" s="57" t="n">
        <v>0.1</v>
      </c>
      <c r="M19" s="57" t="n">
        <v>0.11</v>
      </c>
      <c r="N19" s="57" t="n">
        <v>0.115</v>
      </c>
      <c r="O19" s="57" t="n">
        <v>0.12</v>
      </c>
      <c r="P19" s="57" t="n">
        <v>0.125</v>
      </c>
    </row>
    <row r="20">
      <c r="B20" s="81" t="inlineStr">
        <is>
          <t xml:space="preserve">   Best</t>
        </is>
      </c>
      <c r="J20" s="57" t="n">
        <v>0.095</v>
      </c>
      <c r="K20" s="57" t="n">
        <v>0.11</v>
      </c>
      <c r="L20" s="57" t="n">
        <v>0.12</v>
      </c>
      <c r="M20" s="57" t="n">
        <v>0.13</v>
      </c>
      <c r="N20" s="57" t="n">
        <v>0.135</v>
      </c>
      <c r="O20" s="57" t="n">
        <v>0.14</v>
      </c>
      <c r="P20" s="57" t="n">
        <v>0.145</v>
      </c>
    </row>
    <row r="21">
      <c r="B21" s="81" t="inlineStr">
        <is>
          <t xml:space="preserve">   Bear</t>
        </is>
      </c>
      <c r="J21" s="57" t="n">
        <v>0.065</v>
      </c>
      <c r="K21" s="57" t="n">
        <v>0.07000000000000001</v>
      </c>
      <c r="L21" s="57" t="n">
        <v>0.078</v>
      </c>
      <c r="M21" s="57" t="n">
        <v>0.08500000000000001</v>
      </c>
      <c r="N21" s="57" t="n">
        <v>0.09</v>
      </c>
      <c r="O21" s="57" t="n">
        <v>0.095</v>
      </c>
      <c r="P21" s="57" t="n">
        <v>0.1</v>
      </c>
    </row>
    <row r="23" ht="40" customHeight="1" s="46">
      <c r="B23" s="63" t="inlineStr">
        <is>
          <t>Receivable days</t>
        </is>
      </c>
      <c r="J23" s="82">
        <f>IF($C$3="Best",J25,IF($C$3="Bear",J26,J24))</f>
        <v/>
      </c>
      <c r="K23" s="82">
        <f>IF($C$3="Best",K25,IF($C$3="Bear",K26,K24))</f>
        <v/>
      </c>
      <c r="L23" s="82">
        <f>IF($C$3="Best",L25,IF($C$3="Bear",L26,L24))</f>
        <v/>
      </c>
      <c r="M23" s="82">
        <f>IF($C$3="Best",M25,IF($C$3="Bear",M26,M24))</f>
        <v/>
      </c>
      <c r="N23" s="82">
        <f>IF($C$3="Best",N25,IF($C$3="Bear",N26,N24))</f>
        <v/>
      </c>
      <c r="O23" s="82">
        <f>IF($C$3="Best",O25,IF($C$3="Bear",O26,O24))</f>
        <v/>
      </c>
      <c r="P23" s="82">
        <f>IF($C$3="Best",P25,IF($C$3="Bear",P26,P24))</f>
        <v/>
      </c>
      <c r="Q23" s="58" t="inlineStr">
        <is>
          <t>Collections cycle. Best = faster realisation from PSU/SEB customers; Bear = stretched receivables in a weak cycle.</t>
        </is>
      </c>
    </row>
    <row r="24">
      <c r="B24" s="81" t="inlineStr">
        <is>
          <t xml:space="preserve">   Base</t>
        </is>
      </c>
      <c r="J24" s="59" t="n">
        <v>73</v>
      </c>
      <c r="K24" s="59" t="n">
        <v>73</v>
      </c>
      <c r="L24" s="59" t="n">
        <v>73</v>
      </c>
      <c r="M24" s="59" t="n">
        <v>72</v>
      </c>
      <c r="N24" s="59" t="n">
        <v>72</v>
      </c>
      <c r="O24" s="59" t="n">
        <v>72</v>
      </c>
      <c r="P24" s="59" t="n">
        <v>72</v>
      </c>
    </row>
    <row r="25">
      <c r="B25" s="81" t="inlineStr">
        <is>
          <t xml:space="preserve">   Best</t>
        </is>
      </c>
      <c r="J25" s="59" t="n">
        <v>70</v>
      </c>
      <c r="K25" s="59" t="n">
        <v>68</v>
      </c>
      <c r="L25" s="59" t="n">
        <v>66</v>
      </c>
      <c r="M25" s="59" t="n">
        <v>65</v>
      </c>
      <c r="N25" s="59" t="n">
        <v>64</v>
      </c>
      <c r="O25" s="59" t="n">
        <v>63</v>
      </c>
      <c r="P25" s="59" t="n">
        <v>62</v>
      </c>
    </row>
    <row r="26">
      <c r="B26" s="81" t="inlineStr">
        <is>
          <t xml:space="preserve">   Bear</t>
        </is>
      </c>
      <c r="J26" s="59" t="n">
        <v>80</v>
      </c>
      <c r="K26" s="59" t="n">
        <v>82</v>
      </c>
      <c r="L26" s="59" t="n">
        <v>84</v>
      </c>
      <c r="M26" s="59" t="n">
        <v>85</v>
      </c>
      <c r="N26" s="59" t="n">
        <v>86</v>
      </c>
      <c r="O26" s="59" t="n">
        <v>86</v>
      </c>
      <c r="P26" s="59" t="n">
        <v>86</v>
      </c>
    </row>
    <row r="28" ht="40" customHeight="1" s="46">
      <c r="B28" s="63" t="inlineStr">
        <is>
          <t>Inventory days (on COGS)</t>
        </is>
      </c>
      <c r="J28" s="82">
        <f>IF($C$3="Best",J30,IF($C$3="Bear",J31,J29))</f>
        <v/>
      </c>
      <c r="K28" s="82">
        <f>IF($C$3="Best",K30,IF($C$3="Bear",K31,K29))</f>
        <v/>
      </c>
      <c r="L28" s="82">
        <f>IF($C$3="Best",L30,IF($C$3="Bear",L31,L29))</f>
        <v/>
      </c>
      <c r="M28" s="82">
        <f>IF($C$3="Best",M30,IF($C$3="Bear",M31,M29))</f>
        <v/>
      </c>
      <c r="N28" s="82">
        <f>IF($C$3="Best",N30,IF($C$3="Bear",N31,N29))</f>
        <v/>
      </c>
      <c r="O28" s="82">
        <f>IF($C$3="Best",O30,IF($C$3="Bear",O31,O29))</f>
        <v/>
      </c>
      <c r="P28" s="82">
        <f>IF($C$3="Best",P30,IF($C$3="Bear",P31,P29))</f>
        <v/>
      </c>
      <c r="Q28" s="58" t="inlineStr">
        <is>
          <t>Project inventory cycle. Best = tighter planning/execution; Bear = slow-moving project inventory build-up.</t>
        </is>
      </c>
    </row>
    <row r="29">
      <c r="B29" s="81" t="inlineStr">
        <is>
          <t xml:space="preserve">   Base</t>
        </is>
      </c>
      <c r="J29" s="59" t="n">
        <v>210</v>
      </c>
      <c r="K29" s="59" t="n">
        <v>205</v>
      </c>
      <c r="L29" s="59" t="n">
        <v>202</v>
      </c>
      <c r="M29" s="59" t="n">
        <v>200</v>
      </c>
      <c r="N29" s="59" t="n">
        <v>198</v>
      </c>
      <c r="O29" s="59" t="n">
        <v>195</v>
      </c>
      <c r="P29" s="59" t="n">
        <v>193</v>
      </c>
    </row>
    <row r="30">
      <c r="B30" s="81" t="inlineStr">
        <is>
          <t xml:space="preserve">   Best</t>
        </is>
      </c>
      <c r="J30" s="59" t="n">
        <v>195</v>
      </c>
      <c r="K30" s="59" t="n">
        <v>188</v>
      </c>
      <c r="L30" s="59" t="n">
        <v>182</v>
      </c>
      <c r="M30" s="59" t="n">
        <v>178</v>
      </c>
      <c r="N30" s="59" t="n">
        <v>175</v>
      </c>
      <c r="O30" s="59" t="n">
        <v>172</v>
      </c>
      <c r="P30" s="59" t="n">
        <v>170</v>
      </c>
    </row>
    <row r="31">
      <c r="B31" s="81" t="inlineStr">
        <is>
          <t xml:space="preserve">   Bear</t>
        </is>
      </c>
      <c r="J31" s="59" t="n">
        <v>225</v>
      </c>
      <c r="K31" s="59" t="n">
        <v>225</v>
      </c>
      <c r="L31" s="59" t="n">
        <v>222</v>
      </c>
      <c r="M31" s="59" t="n">
        <v>220</v>
      </c>
      <c r="N31" s="59" t="n">
        <v>218</v>
      </c>
      <c r="O31" s="59" t="n">
        <v>215</v>
      </c>
      <c r="P31" s="59" t="n">
        <v>213</v>
      </c>
    </row>
    <row r="34">
      <c r="B34" s="61" t="inlineStr">
        <is>
          <t>B.  FIXED ASSUMPTIONS  (structural / policy - constant across scenarios)</t>
        </is>
      </c>
    </row>
    <row r="35">
      <c r="B35" s="68" t="inlineStr">
        <is>
          <t>ratios / INR Crore</t>
        </is>
      </c>
      <c r="J35" s="55" t="n">
        <v>2027</v>
      </c>
      <c r="K35" s="55" t="n">
        <v>2028</v>
      </c>
      <c r="L35" s="55" t="n">
        <v>2029</v>
      </c>
      <c r="M35" s="55" t="n">
        <v>2030</v>
      </c>
      <c r="N35" s="55" t="n">
        <v>2031</v>
      </c>
      <c r="O35" s="55" t="n">
        <v>2032</v>
      </c>
      <c r="P35" s="55" t="n">
        <v>2033</v>
      </c>
      <c r="Q35" s="54" t="inlineStr">
        <is>
          <t>Rationale</t>
        </is>
      </c>
    </row>
    <row r="36" ht="28" customHeight="1" s="46">
      <c r="B36" s="56" t="inlineStr">
        <is>
          <t>Employee cost % of sales</t>
        </is>
      </c>
      <c r="J36" s="57" t="n">
        <v>0.185</v>
      </c>
      <c r="K36" s="57" t="n">
        <v>0.18</v>
      </c>
      <c r="L36" s="57" t="n">
        <v>0.175</v>
      </c>
      <c r="M36" s="57" t="n">
        <v>0.17</v>
      </c>
      <c r="N36" s="57" t="n">
        <v>0.165</v>
      </c>
      <c r="O36" s="57" t="n">
        <v>0.16</v>
      </c>
      <c r="P36" s="57" t="n">
        <v>0.155</v>
      </c>
      <c r="Q36" s="58" t="inlineStr">
        <is>
          <t>Largely fixed cost base; declines as % as sales scale. FY26 actual 19.1% of sales.</t>
        </is>
      </c>
    </row>
    <row r="37" ht="28" customHeight="1" s="46">
      <c r="B37" s="56" t="inlineStr">
        <is>
          <t>Other income % of sales</t>
        </is>
      </c>
      <c r="J37" s="57" t="n">
        <v>0.022</v>
      </c>
      <c r="K37" s="57" t="n">
        <v>0.022</v>
      </c>
      <c r="L37" s="57" t="n">
        <v>0.022</v>
      </c>
      <c r="M37" s="57" t="n">
        <v>0.022</v>
      </c>
      <c r="N37" s="57" t="n">
        <v>0.022</v>
      </c>
      <c r="O37" s="57" t="n">
        <v>0.022</v>
      </c>
      <c r="P37" s="57" t="n">
        <v>0.022</v>
      </c>
      <c r="Q37" s="58" t="inlineStr">
        <is>
          <t>Treasury income on cash (~2.2%).</t>
        </is>
      </c>
    </row>
    <row r="38" ht="28" customHeight="1" s="46">
      <c r="B38" s="56" t="inlineStr">
        <is>
          <t>Payable days (on COGS)</t>
        </is>
      </c>
      <c r="J38" s="59" t="n">
        <v>167</v>
      </c>
      <c r="K38" s="59" t="n">
        <v>167</v>
      </c>
      <c r="L38" s="59" t="n">
        <v>167</v>
      </c>
      <c r="M38" s="59" t="n">
        <v>167</v>
      </c>
      <c r="N38" s="59" t="n">
        <v>167</v>
      </c>
      <c r="O38" s="59" t="n">
        <v>167</v>
      </c>
      <c r="P38" s="59" t="n">
        <v>167</v>
      </c>
      <c r="Q38" s="58" t="inlineStr">
        <is>
          <t>Supplier credit ~167 days of COGS (FY26 actual).</t>
        </is>
      </c>
    </row>
    <row r="39" ht="28" customHeight="1" s="46">
      <c r="B39" s="56" t="inlineStr">
        <is>
          <t>Other current assets residual % of sales</t>
        </is>
      </c>
      <c r="J39" s="83" t="n">
        <v>0.12</v>
      </c>
      <c r="K39" s="83" t="n">
        <v>0.118</v>
      </c>
      <c r="L39" s="83" t="n">
        <v>0.115</v>
      </c>
      <c r="M39" s="83" t="n">
        <v>0.112</v>
      </c>
      <c r="N39" s="83" t="n">
        <v>0.11</v>
      </c>
      <c r="O39" s="83" t="n">
        <v>0.108</v>
      </c>
      <c r="P39" s="83" t="n">
        <v>0.105</v>
      </c>
      <c r="Q39" s="58" t="inlineStr">
        <is>
          <t>Security deposits, current tax assets &amp; advances (ex-contract assets). FY26 actual 12.6% of sales.</t>
        </is>
      </c>
    </row>
    <row r="40" ht="28" customHeight="1" s="46">
      <c r="B40" s="56" t="inlineStr">
        <is>
          <t>Other current liabilities residual % of sales</t>
        </is>
      </c>
      <c r="J40" s="83" t="n">
        <v>0.082</v>
      </c>
      <c r="K40" s="83" t="n">
        <v>0.082</v>
      </c>
      <c r="L40" s="83" t="n">
        <v>0.08</v>
      </c>
      <c r="M40" s="83" t="n">
        <v>0.08</v>
      </c>
      <c r="N40" s="83" t="n">
        <v>0.078</v>
      </c>
      <c r="O40" s="83" t="n">
        <v>0.078</v>
      </c>
      <c r="P40" s="83" t="n">
        <v>0.076</v>
      </c>
      <c r="Q40" s="58" t="inlineStr">
        <is>
          <t>Statutory dues, employee dues &amp; deposits (ex-contract liabilities &amp; current provisions). FY26 actual 8.2%.</t>
        </is>
      </c>
    </row>
    <row r="41" ht="28" customHeight="1" s="46">
      <c r="B41" s="56" t="inlineStr">
        <is>
          <t>Other non-current assets residual growth %</t>
        </is>
      </c>
      <c r="J41" s="83" t="n">
        <v>0.03</v>
      </c>
      <c r="K41" s="83" t="n">
        <v>0.03</v>
      </c>
      <c r="L41" s="83" t="n">
        <v>0.03</v>
      </c>
      <c r="M41" s="83" t="n">
        <v>0.03</v>
      </c>
      <c r="N41" s="83" t="n">
        <v>0.03</v>
      </c>
      <c r="O41" s="83" t="n">
        <v>0.03</v>
      </c>
      <c r="P41" s="83" t="n">
        <v>0.03</v>
      </c>
      <c r="Q41" s="58" t="inlineStr">
        <is>
          <t>LT security deposits &amp; loans (ex-deferred tax, NC trade receivables, NC contract assets). Slow growth.</t>
        </is>
      </c>
    </row>
    <row r="42" ht="28" customHeight="1" s="46">
      <c r="B42" s="56" t="inlineStr">
        <is>
          <t>Other non-current liabilities residual growth %</t>
        </is>
      </c>
      <c r="J42" s="83" t="n">
        <v>0.04</v>
      </c>
      <c r="K42" s="83" t="n">
        <v>0.04</v>
      </c>
      <c r="L42" s="83" t="n">
        <v>0.04</v>
      </c>
      <c r="M42" s="83" t="n">
        <v>0.04</v>
      </c>
      <c r="N42" s="83" t="n">
        <v>0.04</v>
      </c>
      <c r="O42" s="83" t="n">
        <v>0.04</v>
      </c>
      <c r="P42" s="83" t="n">
        <v>0.04</v>
      </c>
      <c r="Q42" s="58" t="inlineStr">
        <is>
          <t>LT deposits from contractors &amp; deferred grants (ex-contract liabilities &amp; NC trade payables).</t>
        </is>
      </c>
    </row>
    <row r="43" ht="28" customHeight="1" s="46">
      <c r="B43" s="56" t="inlineStr">
        <is>
          <t>LT provisions growth %</t>
        </is>
      </c>
      <c r="J43" s="57" t="n">
        <v>0.03</v>
      </c>
      <c r="K43" s="57" t="n">
        <v>0.03</v>
      </c>
      <c r="L43" s="57" t="n">
        <v>0.03</v>
      </c>
      <c r="M43" s="57" t="n">
        <v>0.03</v>
      </c>
      <c r="N43" s="57" t="n">
        <v>0.03</v>
      </c>
      <c r="O43" s="57" t="n">
        <v>0.03</v>
      </c>
      <c r="P43" s="57" t="n">
        <v>0.03</v>
      </c>
      <c r="Q43" s="58" t="inlineStr">
        <is>
          <t>Warranty &amp; employee-benefit provisions.</t>
        </is>
      </c>
    </row>
    <row r="44" ht="28" customHeight="1" s="46">
      <c r="B44" s="56" t="inlineStr">
        <is>
          <t>Capital expenditure (Rs cr)</t>
        </is>
      </c>
      <c r="J44" s="60" t="n">
        <v>600</v>
      </c>
      <c r="K44" s="60" t="n">
        <v>700</v>
      </c>
      <c r="L44" s="60" t="n">
        <v>750</v>
      </c>
      <c r="M44" s="60" t="n">
        <v>800</v>
      </c>
      <c r="N44" s="60" t="n">
        <v>850</v>
      </c>
      <c r="O44" s="60" t="n">
        <v>900</v>
      </c>
      <c r="P44" s="60" t="n">
        <v>950</v>
      </c>
      <c r="Q44" s="58" t="inlineStr">
        <is>
          <t>Modernisation + renewables/defence capacity; internally funded.</t>
        </is>
      </c>
    </row>
    <row r="45" ht="28" customHeight="1" s="46">
      <c r="B45" s="56" t="inlineStr">
        <is>
          <t>Depreciation % of opening net block</t>
        </is>
      </c>
      <c r="J45" s="57" t="n">
        <v>0.095</v>
      </c>
      <c r="K45" s="57" t="n">
        <v>0.095</v>
      </c>
      <c r="L45" s="57" t="n">
        <v>0.095</v>
      </c>
      <c r="M45" s="57" t="n">
        <v>0.095</v>
      </c>
      <c r="N45" s="57" t="n">
        <v>0.095</v>
      </c>
      <c r="O45" s="57" t="n">
        <v>0.095</v>
      </c>
      <c r="P45" s="57" t="n">
        <v>0.095</v>
      </c>
      <c r="Q45" s="58" t="inlineStr">
        <is>
          <t>~ historical D&amp;A / net block (9-10%).</t>
        </is>
      </c>
    </row>
    <row r="46" ht="28" customHeight="1" s="46">
      <c r="B46" s="56" t="inlineStr">
        <is>
          <t>CWIP closing (Rs cr)</t>
        </is>
      </c>
      <c r="J46" s="60" t="n">
        <v>400</v>
      </c>
      <c r="K46" s="60" t="n">
        <v>400</v>
      </c>
      <c r="L46" s="60" t="n">
        <v>400</v>
      </c>
      <c r="M46" s="60" t="n">
        <v>400</v>
      </c>
      <c r="N46" s="60" t="n">
        <v>400</v>
      </c>
      <c r="O46" s="60" t="n">
        <v>400</v>
      </c>
      <c r="P46" s="60" t="n">
        <v>400</v>
      </c>
      <c r="Q46" s="58" t="inlineStr">
        <is>
          <t>Steady-state low.</t>
        </is>
      </c>
    </row>
    <row r="47" ht="28" customHeight="1" s="46">
      <c r="B47" s="56" t="inlineStr">
        <is>
          <t>Investments closing (Rs cr)</t>
        </is>
      </c>
      <c r="J47" s="60" t="n">
        <v>310</v>
      </c>
      <c r="K47" s="60" t="n">
        <v>320</v>
      </c>
      <c r="L47" s="60" t="n">
        <v>330</v>
      </c>
      <c r="M47" s="60" t="n">
        <v>340</v>
      </c>
      <c r="N47" s="60" t="n">
        <v>350</v>
      </c>
      <c r="O47" s="60" t="n">
        <v>360</v>
      </c>
      <c r="P47" s="60" t="n">
        <v>370</v>
      </c>
      <c r="Q47" s="58" t="inlineStr">
        <is>
          <t>JV/associate stakes.</t>
        </is>
      </c>
    </row>
    <row r="48" ht="28" customHeight="1" s="46">
      <c r="B48" s="56" t="inlineStr">
        <is>
          <t>LT borrowings % of total debt</t>
        </is>
      </c>
      <c r="J48" s="57" t="n">
        <v>0.02</v>
      </c>
      <c r="K48" s="57" t="n">
        <v>0.02</v>
      </c>
      <c r="L48" s="57" t="n">
        <v>0.02</v>
      </c>
      <c r="M48" s="57" t="n">
        <v>0.02</v>
      </c>
      <c r="N48" s="57" t="n">
        <v>0.02</v>
      </c>
      <c r="O48" s="57" t="n">
        <v>0.02</v>
      </c>
      <c r="P48" s="57" t="n">
        <v>0.02</v>
      </c>
      <c r="Q48" s="58" t="inlineStr">
        <is>
          <t>BHEL debt almost entirely short-term (FY26 LT only Rs168 cr).</t>
        </is>
      </c>
    </row>
    <row r="49" ht="28" customHeight="1" s="46">
      <c r="B49" s="56" t="inlineStr">
        <is>
          <t>Debt repayment (Rs cr)</t>
        </is>
      </c>
      <c r="J49" s="60" t="n">
        <v>500</v>
      </c>
      <c r="K49" s="60" t="n">
        <v>500</v>
      </c>
      <c r="L49" s="60" t="n">
        <v>500</v>
      </c>
      <c r="M49" s="60" t="n">
        <v>500</v>
      </c>
      <c r="N49" s="60" t="n">
        <v>500</v>
      </c>
      <c r="O49" s="60" t="n">
        <v>500</v>
      </c>
      <c r="P49" s="60" t="n">
        <v>500</v>
      </c>
      <c r="Q49" s="58" t="inlineStr">
        <is>
          <t>Gradual reduction of WC borrowings from strong cash.</t>
        </is>
      </c>
    </row>
    <row r="50" ht="28" customHeight="1" s="46">
      <c r="B50" s="56" t="inlineStr">
        <is>
          <t>Interest rate on opening debt %</t>
        </is>
      </c>
      <c r="J50" s="57" t="n">
        <v>0.08500000000000001</v>
      </c>
      <c r="K50" s="57" t="n">
        <v>0.08500000000000001</v>
      </c>
      <c r="L50" s="57" t="n">
        <v>0.08500000000000001</v>
      </c>
      <c r="M50" s="57" t="n">
        <v>0.08500000000000001</v>
      </c>
      <c r="N50" s="57" t="n">
        <v>0.08500000000000001</v>
      </c>
      <c r="O50" s="57" t="n">
        <v>0.08500000000000001</v>
      </c>
      <c r="P50" s="57" t="n">
        <v>0.08500000000000001</v>
      </c>
      <c r="Q50" s="58" t="inlineStr">
        <is>
          <t>Blended ~ FY26 finance cost / debt.</t>
        </is>
      </c>
    </row>
    <row r="51" ht="28" customHeight="1" s="46">
      <c r="B51" s="56" t="inlineStr">
        <is>
          <t>Effective tax rate %</t>
        </is>
      </c>
      <c r="J51" s="57" t="n">
        <v>0.25</v>
      </c>
      <c r="K51" s="57" t="n">
        <v>0.25</v>
      </c>
      <c r="L51" s="57" t="n">
        <v>0.25</v>
      </c>
      <c r="M51" s="57" t="n">
        <v>0.25</v>
      </c>
      <c r="N51" s="57" t="n">
        <v>0.25</v>
      </c>
      <c r="O51" s="57" t="n">
        <v>0.25</v>
      </c>
      <c r="P51" s="57" t="n">
        <v>0.25</v>
      </c>
      <c r="Q51" s="58" t="inlineStr">
        <is>
          <t>New corporate-tax regime (~25%).</t>
        </is>
      </c>
    </row>
    <row r="52" ht="28" customHeight="1" s="46">
      <c r="B52" s="56" t="inlineStr">
        <is>
          <t>Dividend payout % of PAT</t>
        </is>
      </c>
      <c r="J52" s="57" t="n">
        <v>0.3</v>
      </c>
      <c r="K52" s="57" t="n">
        <v>0.3</v>
      </c>
      <c r="L52" s="57" t="n">
        <v>0.3</v>
      </c>
      <c r="M52" s="57" t="n">
        <v>0.3</v>
      </c>
      <c r="N52" s="57" t="n">
        <v>0.3</v>
      </c>
      <c r="O52" s="57" t="n">
        <v>0.3</v>
      </c>
      <c r="P52" s="57" t="n">
        <v>0.3</v>
      </c>
      <c r="Q52" s="58" t="inlineStr">
        <is>
          <t>CPSE/DIPAM policy ~30%.</t>
        </is>
      </c>
    </row>
    <row r="54">
      <c r="B54" s="61" t="inlineStr">
        <is>
          <t>C.  WACC &amp; VALUATION (fixed)</t>
        </is>
      </c>
    </row>
    <row r="55">
      <c r="B55" s="56" t="inlineStr">
        <is>
          <t>Risk-free rate</t>
        </is>
      </c>
      <c r="C55" s="57" t="n">
        <v>0.068</v>
      </c>
    </row>
    <row r="56">
      <c r="B56" s="56" t="inlineStr">
        <is>
          <t>Levered beta</t>
        </is>
      </c>
      <c r="C56" s="62" t="n">
        <v>1.25</v>
      </c>
    </row>
    <row r="57">
      <c r="B57" s="56" t="inlineStr">
        <is>
          <t>Equity risk premium</t>
        </is>
      </c>
      <c r="C57" s="57" t="n">
        <v>0.065</v>
      </c>
    </row>
    <row r="58">
      <c r="B58" s="56" t="inlineStr">
        <is>
          <t>Pre-tax cost of debt</t>
        </is>
      </c>
      <c r="C58" s="57" t="n">
        <v>0.08500000000000001</v>
      </c>
    </row>
    <row r="59">
      <c r="B59" s="56" t="inlineStr">
        <is>
          <t>Weight of debt</t>
        </is>
      </c>
      <c r="C59" s="57" t="n">
        <v>0.1</v>
      </c>
    </row>
    <row r="60">
      <c r="B60" s="56" t="inlineStr">
        <is>
          <t>Weight of equity</t>
        </is>
      </c>
      <c r="C60" s="57" t="n">
        <v>0.9</v>
      </c>
    </row>
    <row r="61">
      <c r="B61" s="56" t="inlineStr">
        <is>
          <t>Terminal growth</t>
        </is>
      </c>
      <c r="C61" s="57" t="n">
        <v>0.045</v>
      </c>
    </row>
    <row r="62">
      <c r="B62" s="63" t="inlineStr">
        <is>
          <t>Cost of equity</t>
        </is>
      </c>
      <c r="C62" s="17">
        <f>C55+C56*C57</f>
        <v/>
      </c>
    </row>
    <row r="63">
      <c r="B63" s="63" t="inlineStr">
        <is>
          <t>WACC</t>
        </is>
      </c>
      <c r="C63" s="17">
        <f>C60*C62+C59*C58*0.75</f>
        <v/>
      </c>
    </row>
    <row r="64">
      <c r="B64" s="56" t="inlineStr">
        <is>
          <t>Shares outstanding (cr)</t>
        </is>
      </c>
      <c r="C64" s="60" t="n">
        <v>348.2</v>
      </c>
    </row>
    <row r="65">
      <c r="B65" s="56" t="inlineStr">
        <is>
          <t>Current price (Rs)</t>
        </is>
      </c>
      <c r="C65" s="62" t="n">
        <v>402.7</v>
      </c>
    </row>
    <row r="67">
      <c r="B67" s="61" t="inlineStr">
        <is>
          <t>D.  WORKING-CAPITAL DETAIL  (current vs non-current split - fixed drivers)</t>
        </is>
      </c>
    </row>
    <row r="68">
      <c r="B68" s="84" t="inlineStr">
        <is>
          <t>ratios / INR Crore</t>
        </is>
      </c>
      <c r="J68" s="85" t="n">
        <v>2027</v>
      </c>
      <c r="K68" s="85" t="n">
        <v>2028</v>
      </c>
      <c r="L68" s="85" t="n">
        <v>2029</v>
      </c>
      <c r="M68" s="85" t="n">
        <v>2030</v>
      </c>
      <c r="N68" s="85" t="n">
        <v>2031</v>
      </c>
      <c r="O68" s="85" t="n">
        <v>2032</v>
      </c>
      <c r="P68" s="85" t="n">
        <v>2033</v>
      </c>
      <c r="Q68" s="84" t="inlineStr">
        <is>
          <t>Rationale</t>
        </is>
      </c>
    </row>
    <row r="69">
      <c r="B69" t="inlineStr">
        <is>
          <t>Contract assets - current % of sales</t>
        </is>
      </c>
      <c r="J69" s="86" t="n">
        <v>0.45</v>
      </c>
      <c r="K69" s="86" t="n">
        <v>0.44</v>
      </c>
      <c r="L69" s="86" t="n">
        <v>0.43</v>
      </c>
      <c r="M69" s="86" t="n">
        <v>0.42</v>
      </c>
      <c r="N69" s="86" t="n">
        <v>0.41</v>
      </c>
      <c r="O69" s="86" t="n">
        <v>0.4</v>
      </c>
      <c r="P69" s="86" t="n">
        <v>0.39</v>
      </c>
      <c r="Q69" s="68" t="inlineStr">
        <is>
          <t>Unbilled revenue billable within 12m. FY26 actual 45.0% of sales; eases as execution/billing cycle improves.</t>
        </is>
      </c>
    </row>
    <row r="70">
      <c r="B70" t="inlineStr">
        <is>
          <t>Contract assets - non-current % of sales</t>
        </is>
      </c>
      <c r="J70" s="86" t="n">
        <v>0.4</v>
      </c>
      <c r="K70" s="86" t="n">
        <v>0.38</v>
      </c>
      <c r="L70" s="86" t="n">
        <v>0.36</v>
      </c>
      <c r="M70" s="86" t="n">
        <v>0.34</v>
      </c>
      <c r="N70" s="86" t="n">
        <v>0.32</v>
      </c>
      <c r="O70" s="86" t="n">
        <v>0.3</v>
      </c>
      <c r="P70" s="86" t="n">
        <v>0.28</v>
      </c>
      <c r="Q70" s="68" t="inlineStr">
        <is>
          <t>Long-cycle unbilled revenue (&gt;12m). FY26 actual 42.0%; declines as legacy power projects bill out.</t>
        </is>
      </c>
    </row>
    <row r="71">
      <c r="B71" t="inlineStr">
        <is>
          <t>Trade receivables - non-current % of sales</t>
        </is>
      </c>
      <c r="J71" s="86" t="n">
        <v>0.07000000000000001</v>
      </c>
      <c r="K71" s="86" t="n">
        <v>0.065</v>
      </c>
      <c r="L71" s="86" t="n">
        <v>0.06</v>
      </c>
      <c r="M71" s="86" t="n">
        <v>0.055</v>
      </c>
      <c r="N71" s="86" t="n">
        <v>0.05</v>
      </c>
      <c r="O71" s="86" t="n">
        <v>0.045</v>
      </c>
      <c r="P71" s="86" t="n">
        <v>0.04</v>
      </c>
      <c r="Q71" s="68" t="inlineStr">
        <is>
          <t>Long-dated/retention &amp; disputed receivables (incl. Sudan STPG). FY26 actual 7.2%; runs down over time.</t>
        </is>
      </c>
    </row>
    <row r="72">
      <c r="B72" t="inlineStr">
        <is>
          <t>Contract liabilities - current % of sales</t>
        </is>
      </c>
      <c r="J72" s="86" t="n">
        <v>0.27</v>
      </c>
      <c r="K72" s="86" t="n">
        <v>0.27</v>
      </c>
      <c r="L72" s="86" t="n">
        <v>0.26</v>
      </c>
      <c r="M72" s="86" t="n">
        <v>0.26</v>
      </c>
      <c r="N72" s="86" t="n">
        <v>0.25</v>
      </c>
      <c r="O72" s="86" t="n">
        <v>0.25</v>
      </c>
      <c r="P72" s="86" t="n">
        <v>0.24</v>
      </c>
      <c r="Q72" s="68" t="inlineStr">
        <is>
          <t>Customer advances/excess billing released &lt;12m. FY26 actual 27.0%; tracks ordering momentum.</t>
        </is>
      </c>
    </row>
    <row r="73">
      <c r="B73" t="inlineStr">
        <is>
          <t>Contract liabilities - non-current % of sales</t>
        </is>
      </c>
      <c r="J73" s="86" t="n">
        <v>0.38</v>
      </c>
      <c r="K73" s="86" t="n">
        <v>0.36</v>
      </c>
      <c r="L73" s="86" t="n">
        <v>0.34</v>
      </c>
      <c r="M73" s="86" t="n">
        <v>0.32</v>
      </c>
      <c r="N73" s="86" t="n">
        <v>0.3</v>
      </c>
      <c r="O73" s="86" t="n">
        <v>0.28</v>
      </c>
      <c r="P73" s="86" t="n">
        <v>0.26</v>
      </c>
      <c r="Q73" s="68" t="inlineStr">
        <is>
          <t>Long-term customer advances - key interest-free WC funding. FY26 actual 39.7%; normalises as orders execute.</t>
        </is>
      </c>
    </row>
    <row r="74">
      <c r="B74" t="inlineStr">
        <is>
          <t>Provisions - current % of sales</t>
        </is>
      </c>
      <c r="J74" s="86" t="n">
        <v>0.055</v>
      </c>
      <c r="K74" s="86" t="n">
        <v>0.055</v>
      </c>
      <c r="L74" s="86" t="n">
        <v>0.054</v>
      </c>
      <c r="M74" s="86" t="n">
        <v>0.054</v>
      </c>
      <c r="N74" s="86" t="n">
        <v>0.053</v>
      </c>
      <c r="O74" s="86" t="n">
        <v>0.053</v>
      </c>
      <c r="P74" s="86" t="n">
        <v>0.052</v>
      </c>
      <c r="Q74" s="68" t="inlineStr">
        <is>
          <t>Warranty, liquidated damages &amp; employee provisions. FY26 actual 5.7% of sales.</t>
        </is>
      </c>
    </row>
  </sheetData>
  <dataValidations count="1">
    <dataValidation sqref="C3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61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= actuals; 2027-2033 driven by Assumptions/Scenario)</t>
        </is>
      </c>
    </row>
    <row r="3"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I4*(1+'Assumptions'!J8)</f>
        <v/>
      </c>
      <c r="K4" s="67">
        <f>J4*(1+'Assumptions'!K8)</f>
        <v/>
      </c>
      <c r="L4" s="67">
        <f>K4*(1+'Assumptions'!L8)</f>
        <v/>
      </c>
      <c r="M4" s="67">
        <f>L4*(1+'Assumptions'!M8)</f>
        <v/>
      </c>
      <c r="N4" s="67">
        <f>M4*(1+'Assumptions'!N8)</f>
        <v/>
      </c>
      <c r="O4" s="67">
        <f>N4*(1+'Assumptions'!O8)</f>
        <v/>
      </c>
      <c r="P4" s="67">
        <f>O4*(1+'Assumptions'!P8)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J4*(1-'Assumptions'!J13)</f>
        <v/>
      </c>
      <c r="K5" s="67">
        <f>K4*(1-'Assumptions'!K13)</f>
        <v/>
      </c>
      <c r="L5" s="67">
        <f>L4*(1-'Assumptions'!L13)</f>
        <v/>
      </c>
      <c r="M5" s="67">
        <f>M4*(1-'Assumptions'!M13)</f>
        <v/>
      </c>
      <c r="N5" s="67">
        <f>N4*(1-'Assumptions'!N13)</f>
        <v/>
      </c>
      <c r="O5" s="67">
        <f>O4*(1-'Assumptions'!O13)</f>
        <v/>
      </c>
      <c r="P5" s="67">
        <f>P4*(1-'Assumptions'!P13)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J4*'Assumptions'!J36</f>
        <v/>
      </c>
      <c r="K7" s="67">
        <f>K4*'Assumptions'!K36</f>
        <v/>
      </c>
      <c r="L7" s="67">
        <f>L4*'Assumptions'!L36</f>
        <v/>
      </c>
      <c r="M7" s="67">
        <f>M4*'Assumptions'!M36</f>
        <v/>
      </c>
      <c r="N7" s="67">
        <f>N4*'Assumptions'!N36</f>
        <v/>
      </c>
      <c r="O7" s="67">
        <f>O4*'Assumptions'!O36</f>
        <v/>
      </c>
      <c r="P7" s="67">
        <f>P4*'Assumptions'!P36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J4*'Assumptions'!J18</f>
        <v/>
      </c>
      <c r="K8" s="67">
        <f>K4*'Assumptions'!K18</f>
        <v/>
      </c>
      <c r="L8" s="67">
        <f>L4*'Assumptions'!L18</f>
        <v/>
      </c>
      <c r="M8" s="67">
        <f>M4*'Assumptions'!M18</f>
        <v/>
      </c>
      <c r="N8" s="67">
        <f>N4*'Assumptions'!N18</f>
        <v/>
      </c>
      <c r="O8" s="67">
        <f>O4*'Assumptions'!O18</f>
        <v/>
      </c>
      <c r="P8" s="67">
        <f>P4*'Assumptions'!P18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1">
      <c r="B11" s="56" t="inlineStr">
        <is>
          <t>NBopen</t>
        </is>
      </c>
      <c r="I11" s="67">
        <f>'BS'!I33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'Assumptions'!J44</f>
        <v/>
      </c>
      <c r="K12" s="67">
        <f>'Assumptions'!K44</f>
        <v/>
      </c>
      <c r="L12" s="67">
        <f>'Assumptions'!L44</f>
        <v/>
      </c>
      <c r="M12" s="67">
        <f>'Assumptions'!M44</f>
        <v/>
      </c>
      <c r="N12" s="67">
        <f>'Assumptions'!N44</f>
        <v/>
      </c>
      <c r="O12" s="67">
        <f>'Assumptions'!O44</f>
        <v/>
      </c>
      <c r="P12" s="67">
        <f>'Assumptions'!P44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J11*'Assumptions'!J45</f>
        <v/>
      </c>
      <c r="K13" s="67">
        <f>K11*'Assumptions'!K45</f>
        <v/>
      </c>
      <c r="L13" s="67">
        <f>L11*'Assumptions'!L45</f>
        <v/>
      </c>
      <c r="M13" s="67">
        <f>M11*'Assumptions'!M45</f>
        <v/>
      </c>
      <c r="N13" s="67">
        <f>N11*'Assumptions'!N45</f>
        <v/>
      </c>
      <c r="O13" s="67">
        <f>O11*'Assumptions'!O45</f>
        <v/>
      </c>
      <c r="P13" s="67">
        <f>P11*'Assumptions'!P45</f>
        <v/>
      </c>
    </row>
    <row r="14">
      <c r="B14" s="56" t="inlineStr">
        <is>
          <t>NBclose</t>
        </is>
      </c>
      <c r="I14" s="67">
        <f>'BS'!I33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7">
      <c r="B17" s="56" t="inlineStr">
        <is>
          <t>Dopen</t>
        </is>
      </c>
      <c r="I17" s="67">
        <f>'BS'!I13+'BS'!I21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'Assumptions'!J49</f>
        <v/>
      </c>
      <c r="K18" s="67">
        <f>'Assumptions'!K49</f>
        <v/>
      </c>
      <c r="L18" s="67">
        <f>'Assumptions'!L49</f>
        <v/>
      </c>
      <c r="M18" s="67">
        <f>'Assumptions'!M49</f>
        <v/>
      </c>
      <c r="N18" s="67">
        <f>'Assumptions'!N49</f>
        <v/>
      </c>
      <c r="O18" s="67">
        <f>'Assumptions'!O49</f>
        <v/>
      </c>
      <c r="P18" s="67">
        <f>'Assumptions'!P49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'BS'!I13</f>
        <v/>
      </c>
      <c r="J20" s="67">
        <f>J19*'Assumptions'!J48</f>
        <v/>
      </c>
      <c r="K20" s="67">
        <f>K19*'Assumptions'!K48</f>
        <v/>
      </c>
      <c r="L20" s="67">
        <f>L19*'Assumptions'!L48</f>
        <v/>
      </c>
      <c r="M20" s="67">
        <f>M19*'Assumptions'!M48</f>
        <v/>
      </c>
      <c r="N20" s="67">
        <f>N19*'Assumptions'!N48</f>
        <v/>
      </c>
      <c r="O20" s="67">
        <f>O19*'Assumptions'!O48</f>
        <v/>
      </c>
      <c r="P20" s="67">
        <f>P19*'Assumptions'!P48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J17*'Assumptions'!J50</f>
        <v/>
      </c>
      <c r="K22" s="67">
        <f>K17*'Assumptions'!K50</f>
        <v/>
      </c>
      <c r="L22" s="67">
        <f>L17*'Assumptions'!L50</f>
        <v/>
      </c>
      <c r="M22" s="67">
        <f>M17*'Assumptions'!M50</f>
        <v/>
      </c>
      <c r="N22" s="67">
        <f>N17*'Assumptions'!N50</f>
        <v/>
      </c>
      <c r="O22" s="67">
        <f>O17*'Assumptions'!O50</f>
        <v/>
      </c>
      <c r="P22" s="67">
        <f>P17*'Assumptions'!P50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J4*'Assumptions'!J37</f>
        <v/>
      </c>
      <c r="K23" s="67">
        <f>K4*'Assumptions'!K37</f>
        <v/>
      </c>
      <c r="L23" s="67">
        <f>L4*'Assumptions'!L37</f>
        <v/>
      </c>
      <c r="M23" s="67">
        <f>M4*'Assumptions'!M37</f>
        <v/>
      </c>
      <c r="N23" s="67">
        <f>N4*'Assumptions'!N37</f>
        <v/>
      </c>
      <c r="O23" s="67">
        <f>O4*'Assumptions'!O37</f>
        <v/>
      </c>
      <c r="P23" s="67">
        <f>P4*'Assumptions'!P37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J24*'Assumptions'!J51</f>
        <v/>
      </c>
      <c r="K25" s="67">
        <f>K24*'Assumptions'!K51</f>
        <v/>
      </c>
      <c r="L25" s="67">
        <f>L24*'Assumptions'!L51</f>
        <v/>
      </c>
      <c r="M25" s="67">
        <f>M24*'Assumptions'!M51</f>
        <v/>
      </c>
      <c r="N25" s="67">
        <f>N24*'Assumptions'!N51</f>
        <v/>
      </c>
      <c r="O25" s="67">
        <f>O24*'Assumptions'!O51</f>
        <v/>
      </c>
      <c r="P25" s="67">
        <f>P24*'Assumptions'!P51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J26*'Assumptions'!J52</f>
        <v/>
      </c>
      <c r="K27" s="67">
        <f>K26*'Assumptions'!K52</f>
        <v/>
      </c>
      <c r="L27" s="67">
        <f>L26*'Assumptions'!L52</f>
        <v/>
      </c>
      <c r="M27" s="67">
        <f>M26*'Assumptions'!M52</f>
        <v/>
      </c>
      <c r="N27" s="67">
        <f>N26*'Assumptions'!N52</f>
        <v/>
      </c>
      <c r="O27" s="67">
        <f>O26*'Assumptions'!O52</f>
        <v/>
      </c>
      <c r="P27" s="67">
        <f>P26*'Assumptions'!P52</f>
        <v/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2">
      <c r="B32" s="56" t="inlineStr">
        <is>
          <t>Recv</t>
        </is>
      </c>
      <c r="I32" s="67">
        <f>'BS'!I43</f>
        <v/>
      </c>
      <c r="J32" s="67">
        <f>'Assumptions'!J23/365*J4</f>
        <v/>
      </c>
      <c r="K32" s="67">
        <f>'Assumptions'!K23/365*K4</f>
        <v/>
      </c>
      <c r="L32" s="67">
        <f>'Assumptions'!L23/365*L4</f>
        <v/>
      </c>
      <c r="M32" s="67">
        <f>'Assumptions'!M23/365*M4</f>
        <v/>
      </c>
      <c r="N32" s="67">
        <f>'Assumptions'!N23/365*N4</f>
        <v/>
      </c>
      <c r="O32" s="67">
        <f>'Assumptions'!O23/365*O4</f>
        <v/>
      </c>
      <c r="P32" s="67">
        <f>'Assumptions'!P23/365*P4</f>
        <v/>
      </c>
    </row>
    <row r="33">
      <c r="B33" s="56" t="inlineStr">
        <is>
          <t>Inv</t>
        </is>
      </c>
      <c r="I33" s="67">
        <f>'BS'!I44</f>
        <v/>
      </c>
      <c r="J33" s="67">
        <f>'Assumptions'!J28/365*J5</f>
        <v/>
      </c>
      <c r="K33" s="67">
        <f>'Assumptions'!K28/365*K5</f>
        <v/>
      </c>
      <c r="L33" s="67">
        <f>'Assumptions'!L28/365*L5</f>
        <v/>
      </c>
      <c r="M33" s="67">
        <f>'Assumptions'!M28/365*M5</f>
        <v/>
      </c>
      <c r="N33" s="67">
        <f>'Assumptions'!N28/365*N5</f>
        <v/>
      </c>
      <c r="O33" s="67">
        <f>'Assumptions'!O28/365*O5</f>
        <v/>
      </c>
      <c r="P33" s="67">
        <f>'Assumptions'!P28/365*P5</f>
        <v/>
      </c>
    </row>
    <row r="34">
      <c r="B34" s="56" t="inlineStr">
        <is>
          <t>Pay</t>
        </is>
      </c>
      <c r="I34" s="67">
        <f>'BS'!I22</f>
        <v/>
      </c>
      <c r="J34" s="67">
        <f>'Assumptions'!J38/365*J5</f>
        <v/>
      </c>
      <c r="K34" s="67">
        <f>'Assumptions'!K38/365*K5</f>
        <v/>
      </c>
      <c r="L34" s="67">
        <f>'Assumptions'!L38/365*L5</f>
        <v/>
      </c>
      <c r="M34" s="67">
        <f>'Assumptions'!M38/365*M5</f>
        <v/>
      </c>
      <c r="N34" s="67">
        <f>'Assumptions'!N38/365*N5</f>
        <v/>
      </c>
      <c r="O34" s="67">
        <f>'Assumptions'!O38/365*O5</f>
        <v/>
      </c>
      <c r="P34" s="67">
        <f>'Assumptions'!P38/365*P5</f>
        <v/>
      </c>
    </row>
    <row r="35">
      <c r="B35" s="56" t="inlineStr">
        <is>
          <t>OCA</t>
        </is>
      </c>
      <c r="I35" s="67">
        <f>'BS'!I46</f>
        <v/>
      </c>
      <c r="J35" s="87">
        <f>J4*'Assumptions'!J39</f>
        <v/>
      </c>
      <c r="K35" s="87">
        <f>K4*'Assumptions'!K39</f>
        <v/>
      </c>
      <c r="L35" s="87">
        <f>L4*'Assumptions'!L39</f>
        <v/>
      </c>
      <c r="M35" s="87">
        <f>M4*'Assumptions'!M39</f>
        <v/>
      </c>
      <c r="N35" s="87">
        <f>N4*'Assumptions'!N39</f>
        <v/>
      </c>
      <c r="O35" s="87">
        <f>O4*'Assumptions'!O39</f>
        <v/>
      </c>
      <c r="P35" s="87">
        <f>P4*'Assumptions'!P39</f>
        <v/>
      </c>
    </row>
    <row r="36">
      <c r="B36" s="56" t="inlineStr">
        <is>
          <t>OCL</t>
        </is>
      </c>
      <c r="I36" s="67">
        <f>'BS'!I25</f>
        <v/>
      </c>
      <c r="J36" s="87">
        <f>J4*'Assumptions'!J40</f>
        <v/>
      </c>
      <c r="K36" s="87">
        <f>K4*'Assumptions'!K40</f>
        <v/>
      </c>
      <c r="L36" s="87">
        <f>L4*'Assumptions'!L40</f>
        <v/>
      </c>
      <c r="M36" s="87">
        <f>M4*'Assumptions'!M40</f>
        <v/>
      </c>
      <c r="N36" s="87">
        <f>N4*'Assumptions'!N40</f>
        <v/>
      </c>
      <c r="O36" s="87">
        <f>O4*'Assumptions'!O40</f>
        <v/>
      </c>
      <c r="P36" s="87">
        <f>P4*'Assumptions'!P40</f>
        <v/>
      </c>
    </row>
    <row r="37">
      <c r="B37" s="56" t="inlineStr">
        <is>
          <t>ONCA</t>
        </is>
      </c>
      <c r="I37" s="67">
        <f>'BS'!I39</f>
        <v/>
      </c>
      <c r="J37" s="67">
        <f>I37*(1+'Assumptions'!J41)</f>
        <v/>
      </c>
      <c r="K37" s="67">
        <f>J37*(1+'Assumptions'!K41)</f>
        <v/>
      </c>
      <c r="L37" s="67">
        <f>K37*(1+'Assumptions'!L41)</f>
        <v/>
      </c>
      <c r="M37" s="67">
        <f>L37*(1+'Assumptions'!M41)</f>
        <v/>
      </c>
      <c r="N37" s="67">
        <f>M37*(1+'Assumptions'!N41)</f>
        <v/>
      </c>
      <c r="O37" s="67">
        <f>N37*(1+'Assumptions'!O41)</f>
        <v/>
      </c>
      <c r="P37" s="67">
        <f>O37*(1+'Assumptions'!P41)</f>
        <v/>
      </c>
    </row>
    <row r="38">
      <c r="B38" s="56" t="inlineStr">
        <is>
          <t>ONCL</t>
        </is>
      </c>
      <c r="I38" s="67">
        <f>'BS'!I17</f>
        <v/>
      </c>
      <c r="J38" s="67">
        <f>I38*(1+'Assumptions'!J42)</f>
        <v/>
      </c>
      <c r="K38" s="67">
        <f>J38*(1+'Assumptions'!K42)</f>
        <v/>
      </c>
      <c r="L38" s="67">
        <f>K38*(1+'Assumptions'!L42)</f>
        <v/>
      </c>
      <c r="M38" s="67">
        <f>L38*(1+'Assumptions'!M42)</f>
        <v/>
      </c>
      <c r="N38" s="67">
        <f>M38*(1+'Assumptions'!N42)</f>
        <v/>
      </c>
      <c r="O38" s="67">
        <f>N38*(1+'Assumptions'!O42)</f>
        <v/>
      </c>
      <c r="P38" s="67">
        <f>O38*(1+'Assumptions'!P42)</f>
        <v/>
      </c>
    </row>
    <row r="39">
      <c r="B39" s="56" t="inlineStr">
        <is>
          <t>LTprov</t>
        </is>
      </c>
      <c r="I39" s="67">
        <f>'BS'!I16</f>
        <v/>
      </c>
      <c r="J39" s="67">
        <f>I39*(1+'Assumptions'!J43)</f>
        <v/>
      </c>
      <c r="K39" s="67">
        <f>J39*(1+'Assumptions'!K43)</f>
        <v/>
      </c>
      <c r="L39" s="67">
        <f>K39*(1+'Assumptions'!L43)</f>
        <v/>
      </c>
      <c r="M39" s="67">
        <f>L39*(1+'Assumptions'!M43)</f>
        <v/>
      </c>
      <c r="N39" s="67">
        <f>M39*(1+'Assumptions'!N43)</f>
        <v/>
      </c>
      <c r="O39" s="67">
        <f>N39*(1+'Assumptions'!O43)</f>
        <v/>
      </c>
      <c r="P39" s="67">
        <f>O39*(1+'Assumptions'!P43)</f>
        <v/>
      </c>
    </row>
    <row r="40">
      <c r="B40" s="56" t="inlineStr">
        <is>
          <t>CWIP</t>
        </is>
      </c>
      <c r="I40" s="67">
        <f>'BS'!I34</f>
        <v/>
      </c>
      <c r="J40" s="67">
        <f>'Assumptions'!J46</f>
        <v/>
      </c>
      <c r="K40" s="67">
        <f>'Assumptions'!K46</f>
        <v/>
      </c>
      <c r="L40" s="67">
        <f>'Assumptions'!L46</f>
        <v/>
      </c>
      <c r="M40" s="67">
        <f>'Assumptions'!M46</f>
        <v/>
      </c>
      <c r="N40" s="67">
        <f>'Assumptions'!N46</f>
        <v/>
      </c>
      <c r="O40" s="67">
        <f>'Assumptions'!O46</f>
        <v/>
      </c>
      <c r="P40" s="67">
        <f>'Assumptions'!P46</f>
        <v/>
      </c>
    </row>
    <row r="41">
      <c r="B41" s="56" t="inlineStr">
        <is>
          <t>Invst</t>
        </is>
      </c>
      <c r="I41" s="67">
        <f>'BS'!I35</f>
        <v/>
      </c>
      <c r="J41" s="67">
        <f>'Assumptions'!J47</f>
        <v/>
      </c>
      <c r="K41" s="67">
        <f>'Assumptions'!K47</f>
        <v/>
      </c>
      <c r="L41" s="67">
        <f>'Assumptions'!L47</f>
        <v/>
      </c>
      <c r="M41" s="67">
        <f>'Assumptions'!M47</f>
        <v/>
      </c>
      <c r="N41" s="67">
        <f>'Assumptions'!N47</f>
        <v/>
      </c>
      <c r="O41" s="67">
        <f>'Assumptions'!O47</f>
        <v/>
      </c>
      <c r="P41" s="67">
        <f>'Assumptions'!P47</f>
        <v/>
      </c>
    </row>
    <row r="42">
      <c r="B42" s="56" t="inlineStr">
        <is>
          <t>NWC</t>
        </is>
      </c>
      <c r="C42" s="88">
        <f>(C32+C52+C33+C53+C54+C55+C35+C37)-(C34+C60+C58+C59+C61+C39+C36+C38)</f>
        <v/>
      </c>
      <c r="D42" s="88">
        <f>(D32+D52+D33+D53+D54+D55+D35+D37)-(D34+D60+D58+D59+D61+D39+D36+D38)</f>
        <v/>
      </c>
      <c r="E42" s="88">
        <f>(E32+E52+E33+E53+E54+E55+E35+E37)-(E34+E60+E58+E59+E61+E39+E36+E38)</f>
        <v/>
      </c>
      <c r="F42" s="88">
        <f>(F32+F52+F33+F53+F54+F55+F35+F37)-(F34+F60+F58+F59+F61+F39+F36+F38)</f>
        <v/>
      </c>
      <c r="G42" s="88">
        <f>(G32+G52+G33+G53+G54+G55+G35+G37)-(G34+G60+G58+G59+G61+G39+G36+G38)</f>
        <v/>
      </c>
      <c r="H42" s="88">
        <f>(H32+H52+H33+H53+H54+H55+H35+H37)-(H34+H60+H58+H59+H61+H39+H36+H38)</f>
        <v/>
      </c>
      <c r="I42" s="89">
        <f>(I32+I52+I33+I53+I54+I55+I35+I37)-(I34+I60+I58+I59+I61+I39+I36+I38)</f>
        <v/>
      </c>
      <c r="J42" s="89">
        <f>(J32+J52+J33+J53+J54+J55+J35+J37)-(J34+J60+J58+J59+J61+J39+J36+J38)</f>
        <v/>
      </c>
      <c r="K42" s="89">
        <f>(K32+K52+K33+K53+K54+K55+K35+K37)-(K34+K60+K58+K59+K61+K39+K36+K38)</f>
        <v/>
      </c>
      <c r="L42" s="89">
        <f>(L32+L52+L33+L53+L54+L55+L35+L37)-(L34+L60+L58+L59+L61+L39+L36+L38)</f>
        <v/>
      </c>
      <c r="M42" s="89">
        <f>(M32+M52+M33+M53+M54+M55+M35+M37)-(M34+M60+M58+M59+M61+M39+M36+M38)</f>
        <v/>
      </c>
      <c r="N42" s="89">
        <f>(N32+N52+N33+N53+N54+N55+N35+N37)-(N34+N60+N58+N59+N61+N39+N36+N38)</f>
        <v/>
      </c>
      <c r="O42" s="89">
        <f>(O32+O52+O33+O53+O54+O55+O35+O37)-(O34+O60+O58+O59+O61+O39+O36+O38)</f>
        <v/>
      </c>
      <c r="P42" s="89">
        <f>(P32+P52+P33+P53+P54+P55+P35+P37)-(P34+P60+P58+P59+P61+P39+P36+P38)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'BS'!I47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'BS'!I47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  <row r="52">
      <c r="B52" s="90" t="inlineStr">
        <is>
          <t>TR non-current</t>
        </is>
      </c>
      <c r="I52" s="91">
        <f>'BS'!I36</f>
        <v/>
      </c>
      <c r="J52" s="91">
        <f>J4*'Assumptions'!J71</f>
        <v/>
      </c>
      <c r="K52" s="91">
        <f>K4*'Assumptions'!K71</f>
        <v/>
      </c>
      <c r="L52" s="91">
        <f>L4*'Assumptions'!L71</f>
        <v/>
      </c>
      <c r="M52" s="91">
        <f>M4*'Assumptions'!M71</f>
        <v/>
      </c>
      <c r="N52" s="91">
        <f>N4*'Assumptions'!N71</f>
        <v/>
      </c>
      <c r="O52" s="91">
        <f>O4*'Assumptions'!O71</f>
        <v/>
      </c>
      <c r="P52" s="91">
        <f>P4*'Assumptions'!P71</f>
        <v/>
      </c>
    </row>
    <row r="53">
      <c r="B53" s="90" t="inlineStr">
        <is>
          <t>CA current</t>
        </is>
      </c>
      <c r="I53" s="91">
        <f>'BS'!I45</f>
        <v/>
      </c>
      <c r="J53" s="91">
        <f>J4*'Assumptions'!J69</f>
        <v/>
      </c>
      <c r="K53" s="91">
        <f>K4*'Assumptions'!K69</f>
        <v/>
      </c>
      <c r="L53" s="91">
        <f>L4*'Assumptions'!L69</f>
        <v/>
      </c>
      <c r="M53" s="91">
        <f>M4*'Assumptions'!M69</f>
        <v/>
      </c>
      <c r="N53" s="91">
        <f>N4*'Assumptions'!N69</f>
        <v/>
      </c>
      <c r="O53" s="91">
        <f>O4*'Assumptions'!O69</f>
        <v/>
      </c>
      <c r="P53" s="91">
        <f>P4*'Assumptions'!P69</f>
        <v/>
      </c>
    </row>
    <row r="54">
      <c r="B54" s="90" t="inlineStr">
        <is>
          <t>CA non-current</t>
        </is>
      </c>
      <c r="I54" s="91">
        <f>'BS'!I37</f>
        <v/>
      </c>
      <c r="J54" s="91">
        <f>J4*'Assumptions'!J70</f>
        <v/>
      </c>
      <c r="K54" s="91">
        <f>K4*'Assumptions'!K70</f>
        <v/>
      </c>
      <c r="L54" s="91">
        <f>L4*'Assumptions'!L70</f>
        <v/>
      </c>
      <c r="M54" s="91">
        <f>M4*'Assumptions'!M70</f>
        <v/>
      </c>
      <c r="N54" s="91">
        <f>N4*'Assumptions'!N70</f>
        <v/>
      </c>
      <c r="O54" s="91">
        <f>O4*'Assumptions'!O70</f>
        <v/>
      </c>
      <c r="P54" s="91">
        <f>P4*'Assumptions'!P70</f>
        <v/>
      </c>
    </row>
    <row r="55">
      <c r="B55" s="90" t="inlineStr">
        <is>
          <t>Deferred tax</t>
        </is>
      </c>
      <c r="I55" s="91">
        <f>'BS'!I38</f>
        <v/>
      </c>
      <c r="J55" s="88">
        <f>I55</f>
        <v/>
      </c>
      <c r="K55" s="88">
        <f>J55</f>
        <v/>
      </c>
      <c r="L55" s="88">
        <f>K55</f>
        <v/>
      </c>
      <c r="M55" s="88">
        <f>L55</f>
        <v/>
      </c>
      <c r="N55" s="88">
        <f>M55</f>
        <v/>
      </c>
      <c r="O55" s="88">
        <f>N55</f>
        <v/>
      </c>
      <c r="P55" s="88">
        <f>O55</f>
        <v/>
      </c>
    </row>
    <row r="58">
      <c r="B58" s="90" t="inlineStr">
        <is>
          <t>CL current</t>
        </is>
      </c>
      <c r="I58" s="91">
        <f>'BS'!I23</f>
        <v/>
      </c>
      <c r="J58" s="91">
        <f>J4*'Assumptions'!J72</f>
        <v/>
      </c>
      <c r="K58" s="91">
        <f>K4*'Assumptions'!K72</f>
        <v/>
      </c>
      <c r="L58" s="91">
        <f>L4*'Assumptions'!L72</f>
        <v/>
      </c>
      <c r="M58" s="91">
        <f>M4*'Assumptions'!M72</f>
        <v/>
      </c>
      <c r="N58" s="91">
        <f>N4*'Assumptions'!N72</f>
        <v/>
      </c>
      <c r="O58" s="91">
        <f>O4*'Assumptions'!O72</f>
        <v/>
      </c>
      <c r="P58" s="91">
        <f>P4*'Assumptions'!P72</f>
        <v/>
      </c>
    </row>
    <row r="59">
      <c r="B59" s="90" t="inlineStr">
        <is>
          <t>CL non-current</t>
        </is>
      </c>
      <c r="I59" s="91">
        <f>'BS'!I15</f>
        <v/>
      </c>
      <c r="J59" s="91">
        <f>J4*'Assumptions'!J73</f>
        <v/>
      </c>
      <c r="K59" s="91">
        <f>K4*'Assumptions'!K73</f>
        <v/>
      </c>
      <c r="L59" s="91">
        <f>L4*'Assumptions'!L73</f>
        <v/>
      </c>
      <c r="M59" s="91">
        <f>M4*'Assumptions'!M73</f>
        <v/>
      </c>
      <c r="N59" s="91">
        <f>N4*'Assumptions'!N73</f>
        <v/>
      </c>
      <c r="O59" s="91">
        <f>O4*'Assumptions'!O73</f>
        <v/>
      </c>
      <c r="P59" s="91">
        <f>P4*'Assumptions'!P73</f>
        <v/>
      </c>
    </row>
    <row r="60">
      <c r="B60" s="90" t="inlineStr">
        <is>
          <t>TP non-current</t>
        </is>
      </c>
      <c r="I60" s="91">
        <f>'BS'!I14</f>
        <v/>
      </c>
      <c r="J60" s="88">
        <f>I60</f>
        <v/>
      </c>
      <c r="K60" s="88">
        <f>J60</f>
        <v/>
      </c>
      <c r="L60" s="88">
        <f>K60</f>
        <v/>
      </c>
      <c r="M60" s="88">
        <f>L60</f>
        <v/>
      </c>
      <c r="N60" s="88">
        <f>M60</f>
        <v/>
      </c>
      <c r="O60" s="88">
        <f>N60</f>
        <v/>
      </c>
      <c r="P60" s="88">
        <f>O60</f>
        <v/>
      </c>
    </row>
    <row r="61">
      <c r="B61" s="90" t="inlineStr">
        <is>
          <t>Provisions cur</t>
        </is>
      </c>
      <c r="I61" s="91">
        <f>'BS'!I24</f>
        <v/>
      </c>
      <c r="J61" s="91">
        <f>J4*'Assumptions'!J74</f>
        <v/>
      </c>
      <c r="K61" s="91">
        <f>K4*'Assumptions'!K74</f>
        <v/>
      </c>
      <c r="L61" s="91">
        <f>L4*'Assumptions'!L74</f>
        <v/>
      </c>
      <c r="M61" s="91">
        <f>M4*'Assumptions'!M74</f>
        <v/>
      </c>
      <c r="N61" s="91">
        <f>N4*'Assumptions'!N74</f>
        <v/>
      </c>
      <c r="O61" s="91">
        <f>O4*'Assumptions'!O74</f>
        <v/>
      </c>
      <c r="P61" s="91">
        <f>P4*'Assumptions'!P74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4"/>
  <sheetViews>
    <sheetView showGridLines="0" tabSelected="1" topLeftCell="A18" zoomScale="88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8" sqref="A18"/>
    </sheetView>
  </sheetViews>
  <sheetFormatPr baseColWidth="8" defaultRowHeight="14.4"/>
  <cols>
    <col width="3" customWidth="1" style="1" min="1" max="1"/>
    <col width="44" customWidth="1" style="46" min="2" max="2"/>
    <col width="10.5" customWidth="1" style="43" min="3" max="13"/>
    <col width="10.5" customWidth="1" style="46" min="4" max="4"/>
    <col width="10.5" customWidth="1" style="46" min="5" max="5"/>
    <col width="10.5" customWidth="1" style="46" min="6" max="6"/>
    <col width="10.5" customWidth="1" style="46" min="7" max="7"/>
    <col width="10.5" customWidth="1" style="46" min="8" max="8"/>
    <col width="10.5" customWidth="1" style="46" min="9" max="9"/>
    <col width="10.5" customWidth="1" style="46" min="10" max="10"/>
    <col width="10.5" customWidth="1" style="46" min="11" max="11"/>
    <col width="10.5" customWidth="1" style="46" min="12" max="12"/>
    <col width="10.5" customWidth="1" style="46" min="13" max="13"/>
    <col width="10.5" bestFit="1" customWidth="1" style="46" min="14" max="16"/>
    <col width="10.5" customWidth="1" style="46" min="15" max="15"/>
    <col width="10.5" customWidth="1" style="46" min="16" max="16"/>
    <col width="9.44140625" bestFit="1" customWidth="1" style="46" min="17" max="17"/>
  </cols>
  <sheetData>
    <row r="1" ht="18" customHeight="1" s="46"/>
    <row r="2" ht="18" customHeight="1" s="46">
      <c r="B2" s="92" t="inlineStr">
        <is>
          <t>Balance Sheet  (Consolidated, INR Crore)  -  current vs non-current</t>
        </is>
      </c>
      <c r="Q2" s="3" t="n"/>
    </row>
    <row r="3" ht="18" customHeight="1" s="46"/>
    <row r="4" ht="18" customHeight="1" s="46">
      <c r="B4" s="84" t="inlineStr">
        <is>
          <t>Particulars</t>
        </is>
      </c>
      <c r="C4" s="93" t="n">
        <v>2020</v>
      </c>
      <c r="D4" s="93">
        <f>C4+1</f>
        <v/>
      </c>
      <c r="E4" s="93">
        <f>D4+1</f>
        <v/>
      </c>
      <c r="F4" s="93">
        <f>E4+1</f>
        <v/>
      </c>
      <c r="G4" s="93">
        <f>F4+1</f>
        <v/>
      </c>
      <c r="H4" s="93">
        <f>G4+1</f>
        <v/>
      </c>
      <c r="I4" s="93">
        <f>H4+1</f>
        <v/>
      </c>
      <c r="J4" s="94">
        <f>I4+1</f>
        <v/>
      </c>
      <c r="K4" s="94">
        <f>J4+1</f>
        <v/>
      </c>
      <c r="L4" s="94">
        <f>K4+1</f>
        <v/>
      </c>
      <c r="M4" s="94">
        <f>L4+1</f>
        <v/>
      </c>
      <c r="N4" s="94">
        <f>M4+1</f>
        <v/>
      </c>
      <c r="O4" s="94">
        <f>N4+1</f>
        <v/>
      </c>
      <c r="P4" s="94">
        <f>O4+1</f>
        <v/>
      </c>
      <c r="Q4" s="6" t="n"/>
    </row>
    <row r="5" ht="18" customHeight="1" s="46"/>
    <row r="6" ht="18" customHeight="1" s="46">
      <c r="A6" s="95" t="inlineStr">
        <is>
          <t>x</t>
        </is>
      </c>
      <c r="B6" s="96" t="inlineStr">
        <is>
          <t>EQUITY &amp; LIABILITIES</t>
        </is>
      </c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8" t="n"/>
      <c r="O6" s="98" t="n"/>
      <c r="P6" s="98" t="n"/>
      <c r="Q6" s="43" t="n"/>
    </row>
    <row r="7" ht="18" customHeight="1" s="46">
      <c r="B7" s="99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100" t="inlineStr">
        <is>
          <t xml:space="preserve">   Share Capital</t>
        </is>
      </c>
      <c r="C8" s="101" t="n">
        <v>696.41</v>
      </c>
      <c r="D8" s="101" t="n">
        <v>696.41</v>
      </c>
      <c r="E8" s="101" t="n">
        <v>696.41</v>
      </c>
      <c r="F8" s="101" t="n">
        <v>696.41</v>
      </c>
      <c r="G8" s="101" t="n">
        <v>696.41</v>
      </c>
      <c r="H8" s="101" t="n">
        <v>696.41</v>
      </c>
      <c r="I8" s="101" t="n">
        <v>696.41</v>
      </c>
      <c r="J8" s="101" t="n">
        <v>696.41</v>
      </c>
      <c r="K8" s="101" t="n">
        <v>696.41</v>
      </c>
      <c r="L8" s="101" t="n">
        <v>696.41</v>
      </c>
      <c r="M8" s="101" t="n">
        <v>696.41</v>
      </c>
      <c r="N8" s="101" t="n">
        <v>696.41</v>
      </c>
      <c r="O8" s="101" t="n">
        <v>696.41</v>
      </c>
      <c r="P8" s="101" t="n">
        <v>696.41</v>
      </c>
      <c r="Q8" s="18" t="n"/>
    </row>
    <row r="9" ht="18" customHeight="1" s="46">
      <c r="B9" s="100" t="inlineStr">
        <is>
          <t xml:space="preserve">   Reserve &amp; Surplus (Other Equity)</t>
        </is>
      </c>
      <c r="C9" s="101" t="n">
        <v>27964.31</v>
      </c>
      <c r="D9" s="101" t="n">
        <v>25287.25</v>
      </c>
      <c r="E9" s="101" t="n">
        <v>25810.19</v>
      </c>
      <c r="F9" s="101" t="n">
        <v>23681.85</v>
      </c>
      <c r="G9" s="101" t="n">
        <v>23742.24</v>
      </c>
      <c r="H9" s="101" t="n">
        <v>24025.75</v>
      </c>
      <c r="I9" s="101" t="n">
        <v>25450.19</v>
      </c>
      <c r="J9" s="87">
        <f>'Forecast Engine'!J30</f>
        <v/>
      </c>
      <c r="K9" s="87">
        <f>'Forecast Engine'!K30</f>
        <v/>
      </c>
      <c r="L9" s="87">
        <f>'Forecast Engine'!L30</f>
        <v/>
      </c>
      <c r="M9" s="87">
        <f>'Forecast Engine'!M30</f>
        <v/>
      </c>
      <c r="N9" s="87">
        <f>'Forecast Engine'!N30</f>
        <v/>
      </c>
      <c r="O9" s="87">
        <f>'Forecast Engine'!O30</f>
        <v/>
      </c>
      <c r="P9" s="87">
        <f>'Forecast Engine'!P30</f>
        <v/>
      </c>
      <c r="Q9" s="43" t="n"/>
    </row>
    <row r="10" ht="18" customHeight="1" s="46">
      <c r="B10" s="102" t="inlineStr">
        <is>
          <t>Total Shareholders' Fund</t>
        </is>
      </c>
      <c r="C10" s="103">
        <f>SUM(C8:C9)</f>
        <v/>
      </c>
      <c r="D10" s="103">
        <f>SUM(D8:D9)</f>
        <v/>
      </c>
      <c r="E10" s="103">
        <f>SUM(E8:E9)</f>
        <v/>
      </c>
      <c r="F10" s="103">
        <f>SUM(F8:F9)</f>
        <v/>
      </c>
      <c r="G10" s="103">
        <f>SUM(G8:G9)</f>
        <v/>
      </c>
      <c r="H10" s="103">
        <f>SUM(H8:H9)</f>
        <v/>
      </c>
      <c r="I10" s="103">
        <f>SUM(I8:I9)</f>
        <v/>
      </c>
      <c r="J10" s="103">
        <f>SUM(J8:J9)</f>
        <v/>
      </c>
      <c r="K10" s="103">
        <f>SUM(K8:K9)</f>
        <v/>
      </c>
      <c r="L10" s="103">
        <f>SUM(L8:L9)</f>
        <v/>
      </c>
      <c r="M10" s="103">
        <f>SUM(M8:M9)</f>
        <v/>
      </c>
      <c r="N10" s="103">
        <f>SUM(N8:N9)</f>
        <v/>
      </c>
      <c r="O10" s="103">
        <f>SUM(O8:O9)</f>
        <v/>
      </c>
      <c r="P10" s="103">
        <f>SUM(P8:P9)</f>
        <v/>
      </c>
      <c r="Q10" s="7" t="n"/>
    </row>
    <row r="11" ht="18" customHeight="1" s="46">
      <c r="N11" s="43" t="n"/>
      <c r="O11" s="43" t="n"/>
      <c r="P11" s="43" t="n"/>
      <c r="Q11" s="43" t="n"/>
    </row>
    <row r="12" ht="18" customHeight="1" s="46">
      <c r="A12" s="1" t="n"/>
      <c r="B12" s="99" t="inlineStr">
        <is>
          <t>Non-Current Liabilities</t>
        </is>
      </c>
      <c r="N12" s="43" t="n"/>
      <c r="O12" s="43" t="n"/>
      <c r="P12" s="43" t="n"/>
      <c r="Q12" s="43" t="n"/>
    </row>
    <row r="13" ht="18" customHeight="1" s="46">
      <c r="B13" s="90" t="inlineStr">
        <is>
          <t xml:space="preserve">   Long-term Borrowings</t>
        </is>
      </c>
      <c r="C13" s="101" t="n">
        <v>0</v>
      </c>
      <c r="D13" s="101" t="n">
        <v>0</v>
      </c>
      <c r="E13" s="101" t="n">
        <v>0</v>
      </c>
      <c r="F13" s="101" t="n">
        <v>0</v>
      </c>
      <c r="G13" s="101" t="n">
        <v>0</v>
      </c>
      <c r="H13" s="101" t="n">
        <v>0</v>
      </c>
      <c r="I13" s="101" t="n">
        <v>168.18</v>
      </c>
      <c r="J13" s="87">
        <f>'Forecast Engine'!J20</f>
        <v/>
      </c>
      <c r="K13" s="87">
        <f>'Forecast Engine'!K20</f>
        <v/>
      </c>
      <c r="L13" s="87">
        <f>'Forecast Engine'!L20</f>
        <v/>
      </c>
      <c r="M13" s="87">
        <f>'Forecast Engine'!M20</f>
        <v/>
      </c>
      <c r="N13" s="87">
        <f>'Forecast Engine'!N20</f>
        <v/>
      </c>
      <c r="O13" s="87">
        <f>'Forecast Engine'!O20</f>
        <v/>
      </c>
      <c r="P13" s="87">
        <f>'Forecast Engine'!P20</f>
        <v/>
      </c>
      <c r="Q13" s="43" t="n"/>
    </row>
    <row r="14" ht="18" customHeight="1" s="46">
      <c r="B14" s="100" t="inlineStr">
        <is>
          <t xml:space="preserve">   Trade Payables - non-current</t>
        </is>
      </c>
      <c r="C14" s="14" t="n"/>
      <c r="D14" s="14" t="n"/>
      <c r="E14" s="14" t="n"/>
      <c r="F14" s="14" t="n"/>
      <c r="G14" s="14" t="n"/>
      <c r="H14" s="14" t="n"/>
      <c r="I14" s="101" t="n">
        <v>1343.44</v>
      </c>
      <c r="J14" s="87">
        <f>'Forecast Engine'!J60</f>
        <v/>
      </c>
      <c r="K14" s="87">
        <f>'Forecast Engine'!K60</f>
        <v/>
      </c>
      <c r="L14" s="87">
        <f>'Forecast Engine'!L60</f>
        <v/>
      </c>
      <c r="M14" s="87">
        <f>'Forecast Engine'!M60</f>
        <v/>
      </c>
      <c r="N14" s="87">
        <f>'Forecast Engine'!N60</f>
        <v/>
      </c>
      <c r="O14" s="87">
        <f>'Forecast Engine'!O60</f>
        <v/>
      </c>
      <c r="P14" s="87">
        <f>'Forecast Engine'!P60</f>
        <v/>
      </c>
      <c r="Q14" s="43" t="n"/>
    </row>
    <row r="15" ht="18" customHeight="1" s="46">
      <c r="B15" s="100" t="inlineStr">
        <is>
          <t xml:space="preserve">   Contract Liabilities - non-current</t>
        </is>
      </c>
      <c r="C15" s="14" t="n"/>
      <c r="D15" s="14" t="n"/>
      <c r="E15" s="14" t="n"/>
      <c r="F15" s="14" t="n"/>
      <c r="G15" s="14" t="n"/>
      <c r="H15" s="14" t="n"/>
      <c r="I15" s="101" t="n">
        <v>13413.24</v>
      </c>
      <c r="J15" s="87">
        <f>'Forecast Engine'!J59</f>
        <v/>
      </c>
      <c r="K15" s="87">
        <f>'Forecast Engine'!K59</f>
        <v/>
      </c>
      <c r="L15" s="87">
        <f>'Forecast Engine'!L59</f>
        <v/>
      </c>
      <c r="M15" s="87">
        <f>'Forecast Engine'!M59</f>
        <v/>
      </c>
      <c r="N15" s="87">
        <f>'Forecast Engine'!N59</f>
        <v/>
      </c>
      <c r="O15" s="87">
        <f>'Forecast Engine'!O59</f>
        <v/>
      </c>
      <c r="P15" s="87">
        <f>'Forecast Engine'!P59</f>
        <v/>
      </c>
      <c r="Q15" s="43" t="n"/>
    </row>
    <row r="16" ht="18" customHeight="1" s="46">
      <c r="B16" s="100" t="inlineStr">
        <is>
          <t xml:space="preserve">   Long-term Provisions</t>
        </is>
      </c>
      <c r="C16" s="101" t="n">
        <v>4225.16</v>
      </c>
      <c r="D16" s="101" t="n">
        <v>3925.56</v>
      </c>
      <c r="E16" s="101" t="n">
        <v>3771.21</v>
      </c>
      <c r="F16" s="101" t="n">
        <v>4101.02</v>
      </c>
      <c r="G16" s="101" t="n">
        <v>2489.08</v>
      </c>
      <c r="H16" s="101" t="n">
        <v>2585.56</v>
      </c>
      <c r="I16" s="101" t="n">
        <v>2354.62</v>
      </c>
      <c r="J16" s="87">
        <f>'Forecast Engine'!J39</f>
        <v/>
      </c>
      <c r="K16" s="87">
        <f>'Forecast Engine'!K39</f>
        <v/>
      </c>
      <c r="L16" s="87">
        <f>'Forecast Engine'!L39</f>
        <v/>
      </c>
      <c r="M16" s="87">
        <f>'Forecast Engine'!M39</f>
        <v/>
      </c>
      <c r="N16" s="87">
        <f>'Forecast Engine'!N39</f>
        <v/>
      </c>
      <c r="O16" s="87">
        <f>'Forecast Engine'!O39</f>
        <v/>
      </c>
      <c r="P16" s="87">
        <f>'Forecast Engine'!P39</f>
        <v/>
      </c>
      <c r="Q16" s="43" t="n"/>
    </row>
    <row r="17" ht="18" customHeight="1" s="46">
      <c r="B17" s="100" t="inlineStr">
        <is>
          <t xml:space="preserve">   Other Non-Current Liabilities</t>
        </is>
      </c>
      <c r="C17" s="101" t="n">
        <v>4263.27</v>
      </c>
      <c r="D17" s="101" t="n">
        <v>4982.75</v>
      </c>
      <c r="E17" s="101" t="n">
        <v>4594.8</v>
      </c>
      <c r="F17" s="101" t="n">
        <v>5089.29</v>
      </c>
      <c r="G17" s="101" t="n">
        <v>6744.96</v>
      </c>
      <c r="H17" s="101" t="n">
        <v>12549.87</v>
      </c>
      <c r="I17" s="101" t="n">
        <v>457.35</v>
      </c>
      <c r="J17" s="87">
        <f>'Forecast Engine'!J38</f>
        <v/>
      </c>
      <c r="K17" s="87">
        <f>'Forecast Engine'!K38</f>
        <v/>
      </c>
      <c r="L17" s="87">
        <f>'Forecast Engine'!L38</f>
        <v/>
      </c>
      <c r="M17" s="87">
        <f>'Forecast Engine'!M38</f>
        <v/>
      </c>
      <c r="N17" s="87">
        <f>'Forecast Engine'!N38</f>
        <v/>
      </c>
      <c r="O17" s="87">
        <f>'Forecast Engine'!O38</f>
        <v/>
      </c>
      <c r="P17" s="87">
        <f>'Forecast Engine'!P38</f>
        <v/>
      </c>
      <c r="Q17" s="7" t="n"/>
    </row>
    <row r="18" ht="18" customHeight="1" s="46">
      <c r="B18" s="104" t="inlineStr">
        <is>
          <t>Total Non-Current Liabilities</t>
        </is>
      </c>
      <c r="C18" s="103">
        <f>SUM(C13:C17)</f>
        <v/>
      </c>
      <c r="D18" s="103">
        <f>SUM(D13:D17)</f>
        <v/>
      </c>
      <c r="E18" s="103">
        <f>SUM(E13:E17)</f>
        <v/>
      </c>
      <c r="F18" s="103">
        <f>SUM(F13:F17)</f>
        <v/>
      </c>
      <c r="G18" s="103">
        <f>SUM(G13:G17)</f>
        <v/>
      </c>
      <c r="H18" s="103">
        <f>SUM(H13:H17)</f>
        <v/>
      </c>
      <c r="I18" s="103">
        <f>SUM(I13:I17)</f>
        <v/>
      </c>
      <c r="J18" s="103">
        <f>SUM(J13:J17)</f>
        <v/>
      </c>
      <c r="K18" s="103">
        <f>SUM(K13:K17)</f>
        <v/>
      </c>
      <c r="L18" s="103">
        <f>SUM(L13:L17)</f>
        <v/>
      </c>
      <c r="M18" s="103">
        <f>SUM(M13:M17)</f>
        <v/>
      </c>
      <c r="N18" s="103">
        <f>SUM(N13:N17)</f>
        <v/>
      </c>
      <c r="O18" s="103">
        <f>SUM(O13:O17)</f>
        <v/>
      </c>
      <c r="P18" s="103">
        <f>SUM(P13:P17)</f>
        <v/>
      </c>
      <c r="Q18" s="7" t="n"/>
    </row>
    <row r="19" ht="18" customHeight="1" s="46">
      <c r="B19" s="38" t="n"/>
      <c r="C19" s="14" t="n"/>
      <c r="D19" s="14" t="n"/>
      <c r="E19" s="14" t="n"/>
      <c r="F19" s="14" t="n"/>
      <c r="G19" s="14" t="n"/>
      <c r="H19" s="14" t="n"/>
      <c r="I19" s="14" t="n"/>
      <c r="J19" s="67" t="n"/>
      <c r="K19" s="67" t="n"/>
      <c r="L19" s="67" t="n"/>
      <c r="M19" s="67" t="n"/>
      <c r="N19" s="67" t="n"/>
      <c r="O19" s="67" t="n"/>
      <c r="P19" s="67" t="n"/>
      <c r="Q19" s="18" t="n"/>
    </row>
    <row r="20" ht="18" customHeight="1" s="46">
      <c r="B20" s="105" t="inlineStr">
        <is>
          <t>Current Liabilities</t>
        </is>
      </c>
      <c r="C20" s="14" t="n"/>
      <c r="D20" s="14" t="n"/>
      <c r="E20" s="14" t="n"/>
      <c r="F20" s="14" t="n"/>
      <c r="G20" s="14" t="n"/>
      <c r="H20" s="14" t="n"/>
      <c r="I20" s="14" t="n"/>
      <c r="J20" s="67" t="n"/>
      <c r="K20" s="67" t="n"/>
      <c r="L20" s="67" t="n"/>
      <c r="M20" s="67" t="n"/>
      <c r="N20" s="67" t="n"/>
      <c r="O20" s="67" t="n"/>
      <c r="P20" s="67" t="n"/>
      <c r="Q20" s="18" t="n"/>
    </row>
    <row r="21" ht="18" customHeight="1" s="46">
      <c r="B21" s="100" t="inlineStr">
        <is>
          <t xml:space="preserve">   Short-term Borrowings</t>
        </is>
      </c>
      <c r="C21" s="101" t="n">
        <v>4947.92</v>
      </c>
      <c r="D21" s="101" t="n">
        <v>4849.28</v>
      </c>
      <c r="E21" s="101" t="n">
        <v>4745</v>
      </c>
      <c r="F21" s="101" t="n">
        <v>5385</v>
      </c>
      <c r="G21" s="101" t="n">
        <v>8808</v>
      </c>
      <c r="H21" s="101" t="n">
        <v>8795</v>
      </c>
      <c r="I21" s="101" t="n">
        <v>8018.77</v>
      </c>
      <c r="J21" s="87">
        <f>'Forecast Engine'!J21</f>
        <v/>
      </c>
      <c r="K21" s="87">
        <f>'Forecast Engine'!K21</f>
        <v/>
      </c>
      <c r="L21" s="87">
        <f>'Forecast Engine'!L21</f>
        <v/>
      </c>
      <c r="M21" s="87">
        <f>'Forecast Engine'!M21</f>
        <v/>
      </c>
      <c r="N21" s="87">
        <f>'Forecast Engine'!N21</f>
        <v/>
      </c>
      <c r="O21" s="87">
        <f>'Forecast Engine'!O21</f>
        <v/>
      </c>
      <c r="P21" s="87">
        <f>'Forecast Engine'!P21</f>
        <v/>
      </c>
      <c r="Q21" s="43" t="n"/>
    </row>
    <row r="22" ht="18" customHeight="1" s="46">
      <c r="B22" s="100" t="inlineStr">
        <is>
          <t xml:space="preserve">   Trade Payables - current</t>
        </is>
      </c>
      <c r="C22" s="101" t="n">
        <v>8829.16</v>
      </c>
      <c r="D22" s="101" t="n">
        <v>6683.51</v>
      </c>
      <c r="E22" s="101" t="n">
        <v>7749.59</v>
      </c>
      <c r="F22" s="101" t="n">
        <v>9895.83</v>
      </c>
      <c r="G22" s="101" t="n">
        <v>8696.24</v>
      </c>
      <c r="H22" s="101" t="n">
        <v>9540.92</v>
      </c>
      <c r="I22" s="101" t="n">
        <v>10491.6</v>
      </c>
      <c r="J22" s="87">
        <f>'Forecast Engine'!J34</f>
        <v/>
      </c>
      <c r="K22" s="87">
        <f>'Forecast Engine'!K34</f>
        <v/>
      </c>
      <c r="L22" s="87">
        <f>'Forecast Engine'!L34</f>
        <v/>
      </c>
      <c r="M22" s="87">
        <f>'Forecast Engine'!M34</f>
        <v/>
      </c>
      <c r="N22" s="87">
        <f>'Forecast Engine'!N34</f>
        <v/>
      </c>
      <c r="O22" s="87">
        <f>'Forecast Engine'!O34</f>
        <v/>
      </c>
      <c r="P22" s="87">
        <f>'Forecast Engine'!P34</f>
        <v/>
      </c>
      <c r="Q22" s="42" t="n"/>
    </row>
    <row r="23" ht="18" customHeight="1" s="46">
      <c r="B23" s="100" t="inlineStr">
        <is>
          <t xml:space="preserve">   Contract Liabilities - current</t>
        </is>
      </c>
      <c r="C23" s="7" t="n"/>
      <c r="D23" s="7" t="n"/>
      <c r="E23" s="7" t="n"/>
      <c r="F23" s="7" t="n"/>
      <c r="G23" s="7" t="n"/>
      <c r="H23" s="7" t="n"/>
      <c r="I23" s="101" t="n">
        <v>9110.389999999999</v>
      </c>
      <c r="J23" s="87">
        <f>'Forecast Engine'!J58</f>
        <v/>
      </c>
      <c r="K23" s="87">
        <f>'Forecast Engine'!K58</f>
        <v/>
      </c>
      <c r="L23" s="87">
        <f>'Forecast Engine'!L58</f>
        <v/>
      </c>
      <c r="M23" s="87">
        <f>'Forecast Engine'!M58</f>
        <v/>
      </c>
      <c r="N23" s="87">
        <f>'Forecast Engine'!N58</f>
        <v/>
      </c>
      <c r="O23" s="87">
        <f>'Forecast Engine'!O58</f>
        <v/>
      </c>
      <c r="P23" s="87">
        <f>'Forecast Engine'!P58</f>
        <v/>
      </c>
      <c r="Q23" s="7" t="n"/>
    </row>
    <row r="24" ht="18" customHeight="1" s="46">
      <c r="B24" s="90" t="inlineStr">
        <is>
          <t xml:space="preserve">   Provisions - current</t>
        </is>
      </c>
      <c r="I24" s="101" t="n">
        <v>1918.91</v>
      </c>
      <c r="J24" s="87">
        <f>'Forecast Engine'!J61</f>
        <v/>
      </c>
      <c r="K24" s="87">
        <f>'Forecast Engine'!K61</f>
        <v/>
      </c>
      <c r="L24" s="87">
        <f>'Forecast Engine'!L61</f>
        <v/>
      </c>
      <c r="M24" s="87">
        <f>'Forecast Engine'!M61</f>
        <v/>
      </c>
      <c r="N24" s="87">
        <f>'Forecast Engine'!N61</f>
        <v/>
      </c>
      <c r="O24" s="87">
        <f>'Forecast Engine'!O61</f>
        <v/>
      </c>
      <c r="P24" s="87">
        <f>'Forecast Engine'!P61</f>
        <v/>
      </c>
      <c r="Q24" s="43" t="n"/>
    </row>
    <row r="25" ht="18" customHeight="1" s="46">
      <c r="A25" s="1" t="n"/>
      <c r="B25" s="90" t="inlineStr">
        <is>
          <t xml:space="preserve">   Other Current Liabilities</t>
        </is>
      </c>
      <c r="C25" s="101" t="n">
        <v>8831.4</v>
      </c>
      <c r="D25" s="101" t="n">
        <v>8827.110000000001</v>
      </c>
      <c r="E25" s="101" t="n">
        <v>8876.559999999999</v>
      </c>
      <c r="F25" s="101" t="n">
        <v>8070.62</v>
      </c>
      <c r="G25" s="101" t="n">
        <v>7828.57</v>
      </c>
      <c r="H25" s="101" t="n">
        <v>9889.67</v>
      </c>
      <c r="I25" s="101" t="n">
        <v>2762.51</v>
      </c>
      <c r="J25" s="106">
        <f>'Forecast Engine'!J36</f>
        <v/>
      </c>
      <c r="K25" s="106">
        <f>'Forecast Engine'!K36</f>
        <v/>
      </c>
      <c r="L25" s="106">
        <f>'Forecast Engine'!L36</f>
        <v/>
      </c>
      <c r="M25" s="106">
        <f>'Forecast Engine'!M36</f>
        <v/>
      </c>
      <c r="N25" s="106">
        <f>'Forecast Engine'!N36</f>
        <v/>
      </c>
      <c r="O25" s="106">
        <f>'Forecast Engine'!O36</f>
        <v/>
      </c>
      <c r="P25" s="106">
        <f>'Forecast Engine'!P36</f>
        <v/>
      </c>
      <c r="Q25" s="7" t="n"/>
    </row>
    <row r="26" ht="18" customHeight="1" s="46">
      <c r="B26" s="84" t="inlineStr">
        <is>
          <t>Total Current Liabilities</t>
        </is>
      </c>
      <c r="C26" s="103">
        <f>SUM(C21:C25)</f>
        <v/>
      </c>
      <c r="D26" s="103">
        <f>SUM(D21:D25)</f>
        <v/>
      </c>
      <c r="E26" s="103">
        <f>SUM(E21:E25)</f>
        <v/>
      </c>
      <c r="F26" s="103">
        <f>SUM(F21:F25)</f>
        <v/>
      </c>
      <c r="G26" s="103">
        <f>SUM(G21:G25)</f>
        <v/>
      </c>
      <c r="H26" s="103">
        <f>SUM(H21:H25)</f>
        <v/>
      </c>
      <c r="I26" s="103">
        <f>SUM(I21:I25)</f>
        <v/>
      </c>
      <c r="J26" s="103">
        <f>SUM(J21:J25)</f>
        <v/>
      </c>
      <c r="K26" s="103">
        <f>SUM(K21:K25)</f>
        <v/>
      </c>
      <c r="L26" s="103">
        <f>SUM(L21:L25)</f>
        <v/>
      </c>
      <c r="M26" s="103">
        <f>SUM(M21:M25)</f>
        <v/>
      </c>
      <c r="N26" s="103">
        <f>SUM(N21:N25)</f>
        <v/>
      </c>
      <c r="O26" s="103">
        <f>SUM(O21:O25)</f>
        <v/>
      </c>
      <c r="P26" s="103">
        <f>SUM(P21:P25)</f>
        <v/>
      </c>
      <c r="Q26" s="43" t="n"/>
    </row>
    <row r="27" ht="18" customHeight="1" s="46">
      <c r="B27" s="84" t="inlineStr">
        <is>
          <t>Total Liabilities</t>
        </is>
      </c>
      <c r="C27" s="103">
        <f>C18+C26</f>
        <v/>
      </c>
      <c r="D27" s="103">
        <f>D18+D26</f>
        <v/>
      </c>
      <c r="E27" s="103">
        <f>E18+E26</f>
        <v/>
      </c>
      <c r="F27" s="103">
        <f>F18+F26</f>
        <v/>
      </c>
      <c r="G27" s="103">
        <f>G18+G26</f>
        <v/>
      </c>
      <c r="H27" s="103">
        <f>H18+H26</f>
        <v/>
      </c>
      <c r="I27" s="103">
        <f>I18+I26</f>
        <v/>
      </c>
      <c r="J27" s="103">
        <f>J18+J26</f>
        <v/>
      </c>
      <c r="K27" s="103">
        <f>K18+K26</f>
        <v/>
      </c>
      <c r="L27" s="103">
        <f>L18+L26</f>
        <v/>
      </c>
      <c r="M27" s="103">
        <f>M18+M26</f>
        <v/>
      </c>
      <c r="N27" s="103">
        <f>N18+N26</f>
        <v/>
      </c>
      <c r="O27" s="103">
        <f>O18+O26</f>
        <v/>
      </c>
      <c r="P27" s="103">
        <f>P18+P26</f>
        <v/>
      </c>
      <c r="Q27" s="43" t="n"/>
    </row>
    <row r="28" ht="18" customHeight="1" s="46">
      <c r="B28" s="4" t="n"/>
      <c r="N28" s="43" t="n"/>
      <c r="O28" s="43" t="n"/>
      <c r="P28" s="43" t="n"/>
      <c r="Q28" s="43" t="n"/>
    </row>
    <row r="29" ht="18" customHeight="1" s="46">
      <c r="A29" t="inlineStr">
        <is>
          <t>x</t>
        </is>
      </c>
      <c r="B29" s="84" t="inlineStr">
        <is>
          <t>TOTAL EQUITY &amp; LIABILITIES</t>
        </is>
      </c>
      <c r="C29" s="107">
        <f>C10+C27</f>
        <v/>
      </c>
      <c r="D29" s="107">
        <f>D10+D27</f>
        <v/>
      </c>
      <c r="E29" s="107">
        <f>E10+E27</f>
        <v/>
      </c>
      <c r="F29" s="107">
        <f>F10+F27</f>
        <v/>
      </c>
      <c r="G29" s="107">
        <f>G10+G27</f>
        <v/>
      </c>
      <c r="H29" s="107">
        <f>H10+H27</f>
        <v/>
      </c>
      <c r="I29" s="107">
        <f>I10+I27</f>
        <v/>
      </c>
      <c r="J29" s="107">
        <f>J10+J27</f>
        <v/>
      </c>
      <c r="K29" s="107">
        <f>K10+K27</f>
        <v/>
      </c>
      <c r="L29" s="107">
        <f>L10+L27</f>
        <v/>
      </c>
      <c r="M29" s="107">
        <f>M10+M27</f>
        <v/>
      </c>
      <c r="N29" s="107">
        <f>N10+N27</f>
        <v/>
      </c>
      <c r="O29" s="107">
        <f>O10+O27</f>
        <v/>
      </c>
      <c r="P29" s="107">
        <f>P10+P27</f>
        <v/>
      </c>
      <c r="Q29" s="43" t="n"/>
    </row>
    <row r="30" ht="18" customHeight="1" s="46">
      <c r="B30" s="38" t="n"/>
      <c r="C30" s="14" t="n"/>
      <c r="D30" s="14" t="n"/>
      <c r="E30" s="14" t="n"/>
      <c r="F30" s="14" t="n"/>
      <c r="G30" s="14" t="n"/>
      <c r="H30" s="14" t="n"/>
      <c r="I30" s="14" t="n"/>
      <c r="J30" s="67" t="n"/>
      <c r="K30" s="67" t="n"/>
      <c r="L30" s="67" t="n"/>
      <c r="M30" s="67" t="n"/>
      <c r="N30" s="67" t="n"/>
      <c r="O30" s="67" t="n"/>
      <c r="P30" s="67" t="n"/>
      <c r="Q30" s="18" t="n"/>
    </row>
    <row r="31" ht="18" customHeight="1" s="46">
      <c r="A31" s="97" t="inlineStr">
        <is>
          <t>x</t>
        </is>
      </c>
      <c r="B31" s="108" t="inlineStr">
        <is>
          <t>ASSETS</t>
        </is>
      </c>
      <c r="C31" s="109" t="n"/>
      <c r="D31" s="109" t="n"/>
      <c r="E31" s="109" t="n"/>
      <c r="F31" s="109" t="n"/>
      <c r="G31" s="109" t="n"/>
      <c r="H31" s="109" t="n"/>
      <c r="I31" s="109" t="n"/>
      <c r="J31" s="110" t="n"/>
      <c r="K31" s="110" t="n"/>
      <c r="L31" s="110" t="n"/>
      <c r="M31" s="110" t="n"/>
      <c r="N31" s="110" t="n"/>
      <c r="O31" s="110" t="n"/>
      <c r="P31" s="110" t="n"/>
      <c r="Q31" s="18" t="n"/>
    </row>
    <row r="32" ht="18" customHeight="1" s="46">
      <c r="B32" s="105" t="inlineStr">
        <is>
          <t>Non-Current Assets</t>
        </is>
      </c>
      <c r="C32" s="14" t="n"/>
      <c r="D32" s="14" t="n"/>
      <c r="E32" s="14" t="n"/>
      <c r="F32" s="14" t="n"/>
      <c r="G32" s="14" t="n"/>
      <c r="H32" s="14" t="n"/>
      <c r="I32" s="14" t="n"/>
      <c r="J32" s="67" t="n"/>
      <c r="K32" s="67" t="n"/>
      <c r="L32" s="67" t="n"/>
      <c r="M32" s="67" t="n"/>
      <c r="N32" s="67" t="n"/>
      <c r="O32" s="67" t="n"/>
      <c r="P32" s="67" t="n"/>
      <c r="Q32" s="18" t="n"/>
    </row>
    <row r="33" ht="18" customHeight="1" s="46">
      <c r="B33" s="100" t="inlineStr">
        <is>
          <t xml:space="preserve">   Property, Plant &amp; Equipment (incl. intangibles)</t>
        </is>
      </c>
      <c r="C33" s="101" t="n">
        <v>2817</v>
      </c>
      <c r="D33" s="101" t="n">
        <v>2491</v>
      </c>
      <c r="E33" s="101" t="n">
        <v>2398</v>
      </c>
      <c r="F33" s="101" t="n">
        <v>2476</v>
      </c>
      <c r="G33" s="101" t="n">
        <v>2574</v>
      </c>
      <c r="H33" s="101" t="n">
        <v>2947</v>
      </c>
      <c r="I33" s="101" t="n">
        <v>3094.38</v>
      </c>
      <c r="J33" s="87">
        <f>'Forecast Engine'!J14</f>
        <v/>
      </c>
      <c r="K33" s="87">
        <f>'Forecast Engine'!K14</f>
        <v/>
      </c>
      <c r="L33" s="87">
        <f>'Forecast Engine'!L14</f>
        <v/>
      </c>
      <c r="M33" s="87">
        <f>'Forecast Engine'!M14</f>
        <v/>
      </c>
      <c r="N33" s="87">
        <f>'Forecast Engine'!N14</f>
        <v/>
      </c>
      <c r="O33" s="87">
        <f>'Forecast Engine'!O14</f>
        <v/>
      </c>
      <c r="P33" s="87">
        <f>'Forecast Engine'!P14</f>
        <v/>
      </c>
      <c r="Q33" s="7" t="n"/>
    </row>
    <row r="34" ht="18" customHeight="1" s="46">
      <c r="B34" s="100" t="inlineStr">
        <is>
          <t xml:space="preserve">   Capital Work in Progress</t>
        </is>
      </c>
      <c r="C34" s="101" t="n">
        <v>314</v>
      </c>
      <c r="D34" s="101" t="n">
        <v>420</v>
      </c>
      <c r="E34" s="101" t="n">
        <v>431</v>
      </c>
      <c r="F34" s="101" t="n">
        <v>354</v>
      </c>
      <c r="G34" s="101" t="n">
        <v>308</v>
      </c>
      <c r="H34" s="101" t="n">
        <v>195</v>
      </c>
      <c r="I34" s="101" t="n">
        <v>399.2</v>
      </c>
      <c r="J34" s="87">
        <f>'Forecast Engine'!J40</f>
        <v/>
      </c>
      <c r="K34" s="87">
        <f>'Forecast Engine'!K40</f>
        <v/>
      </c>
      <c r="L34" s="87">
        <f>'Forecast Engine'!L40</f>
        <v/>
      </c>
      <c r="M34" s="87">
        <f>'Forecast Engine'!M40</f>
        <v/>
      </c>
      <c r="N34" s="87">
        <f>'Forecast Engine'!N40</f>
        <v/>
      </c>
      <c r="O34" s="87">
        <f>'Forecast Engine'!O40</f>
        <v/>
      </c>
      <c r="P34" s="87">
        <f>'Forecast Engine'!P40</f>
        <v/>
      </c>
      <c r="Q34" s="43" t="n"/>
    </row>
    <row r="35" ht="18" customHeight="1" s="46">
      <c r="B35" s="100" t="inlineStr">
        <is>
          <t xml:space="preserve">   Investments (equity method)</t>
        </is>
      </c>
      <c r="C35" s="101" t="n">
        <v>162</v>
      </c>
      <c r="D35" s="101" t="n">
        <v>185</v>
      </c>
      <c r="E35" s="101" t="n">
        <v>205</v>
      </c>
      <c r="F35" s="101" t="n">
        <v>235</v>
      </c>
      <c r="G35" s="101" t="n">
        <v>256</v>
      </c>
      <c r="H35" s="101" t="n">
        <v>276</v>
      </c>
      <c r="I35" s="101" t="n">
        <v>302.06</v>
      </c>
      <c r="J35" s="87">
        <f>'Forecast Engine'!J41</f>
        <v/>
      </c>
      <c r="K35" s="87">
        <f>'Forecast Engine'!K41</f>
        <v/>
      </c>
      <c r="L35" s="87">
        <f>'Forecast Engine'!L41</f>
        <v/>
      </c>
      <c r="M35" s="87">
        <f>'Forecast Engine'!M41</f>
        <v/>
      </c>
      <c r="N35" s="87">
        <f>'Forecast Engine'!N41</f>
        <v/>
      </c>
      <c r="O35" s="87">
        <f>'Forecast Engine'!O41</f>
        <v/>
      </c>
      <c r="P35" s="87">
        <f>'Forecast Engine'!P41</f>
        <v/>
      </c>
      <c r="Q35" s="7" t="n"/>
    </row>
    <row r="36" ht="18" customHeight="1" s="46">
      <c r="B36" s="100" t="inlineStr">
        <is>
          <t xml:space="preserve">   Trade Receivables - non-current</t>
        </is>
      </c>
      <c r="I36" s="101" t="n">
        <v>2426.93</v>
      </c>
      <c r="J36" s="87">
        <f>'Forecast Engine'!J52</f>
        <v/>
      </c>
      <c r="K36" s="87">
        <f>'Forecast Engine'!K52</f>
        <v/>
      </c>
      <c r="L36" s="87">
        <f>'Forecast Engine'!L52</f>
        <v/>
      </c>
      <c r="M36" s="87">
        <f>'Forecast Engine'!M52</f>
        <v/>
      </c>
      <c r="N36" s="87">
        <f>'Forecast Engine'!N52</f>
        <v/>
      </c>
      <c r="O36" s="87">
        <f>'Forecast Engine'!O52</f>
        <v/>
      </c>
      <c r="P36" s="87">
        <f>'Forecast Engine'!P52</f>
        <v/>
      </c>
      <c r="Q36" s="43" t="n"/>
    </row>
    <row r="37" ht="18" customHeight="1" s="46">
      <c r="B37" s="111" t="inlineStr">
        <is>
          <t xml:space="preserve">   Contract Assets - non-current</t>
        </is>
      </c>
      <c r="I37" s="101" t="n">
        <v>14196.72</v>
      </c>
      <c r="J37" s="87">
        <f>'Forecast Engine'!J54</f>
        <v/>
      </c>
      <c r="K37" s="87">
        <f>'Forecast Engine'!K54</f>
        <v/>
      </c>
      <c r="L37" s="87">
        <f>'Forecast Engine'!L54</f>
        <v/>
      </c>
      <c r="M37" s="87">
        <f>'Forecast Engine'!M54</f>
        <v/>
      </c>
      <c r="N37" s="87">
        <f>'Forecast Engine'!N54</f>
        <v/>
      </c>
      <c r="O37" s="87">
        <f>'Forecast Engine'!O54</f>
        <v/>
      </c>
      <c r="P37" s="87">
        <f>'Forecast Engine'!P54</f>
        <v/>
      </c>
      <c r="Q37" s="43" t="n"/>
    </row>
    <row r="38" ht="18" customHeight="1" s="46">
      <c r="B38" s="100" t="inlineStr">
        <is>
          <t xml:space="preserve">   Deferred Tax Assets (net)</t>
        </is>
      </c>
      <c r="C38" s="14" t="n"/>
      <c r="D38" s="14" t="n"/>
      <c r="E38" s="14" t="n"/>
      <c r="F38" s="14" t="n"/>
      <c r="G38" s="14" t="n"/>
      <c r="H38" s="14" t="n"/>
      <c r="I38" s="101" t="n">
        <v>3532.8</v>
      </c>
      <c r="J38" s="87">
        <f>'Forecast Engine'!J55</f>
        <v/>
      </c>
      <c r="K38" s="87">
        <f>'Forecast Engine'!K55</f>
        <v/>
      </c>
      <c r="L38" s="87">
        <f>'Forecast Engine'!L55</f>
        <v/>
      </c>
      <c r="M38" s="87">
        <f>'Forecast Engine'!M55</f>
        <v/>
      </c>
      <c r="N38" s="87">
        <f>'Forecast Engine'!N55</f>
        <v/>
      </c>
      <c r="O38" s="87">
        <f>'Forecast Engine'!O55</f>
        <v/>
      </c>
      <c r="P38" s="87">
        <f>'Forecast Engine'!P55</f>
        <v/>
      </c>
      <c r="Q38" s="18" t="n"/>
    </row>
    <row r="39" ht="18" customHeight="1" s="46">
      <c r="B39" s="100" t="inlineStr">
        <is>
          <t xml:space="preserve">   Other Non-Current Assets</t>
        </is>
      </c>
      <c r="C39" s="101" t="n">
        <v>23737.12</v>
      </c>
      <c r="D39" s="101" t="n">
        <v>23784.5</v>
      </c>
      <c r="E39" s="101" t="n">
        <v>25339.12</v>
      </c>
      <c r="F39" s="101" t="n">
        <v>23763.48</v>
      </c>
      <c r="G39" s="101" t="n">
        <v>21295.77</v>
      </c>
      <c r="H39" s="101" t="n">
        <v>21871.68</v>
      </c>
      <c r="I39" s="101" t="n">
        <v>778.17</v>
      </c>
      <c r="J39" s="87">
        <f>'Forecast Engine'!J37</f>
        <v/>
      </c>
      <c r="K39" s="87">
        <f>'Forecast Engine'!K37</f>
        <v/>
      </c>
      <c r="L39" s="87">
        <f>'Forecast Engine'!L37</f>
        <v/>
      </c>
      <c r="M39" s="87">
        <f>'Forecast Engine'!M37</f>
        <v/>
      </c>
      <c r="N39" s="87">
        <f>'Forecast Engine'!N37</f>
        <v/>
      </c>
      <c r="O39" s="87">
        <f>'Forecast Engine'!O37</f>
        <v/>
      </c>
      <c r="P39" s="87">
        <f>'Forecast Engine'!P37</f>
        <v/>
      </c>
      <c r="Q39" s="18" t="n"/>
    </row>
    <row r="40" ht="18" customHeight="1" s="46">
      <c r="B40" s="102" t="inlineStr">
        <is>
          <t>Total Non-Current Assets</t>
        </is>
      </c>
      <c r="C40" s="103">
        <f>SUM(C33:C39)</f>
        <v/>
      </c>
      <c r="D40" s="103">
        <f>SUM(D33:D39)</f>
        <v/>
      </c>
      <c r="E40" s="103">
        <f>SUM(E33:E39)</f>
        <v/>
      </c>
      <c r="F40" s="103">
        <f>SUM(F33:F39)</f>
        <v/>
      </c>
      <c r="G40" s="103">
        <f>SUM(G33:G39)</f>
        <v/>
      </c>
      <c r="H40" s="103">
        <f>SUM(H33:H39)</f>
        <v/>
      </c>
      <c r="I40" s="103">
        <f>SUM(I33:I39)</f>
        <v/>
      </c>
      <c r="J40" s="103">
        <f>SUM(J33:J39)</f>
        <v/>
      </c>
      <c r="K40" s="103">
        <f>SUM(K33:K39)</f>
        <v/>
      </c>
      <c r="L40" s="103">
        <f>SUM(L33:L39)</f>
        <v/>
      </c>
      <c r="M40" s="103">
        <f>SUM(M33:M39)</f>
        <v/>
      </c>
      <c r="N40" s="103">
        <f>SUM(N33:N39)</f>
        <v/>
      </c>
      <c r="O40" s="103">
        <f>SUM(O33:O39)</f>
        <v/>
      </c>
      <c r="P40" s="103">
        <f>SUM(P33:P39)</f>
        <v/>
      </c>
      <c r="Q40" s="18" t="n"/>
    </row>
    <row r="41" ht="18" customHeight="1" s="46">
      <c r="B41" s="39" t="n"/>
      <c r="C41" s="14" t="n"/>
      <c r="D41" s="14" t="n"/>
      <c r="E41" s="14" t="n"/>
      <c r="F41" s="14" t="n"/>
      <c r="G41" s="14" t="n"/>
      <c r="H41" s="14" t="n"/>
      <c r="I41" s="14" t="n"/>
      <c r="J41" s="67" t="n"/>
      <c r="K41" s="67" t="n"/>
      <c r="L41" s="67" t="n"/>
      <c r="M41" s="67" t="n"/>
      <c r="N41" s="67" t="n"/>
      <c r="O41" s="67" t="n"/>
      <c r="P41" s="67" t="n"/>
      <c r="Q41" s="18" t="n"/>
    </row>
    <row r="42" ht="18" customHeight="1" s="46">
      <c r="B42" s="105" t="inlineStr">
        <is>
          <t>Current Assets</t>
        </is>
      </c>
      <c r="C42" s="7" t="n"/>
      <c r="D42" s="7" t="n"/>
      <c r="E42" s="7" t="n"/>
      <c r="F42" s="7" t="n"/>
      <c r="G42" s="7" t="n"/>
      <c r="H42" s="7" t="n"/>
      <c r="I42" s="7" t="n"/>
      <c r="J42" s="69" t="n"/>
      <c r="K42" s="69" t="n"/>
      <c r="L42" s="69" t="n"/>
      <c r="M42" s="69" t="n"/>
      <c r="N42" s="69" t="n"/>
      <c r="O42" s="69" t="n"/>
      <c r="P42" s="69" t="n"/>
      <c r="Q42" s="7" t="n"/>
    </row>
    <row r="43" ht="18" customHeight="1" s="46">
      <c r="B43" s="90" t="inlineStr">
        <is>
          <t xml:space="preserve">   Trade Receivables - current</t>
        </is>
      </c>
      <c r="C43" s="101" t="n">
        <v>7108.6</v>
      </c>
      <c r="D43" s="101" t="n">
        <v>4035.07</v>
      </c>
      <c r="E43" s="101" t="n">
        <v>3024.75</v>
      </c>
      <c r="F43" s="101" t="n">
        <v>3128.35</v>
      </c>
      <c r="G43" s="101" t="n">
        <v>4785.38</v>
      </c>
      <c r="H43" s="101" t="n">
        <v>5884.35</v>
      </c>
      <c r="I43" s="101" t="n">
        <v>6796.27</v>
      </c>
      <c r="J43" s="87">
        <f>'Forecast Engine'!J32</f>
        <v/>
      </c>
      <c r="K43" s="87">
        <f>'Forecast Engine'!K32</f>
        <v/>
      </c>
      <c r="L43" s="87">
        <f>'Forecast Engine'!L32</f>
        <v/>
      </c>
      <c r="M43" s="87">
        <f>'Forecast Engine'!M32</f>
        <v/>
      </c>
      <c r="N43" s="87">
        <f>'Forecast Engine'!N32</f>
        <v/>
      </c>
      <c r="O43" s="87">
        <f>'Forecast Engine'!O32</f>
        <v/>
      </c>
      <c r="P43" s="87">
        <f>'Forecast Engine'!P32</f>
        <v/>
      </c>
      <c r="Q43" s="43" t="n"/>
    </row>
    <row r="44" ht="18" customHeight="1" s="46">
      <c r="B44" s="111" t="inlineStr">
        <is>
          <t xml:space="preserve">   Inventories</t>
        </is>
      </c>
      <c r="C44" s="101" t="n">
        <v>8908.23</v>
      </c>
      <c r="D44" s="101" t="n">
        <v>7194.45</v>
      </c>
      <c r="E44" s="101" t="n">
        <v>6560.21</v>
      </c>
      <c r="F44" s="101" t="n">
        <v>6755.9</v>
      </c>
      <c r="G44" s="101" t="n">
        <v>7220.57</v>
      </c>
      <c r="H44" s="101" t="n">
        <v>9869.49</v>
      </c>
      <c r="I44" s="101" t="n">
        <v>13334.58</v>
      </c>
      <c r="J44" s="106">
        <f>'Forecast Engine'!J33</f>
        <v/>
      </c>
      <c r="K44" s="106">
        <f>'Forecast Engine'!K33</f>
        <v/>
      </c>
      <c r="L44" s="106">
        <f>'Forecast Engine'!L33</f>
        <v/>
      </c>
      <c r="M44" s="106">
        <f>'Forecast Engine'!M33</f>
        <v/>
      </c>
      <c r="N44" s="106">
        <f>'Forecast Engine'!N33</f>
        <v/>
      </c>
      <c r="O44" s="106">
        <f>'Forecast Engine'!O33</f>
        <v/>
      </c>
      <c r="P44" s="106">
        <f>'Forecast Engine'!P33</f>
        <v/>
      </c>
      <c r="Q44" s="7" t="n"/>
    </row>
    <row r="45" ht="18" customHeight="1" s="46">
      <c r="B45" s="90" t="inlineStr">
        <is>
          <t xml:space="preserve">   Contract Assets - current</t>
        </is>
      </c>
      <c r="I45" s="101" t="n">
        <v>15192.89</v>
      </c>
      <c r="J45" s="87">
        <f>'Forecast Engine'!J53</f>
        <v/>
      </c>
      <c r="K45" s="87">
        <f>'Forecast Engine'!K53</f>
        <v/>
      </c>
      <c r="L45" s="87">
        <f>'Forecast Engine'!L53</f>
        <v/>
      </c>
      <c r="M45" s="87">
        <f>'Forecast Engine'!M53</f>
        <v/>
      </c>
      <c r="N45" s="87">
        <f>'Forecast Engine'!N53</f>
        <v/>
      </c>
      <c r="O45" s="87">
        <f>'Forecast Engine'!O53</f>
        <v/>
      </c>
      <c r="P45" s="87">
        <f>'Forecast Engine'!P53</f>
        <v/>
      </c>
      <c r="Q45" s="43" t="n"/>
    </row>
    <row r="46" ht="18" customHeight="1" s="46">
      <c r="B46" s="90" t="inlineStr">
        <is>
          <t xml:space="preserve">   Other Current Assets</t>
        </is>
      </c>
      <c r="C46" s="101" t="n">
        <v>10292.09</v>
      </c>
      <c r="D46" s="101" t="n">
        <v>10440.4</v>
      </c>
      <c r="E46" s="101" t="n">
        <v>11131.99</v>
      </c>
      <c r="F46" s="101" t="n">
        <v>13564.71</v>
      </c>
      <c r="G46" s="101" t="n">
        <v>16408.31</v>
      </c>
      <c r="H46" s="101" t="n">
        <v>19427.25</v>
      </c>
      <c r="I46" s="101" t="n">
        <v>4264.99</v>
      </c>
      <c r="J46" s="87">
        <f>'Forecast Engine'!J35</f>
        <v/>
      </c>
      <c r="K46" s="87">
        <f>'Forecast Engine'!K35</f>
        <v/>
      </c>
      <c r="L46" s="87">
        <f>'Forecast Engine'!L35</f>
        <v/>
      </c>
      <c r="M46" s="87">
        <f>'Forecast Engine'!M35</f>
        <v/>
      </c>
      <c r="N46" s="87">
        <f>'Forecast Engine'!N35</f>
        <v/>
      </c>
      <c r="O46" s="87">
        <f>'Forecast Engine'!O35</f>
        <v/>
      </c>
      <c r="P46" s="87">
        <f>'Forecast Engine'!P35</f>
        <v/>
      </c>
      <c r="Q46" s="43" t="n"/>
    </row>
    <row r="47" ht="18" customHeight="1" s="46">
      <c r="B47" s="90" t="inlineStr">
        <is>
          <t xml:space="preserve">   Cash &amp; Bank Balances</t>
        </is>
      </c>
      <c r="C47" s="101" t="n">
        <v>6418.59</v>
      </c>
      <c r="D47" s="101" t="n">
        <v>6701.45</v>
      </c>
      <c r="E47" s="101" t="n">
        <v>7153.69</v>
      </c>
      <c r="F47" s="101" t="n">
        <v>6642.58</v>
      </c>
      <c r="G47" s="101" t="n">
        <v>6157.47</v>
      </c>
      <c r="H47" s="101" t="n">
        <v>7612.41</v>
      </c>
      <c r="I47" s="101" t="n">
        <v>11866.62</v>
      </c>
      <c r="J47" s="87">
        <f>'Forecast Engine'!J50</f>
        <v/>
      </c>
      <c r="K47" s="87">
        <f>'Forecast Engine'!K50</f>
        <v/>
      </c>
      <c r="L47" s="87">
        <f>'Forecast Engine'!L50</f>
        <v/>
      </c>
      <c r="M47" s="87">
        <f>'Forecast Engine'!M50</f>
        <v/>
      </c>
      <c r="N47" s="87">
        <f>'Forecast Engine'!N50</f>
        <v/>
      </c>
      <c r="O47" s="87">
        <f>'Forecast Engine'!O50</f>
        <v/>
      </c>
      <c r="P47" s="87">
        <f>'Forecast Engine'!P50</f>
        <v/>
      </c>
      <c r="Q47" s="43" t="n"/>
    </row>
    <row r="48">
      <c r="B48" s="84" t="inlineStr">
        <is>
          <t>Total Current Assets</t>
        </is>
      </c>
      <c r="C48" s="103">
        <f>SUM(C43:C47)</f>
        <v/>
      </c>
      <c r="D48" s="103">
        <f>SUM(D43:D47)</f>
        <v/>
      </c>
      <c r="E48" s="103">
        <f>SUM(E43:E47)</f>
        <v/>
      </c>
      <c r="F48" s="103">
        <f>SUM(F43:F47)</f>
        <v/>
      </c>
      <c r="G48" s="103">
        <f>SUM(G43:G47)</f>
        <v/>
      </c>
      <c r="H48" s="103">
        <f>SUM(H43:H47)</f>
        <v/>
      </c>
      <c r="I48" s="103">
        <f>SUM(I43:I47)</f>
        <v/>
      </c>
      <c r="J48" s="103">
        <f>SUM(J43:J47)</f>
        <v/>
      </c>
      <c r="K48" s="103">
        <f>SUM(K43:K47)</f>
        <v/>
      </c>
      <c r="L48" s="103">
        <f>SUM(L43:L47)</f>
        <v/>
      </c>
      <c r="M48" s="103">
        <f>SUM(M43:M47)</f>
        <v/>
      </c>
      <c r="N48" s="103">
        <f>SUM(N43:N47)</f>
        <v/>
      </c>
      <c r="O48" s="103">
        <f>SUM(O43:O47)</f>
        <v/>
      </c>
      <c r="P48" s="103">
        <f>SUM(P43:P47)</f>
        <v/>
      </c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B50" s="84" t="inlineStr">
        <is>
          <t>TOTAL ASSETS</t>
        </is>
      </c>
      <c r="C50" s="107">
        <f>C40+C48</f>
        <v/>
      </c>
      <c r="D50" s="107">
        <f>D40+D48</f>
        <v/>
      </c>
      <c r="E50" s="107">
        <f>E40+E48</f>
        <v/>
      </c>
      <c r="F50" s="107">
        <f>F40+F48</f>
        <v/>
      </c>
      <c r="G50" s="107">
        <f>G40+G48</f>
        <v/>
      </c>
      <c r="H50" s="107">
        <f>H40+H48</f>
        <v/>
      </c>
      <c r="I50" s="107">
        <f>I40+I48</f>
        <v/>
      </c>
      <c r="J50" s="107">
        <f>J40+J48</f>
        <v/>
      </c>
      <c r="K50" s="107">
        <f>K40+K48</f>
        <v/>
      </c>
      <c r="L50" s="107">
        <f>L40+L48</f>
        <v/>
      </c>
      <c r="M50" s="107">
        <f>M40+M48</f>
        <v/>
      </c>
      <c r="N50" s="107">
        <f>N40+N48</f>
        <v/>
      </c>
      <c r="O50" s="107">
        <f>O40+O48</f>
        <v/>
      </c>
      <c r="P50" s="107">
        <f>P40+P48</f>
        <v/>
      </c>
    </row>
    <row r="52">
      <c r="B52" s="68" t="inlineStr">
        <is>
          <t>Balance check (TA - TE&amp;L)</t>
        </is>
      </c>
      <c r="C52" s="112">
        <f>C50-C29</f>
        <v/>
      </c>
      <c r="D52" s="112">
        <f>D50-D29</f>
        <v/>
      </c>
      <c r="E52" s="112">
        <f>E50-E29</f>
        <v/>
      </c>
      <c r="F52" s="112">
        <f>F50-F29</f>
        <v/>
      </c>
      <c r="G52" s="112">
        <f>G50-G29</f>
        <v/>
      </c>
      <c r="H52" s="112">
        <f>H50-H29</f>
        <v/>
      </c>
      <c r="I52" s="112">
        <f>I50-I29</f>
        <v/>
      </c>
      <c r="J52" s="112">
        <f>J50-J29</f>
        <v/>
      </c>
      <c r="K52" s="112">
        <f>K50-K29</f>
        <v/>
      </c>
      <c r="L52" s="112">
        <f>L50-L29</f>
        <v/>
      </c>
      <c r="M52" s="112">
        <f>M50-M29</f>
        <v/>
      </c>
      <c r="N52" s="112">
        <f>N50-N29</f>
        <v/>
      </c>
      <c r="O52" s="112">
        <f>O50-O29</f>
        <v/>
      </c>
      <c r="P52" s="112">
        <f>P50-P29</f>
        <v/>
      </c>
    </row>
    <row r="54">
      <c r="B54" s="113" t="inlineStr">
        <is>
          <t>Note: Granular current/non-current line-item detail (contract assets &amp; liabilities, non-current trade receivables, current provisions, deferred tax) is shown from FY2026 - the audited year sourced from the BSE Integrated Filing. FY2020-25 retain the consolidated series within the labelled "Other" residual lines; section totals and balancing are preserved for every year.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turns POSITIVE in FY22 (+510.6) &amp; FY23 (+351.1) as it absorbs Screener's volatile 'Other Expenses'. EBITDA/EBIT/PBT/PAT are unaffected and correct.</t>
        </is>
      </c>
    </row>
    <row r="15" ht="42" customHeight="1" s="46">
      <c r="B15" s="58" t="inlineStr">
        <is>
          <t>FY23 Cash differs by Rs55 cr (BS 6,642.6 vs Data Sheet 6,698.1).</t>
        </is>
      </c>
    </row>
    <row r="16" ht="42" customHeight="1" s="46">
      <c r="B16" s="58" t="inlineStr">
        <is>
          <t>FY26 cash Rs11,866.6 cr vs debt Rs8,187 cr =&gt; BHEL is NET CASH ~Rs3,680 cr (used in forecast).</t>
        </is>
      </c>
    </row>
    <row r="17" ht="42" customHeight="1" s="46">
      <c r="B17" s="58" t="inlineStr">
        <is>
          <t>RESOLUTION: forecast built on your BS-sheet (Moneycontrol) line items - internally balanced and reconciling to Screener in FY26 (the seed year).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2026-06-30T11:26:20Z</dcterms:modified>
  <cp:lastModifiedBy>shivam khanna</cp:lastModifiedBy>
</cp:coreProperties>
</file>