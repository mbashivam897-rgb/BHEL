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1" autoFilterDateGrouping="1"/>
  </bookViews>
  <sheets>
    <sheet name="Cover Page" sheetId="1" state="visible" r:id="rId1"/>
    <sheet name="Assumptions" sheetId="2" state="visible" r:id="rId2"/>
    <sheet name="Assumptions Rationale" sheetId="3" state="visible" r:id="rId3"/>
    <sheet name="Historical Financial Statements" sheetId="4" state="visible" r:id="rId4"/>
    <sheet name="Historical Ratio Analysis" sheetId="5" state="visible" r:id="rId5"/>
    <sheet name="Operational Drivers" sheetId="6" state="visible" r:id="rId6"/>
    <sheet name="Revenue Build-up" sheetId="7" state="visible" r:id="rId7"/>
    <sheet name="Cost Forecast" sheetId="8" state="visible" r:id="rId8"/>
    <sheet name="Working Capital Schedule" sheetId="9" state="visible" r:id="rId9"/>
    <sheet name="Fixed Asset Schedule" sheetId="10" state="visible" r:id="rId10"/>
    <sheet name="Depreciation Schedule" sheetId="11" state="visible" r:id="rId11"/>
    <sheet name="Debt Schedule" sheetId="12" state="visible" r:id="rId12"/>
    <sheet name="Equity Schedule" sheetId="13" state="visible" r:id="rId13"/>
    <sheet name="Other Assets &amp; Liabilities" sheetId="14" state="visible" r:id="rId14"/>
    <sheet name="Cash Flow Statement" sheetId="15" state="visible" r:id="rId15"/>
    <sheet name="Forecast Financial Statements" sheetId="16" state="visible" r:id="rId16"/>
    <sheet name="Ratio Analysis" sheetId="17" state="visible" r:id="rId17"/>
    <sheet name="DCF Valuation" sheetId="18" state="visible" r:id="rId18"/>
    <sheet name="Relative Valuation" sheetId="19" state="visible" r:id="rId19"/>
    <sheet name="Sensitivity Analysis" sheetId="20" state="visible" r:id="rId20"/>
    <sheet name="Scenario Analysis" sheetId="21" state="visible" r:id="rId21"/>
    <sheet name="Dashboard" sheetId="22" state="visible" r:id="rId22"/>
    <sheet name="Error Check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"/>
    <numFmt numFmtId="165" formatCode="0.0%"/>
    <numFmt numFmtId="166" formatCode="#,##0.0;(#,##0.0)"/>
    <numFmt numFmtId="167" formatCode="0.0&quot;x&quot;"/>
    <numFmt numFmtId="168" formatCode="0.000"/>
    <numFmt numFmtId="169" formatCode="0.0&quot;%&quot;"/>
    <numFmt numFmtId="170" formatCode="0.0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3864"/>
      <sz val="11"/>
    </font>
    <font>
      <name val="Calibri"/>
      <i val="1"/>
      <color rgb="00595959"/>
      <sz val="9"/>
    </font>
    <font>
      <name val="Calibri"/>
      <color rgb="000000CC"/>
      <sz val="10"/>
    </font>
    <font>
      <name val="Calibri"/>
      <color rgb="00008000"/>
      <sz val="10"/>
    </font>
    <font>
      <name val="Calibri"/>
      <b val="1"/>
      <color rgb="00FFFFFF"/>
      <sz val="10"/>
    </font>
    <font>
      <name val="Calibri"/>
      <i val="1"/>
      <color rgb="00808080"/>
      <sz val="8"/>
    </font>
    <font>
      <name val="Calibri"/>
      <b val="1"/>
      <color rgb="000000CC"/>
      <sz val="10"/>
    </font>
    <font>
      <name val="Calibri"/>
      <b val="1"/>
      <color rgb="001F3864"/>
      <sz val="14"/>
    </font>
    <font>
      <b val="1"/>
      <color rgb="001F3864"/>
    </font>
    <font>
      <name val="Calibri"/>
      <b val="1"/>
      <sz val="10"/>
    </font>
    <font>
      <b val="1"/>
      <color rgb="00FFFFFF"/>
      <sz val="10"/>
    </font>
    <font>
      <b val="1"/>
      <i val="1"/>
      <color rgb="001F3864"/>
      <sz val="10"/>
    </font>
    <font>
      <name val="Calibri"/>
      <color rgb="00C55A11"/>
      <sz val="10"/>
    </font>
    <font>
      <i val="1"/>
      <color rgb="00C00000"/>
      <sz val="9"/>
    </font>
    <font>
      <i val="1"/>
      <sz val="9"/>
    </font>
    <font>
      <i val="1"/>
      <color rgb="00808080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AF0FA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3" borderId="0" pivotButton="0" quotePrefix="0" xfId="0"/>
    <xf numFmtId="0" fontId="9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10" fillId="0" borderId="0" pivotButton="0" quotePrefix="0" xfId="0"/>
    <xf numFmtId="0" fontId="6" fillId="4" borderId="0" pivotButton="0" quotePrefix="0" xfId="0"/>
    <xf numFmtId="0" fontId="3" fillId="4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1" fontId="4" fillId="3" borderId="1" applyAlignment="1" pivotButton="0" quotePrefix="0" xfId="0">
      <alignment horizontal="right"/>
    </xf>
    <xf numFmtId="2" fontId="4" fillId="3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0" fontId="3" fillId="4" borderId="1" pivotButton="0" quotePrefix="0" xfId="0"/>
    <xf numFmtId="0" fontId="5" fillId="7" borderId="0" pivotButton="0" quotePrefix="0" xfId="0"/>
    <xf numFmtId="0" fontId="0" fillId="7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164" fontId="4" fillId="0" borderId="0" applyAlignment="1" pivotButton="0" quotePrefix="0" xfId="0">
      <alignment horizontal="right"/>
    </xf>
    <xf numFmtId="164" fontId="7" fillId="0" borderId="2" applyAlignment="1" pivotButton="0" quotePrefix="0" xfId="0">
      <alignment horizontal="right"/>
    </xf>
    <xf numFmtId="164" fontId="7" fillId="5" borderId="2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4" fontId="7" fillId="5" borderId="3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" fontId="4" fillId="0" borderId="0" applyAlignment="1" pivotButton="0" quotePrefix="0" xfId="0">
      <alignment horizontal="right"/>
    </xf>
    <xf numFmtId="167" fontId="7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164" fontId="7" fillId="5" borderId="0" applyAlignment="1" pivotButton="0" quotePrefix="0" xfId="0">
      <alignment horizontal="right"/>
    </xf>
    <xf numFmtId="164" fontId="8" fillId="5" borderId="0" applyAlignment="1" pivotButton="0" quotePrefix="0" xfId="0">
      <alignment horizontal="right"/>
    </xf>
    <xf numFmtId="164" fontId="4" fillId="3" borderId="0" applyAlignment="1" pivotButton="0" quotePrefix="0" xfId="0">
      <alignment horizontal="right"/>
    </xf>
    <xf numFmtId="164" fontId="4" fillId="5" borderId="0" applyAlignment="1" pivotButton="0" quotePrefix="0" xfId="0">
      <alignment horizontal="right"/>
    </xf>
    <xf numFmtId="0" fontId="3" fillId="4" borderId="0" pivotButton="0" quotePrefix="0" xfId="0"/>
    <xf numFmtId="0" fontId="0" fillId="4" borderId="0" pivotButton="0" quotePrefix="0" xfId="0"/>
    <xf numFmtId="2" fontId="8" fillId="0" borderId="0" applyAlignment="1" pivotButton="0" quotePrefix="0" xfId="0">
      <alignment horizontal="right"/>
    </xf>
    <xf numFmtId="1" fontId="8" fillId="0" borderId="0" applyAlignment="1" pivotButton="0" quotePrefix="0" xfId="0">
      <alignment horizontal="right"/>
    </xf>
    <xf numFmtId="1" fontId="4" fillId="3" borderId="0" applyAlignment="1" pivotButton="0" quotePrefix="0" xfId="0">
      <alignment horizontal="right"/>
    </xf>
    <xf numFmtId="168" fontId="7" fillId="0" borderId="0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2" fontId="7" fillId="6" borderId="1" applyAlignment="1" pivotButton="0" quotePrefix="0" xfId="0">
      <alignment horizontal="right"/>
    </xf>
    <xf numFmtId="2" fontId="8" fillId="0" borderId="1" applyAlignment="1" pivotButton="0" quotePrefix="0" xfId="0">
      <alignment horizontal="right"/>
    </xf>
    <xf numFmtId="167" fontId="4" fillId="3" borderId="1" applyAlignment="1" pivotButton="0" quotePrefix="0" xfId="0">
      <alignment horizontal="right"/>
    </xf>
    <xf numFmtId="169" fontId="4" fillId="3" borderId="1" applyAlignment="1" pivotButton="0" quotePrefix="0" xfId="0">
      <alignment horizontal="right"/>
    </xf>
    <xf numFmtId="0" fontId="3" fillId="5" borderId="0" pivotButton="0" quotePrefix="0" xfId="0"/>
    <xf numFmtId="167" fontId="7" fillId="5" borderId="1" applyAlignment="1" pivotButton="0" quotePrefix="0" xfId="0">
      <alignment horizontal="right"/>
    </xf>
    <xf numFmtId="169" fontId="7" fillId="5" borderId="1" applyAlignment="1" pivotButton="0" quotePrefix="0" xfId="0">
      <alignment horizontal="right"/>
    </xf>
    <xf numFmtId="2" fontId="7" fillId="5" borderId="1" applyAlignment="1" pivotButton="0" quotePrefix="0" xfId="0">
      <alignment horizontal="right"/>
    </xf>
    <xf numFmtId="165" fontId="4" fillId="4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right"/>
    </xf>
    <xf numFmtId="2" fontId="12" fillId="5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right"/>
    </xf>
    <xf numFmtId="0" fontId="11" fillId="5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3" fontId="0" fillId="0" borderId="0" pivotButton="0" quotePrefix="0" xfId="0"/>
    <xf numFmtId="0" fontId="16" fillId="2" borderId="0" pivotButton="0" quotePrefix="0" xfId="0"/>
    <xf numFmtId="164" fontId="14" fillId="5" borderId="0" applyAlignment="1" pivotButton="0" quotePrefix="0" xfId="0">
      <alignment horizontal="right"/>
    </xf>
    <xf numFmtId="164" fontId="4" fillId="5" borderId="2" applyAlignment="1" pivotButton="0" quotePrefix="0" xfId="0">
      <alignment horizontal="right"/>
    </xf>
    <xf numFmtId="164" fontId="8" fillId="5" borderId="2" applyAlignment="1" pivotButton="0" quotePrefix="0" xfId="0">
      <alignment horizontal="right"/>
    </xf>
    <xf numFmtId="164" fontId="4" fillId="0" borderId="0" pivotButton="0" quotePrefix="0" xfId="0"/>
    <xf numFmtId="0" fontId="4" fillId="2" borderId="0" pivotButton="0" quotePrefix="0" xfId="0"/>
    <xf numFmtId="164" fontId="4" fillId="2" borderId="0" pivotButton="0" quotePrefix="0" xfId="0"/>
    <xf numFmtId="164" fontId="8" fillId="2" borderId="0" applyAlignment="1" pivotButton="0" quotePrefix="0" xfId="0">
      <alignment horizontal="right"/>
    </xf>
    <xf numFmtId="164" fontId="14" fillId="0" borderId="0" pivotButton="0" quotePrefix="0" xfId="0"/>
    <xf numFmtId="164" fontId="14" fillId="0" borderId="0" applyAlignment="1" pivotButton="0" quotePrefix="0" xfId="0">
      <alignment horizontal="right"/>
    </xf>
    <xf numFmtId="164" fontId="8" fillId="0" borderId="0" pivotButton="0" quotePrefix="0" xfId="0"/>
    <xf numFmtId="0" fontId="14" fillId="0" borderId="1" applyAlignment="1" pivotButton="0" quotePrefix="0" xfId="0">
      <alignment horizontal="right"/>
    </xf>
    <xf numFmtId="0" fontId="15" fillId="2" borderId="0" pivotButton="0" quotePrefix="0" xfId="0"/>
    <xf numFmtId="0" fontId="16" fillId="0" borderId="0" pivotButton="0" quotePrefix="0" xfId="0"/>
    <xf numFmtId="164" fontId="14" fillId="4" borderId="2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164" fontId="4" fillId="0" borderId="2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  <xf numFmtId="164" fontId="14" fillId="4" borderId="0" applyAlignment="1" pivotButton="0" quotePrefix="0" xfId="0">
      <alignment horizontal="right"/>
    </xf>
    <xf numFmtId="164" fontId="4" fillId="0" borderId="3" applyAlignment="1" pivotButton="0" quotePrefix="0" xfId="0">
      <alignment horizontal="right"/>
    </xf>
    <xf numFmtId="164" fontId="8" fillId="0" borderId="3" applyAlignment="1" pivotButton="0" quotePrefix="0" xfId="0">
      <alignment horizontal="right"/>
    </xf>
    <xf numFmtId="164" fontId="4" fillId="2" borderId="0" applyAlignment="1" pivotButton="0" quotePrefix="0" xfId="0">
      <alignment horizontal="right"/>
    </xf>
    <xf numFmtId="164" fontId="7" fillId="0" borderId="3" applyAlignment="1" pivotButton="0" quotePrefix="0" xfId="0">
      <alignment horizontal="right"/>
    </xf>
    <xf numFmtId="170" fontId="18" fillId="0" borderId="0" applyAlignment="1" pivotButton="0" quotePrefix="0" xfId="0">
      <alignment horizontal="right"/>
    </xf>
    <xf numFmtId="164" fontId="19" fillId="0" borderId="0" applyAlignment="1" pivotButton="0" quotePrefix="0" xfId="0">
      <alignment horizontal="right"/>
    </xf>
    <xf numFmtId="0" fontId="2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&amp; EBITDA (INR Cr)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 Financial Statements'!$B$4:$O$4</f>
            </numRef>
          </cat>
          <val>
            <numRef>
              <f>'Forecast Financial Statements'!$B$5:$O$5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 Financial Statements'!$B$4:$O$4</f>
            </numRef>
          </cat>
          <val>
            <numRef>
              <f>'Forecast Financial Statements'!$B$12:$O$12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 (INR Cr)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'Forecast Financial Statements'!$B$4:$O$4</f>
            </numRef>
          </cat>
          <val>
            <numRef>
              <f>'Forecast Financial Statements'!$B$20:$O$20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Closing order book (INR Cr)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Build-up'!$B$4:$O$4</f>
            </numRef>
          </cat>
          <val>
            <numRef>
              <f>'Revenue Build-up'!$B$10:$O$10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FCFF (INR Cr, FY27-33)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'DCF Valuation'!$I$4:$O$4</f>
            </numRef>
          </cat>
          <val>
            <numRef>
              <f>'DCF Valuation'!$I$12:$O$12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16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32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32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2" t="inlineStr">
        <is>
          <t>BHARAT HEAVY ELECTRICALS LIMITED (BHEL)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Integrated Financial Model &amp; Equity Valuation  |  NSE: BHEL  |  BSE: 500103</t>
        </is>
      </c>
      <c r="C3" s="1" t="n"/>
      <c r="D3" s="1" t="n"/>
      <c r="E3" s="1" t="n"/>
      <c r="F3" s="1" t="n"/>
      <c r="G3" s="1" t="n"/>
    </row>
    <row r="6">
      <c r="B6" s="4" t="inlineStr">
        <is>
          <t>Company</t>
        </is>
      </c>
      <c r="C6" s="5" t="inlineStr">
        <is>
          <t>Bharat Heavy Electricals Ltd (Maharatna CPSE, Govt. of India)</t>
        </is>
      </c>
    </row>
    <row r="7">
      <c r="B7" s="4" t="inlineStr">
        <is>
          <t>Sector</t>
        </is>
      </c>
      <c r="C7" s="5" t="inlineStr">
        <is>
          <t>Capital Goods / Heavy Electrical Equipment</t>
        </is>
      </c>
    </row>
    <row r="8">
      <c r="B8" s="4" t="inlineStr">
        <is>
          <t>Reporting basis</t>
        </is>
      </c>
      <c r="C8" s="5" t="inlineStr">
        <is>
          <t>Consolidated, Indian Accounting Standards (Ind-AS)</t>
        </is>
      </c>
    </row>
    <row r="9">
      <c r="B9" s="4" t="inlineStr">
        <is>
          <t>Currency / Units</t>
        </is>
      </c>
      <c r="C9" s="5" t="inlineStr">
        <is>
          <t>INR Crore (per-share in INR)</t>
        </is>
      </c>
    </row>
    <row r="10">
      <c r="B10" s="4" t="inlineStr">
        <is>
          <t>Historical period</t>
        </is>
      </c>
      <c r="C10" s="5" t="inlineStr">
        <is>
          <t>FY2020 - FY2026 (reported)</t>
        </is>
      </c>
    </row>
    <row r="11">
      <c r="B11" s="4" t="inlineStr">
        <is>
          <t>Forecast period</t>
        </is>
      </c>
      <c r="C11" s="5" t="inlineStr">
        <is>
          <t>FY2027 - FY2033 (7 years, analyst projections)</t>
        </is>
      </c>
    </row>
    <row r="12">
      <c r="B12" s="4" t="inlineStr">
        <is>
          <t>Valuation date</t>
        </is>
      </c>
      <c r="C12" s="5" t="inlineStr">
        <is>
          <t>27-Jun-2026</t>
        </is>
      </c>
    </row>
    <row r="13">
      <c r="B13" s="4" t="inlineStr">
        <is>
          <t>Last traded price</t>
        </is>
      </c>
      <c r="C13" s="5" t="inlineStr">
        <is>
          <t>INR 403 (25-Jun-2026)</t>
        </is>
      </c>
    </row>
    <row r="14">
      <c r="B14" s="4" t="inlineStr">
        <is>
          <t>Shares outstanding</t>
        </is>
      </c>
      <c r="C14" s="5" t="inlineStr">
        <is>
          <t>~348.0 crore (Face value INR 2)</t>
        </is>
      </c>
    </row>
    <row r="15">
      <c r="B15" s="4" t="inlineStr">
        <is>
          <t>Promoter (Govt. of India)</t>
        </is>
      </c>
      <c r="C15" s="5" t="inlineStr">
        <is>
          <t>58.17%</t>
        </is>
      </c>
    </row>
    <row r="17">
      <c r="B17" s="6" t="inlineStr">
        <is>
          <t>Income statement format</t>
        </is>
      </c>
    </row>
    <row r="18">
      <c r="B18" s="7" t="inlineStr">
        <is>
          <t>Sales - COGS = Gross Profit; less Operating Expenses (Employee, Selling &amp; admin) = EBITDA;</t>
        </is>
      </c>
    </row>
    <row r="19">
      <c r="B19" s="7" t="inlineStr">
        <is>
          <t>less D&amp;A = EBIT; +Other Income -Interest = PBT; less Tax +/- Adjustments = PAT.</t>
        </is>
      </c>
    </row>
    <row r="21">
      <c r="B21" s="6" t="inlineStr">
        <is>
          <t>Formatting legend</t>
        </is>
      </c>
    </row>
    <row r="22">
      <c r="B22" s="5" t="inlineStr">
        <is>
          <t>Black</t>
        </is>
      </c>
      <c r="C22" s="5" t="inlineStr">
        <is>
          <t>Hardcoded input / reported data</t>
        </is>
      </c>
    </row>
    <row r="23">
      <c r="B23" s="8" t="inlineStr">
        <is>
          <t>Blue</t>
        </is>
      </c>
      <c r="C23" s="5" t="inlineStr">
        <is>
          <t>In-sheet formula</t>
        </is>
      </c>
    </row>
    <row r="24">
      <c r="B24" s="9" t="inlineStr">
        <is>
          <t>Green</t>
        </is>
      </c>
      <c r="C24" s="5" t="inlineStr">
        <is>
          <t>Link to another worksheet</t>
        </is>
      </c>
    </row>
    <row r="25">
      <c r="B25" s="10" t="inlineStr">
        <is>
          <t>Gold fill</t>
        </is>
      </c>
      <c r="C25" s="5" t="inlineStr">
        <is>
          <t>Editable assumption / input</t>
        </is>
      </c>
    </row>
    <row r="27">
      <c r="B27" s="6" t="inlineStr">
        <is>
          <t>Data sources &amp; caveats</t>
        </is>
      </c>
    </row>
    <row r="28">
      <c r="B28" s="7" t="inlineStr">
        <is>
          <t>Headline financials FY20-26: BHEL BSE/NSE filings (consolidated), aggregated via Screener.in.</t>
        </is>
      </c>
    </row>
    <row r="29">
      <c r="B29" s="7" t="inlineStr">
        <is>
          <t>Order book, inflow &amp; segment data: BHEL results releases &amp; Directors' Report (standalone basis).</t>
        </is>
      </c>
    </row>
    <row r="30">
      <c r="B30" s="7" t="inlineStr">
        <is>
          <t>Detailed expense split (COGS / employee / selling &amp; admin) and detailed balance-sheet sub-lines</t>
        </is>
      </c>
    </row>
    <row r="31">
      <c r="B31" s="7" t="inlineStr">
        <is>
          <t>are analyst estimates clearly flagged and anchored to the reported audited TOTALS.</t>
        </is>
      </c>
    </row>
    <row r="32">
      <c r="B32" s="7" t="inlineStr">
        <is>
          <t>Peer multiples on Relative Valuation are indicative; refresh with live data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8F00"/>
    <outlinePr summaryBelow="1" summaryRight="1"/>
    <pageSetUpPr/>
  </sheetPr>
  <dimension ref="A1:P8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11" t="inlineStr">
        <is>
          <t>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B2" s="4" t="inlineStr">
        <is>
          <t>Scenario Switch</t>
        </is>
      </c>
      <c r="D2" s="12" t="inlineStr">
        <is>
          <t>Base</t>
        </is>
      </c>
      <c r="F2" s="13" t="inlineStr">
        <is>
          <t>&lt;- toggles the VARIABLE drivers below; revenue, margins, cash flow &amp; valuation recalculate</t>
        </is>
      </c>
    </row>
    <row r="3">
      <c r="A3" s="6" t="inlineStr">
        <is>
          <t>A.  VARIABLE ASSUMPTIONS  (Base / Best / Bear - selected by Scenario Switch)</t>
        </is>
      </c>
      <c r="I3" s="13" t="inlineStr">
        <is>
          <t>Sales growth is DERIVED (Revenue Build-up): Revenue = Execution rate x Opening order book; Closing OB = Opening + Inflow - Revenue.</t>
        </is>
      </c>
    </row>
    <row r="4">
      <c r="A4" s="14" t="inlineStr">
        <is>
          <t>ratios / INR Crore</t>
        </is>
      </c>
      <c r="B4" s="15" t="inlineStr">
        <is>
          <t>FY2020</t>
        </is>
      </c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</t>
        </is>
      </c>
      <c r="I4" s="15" t="inlineStr">
        <is>
          <t>FY2027</t>
        </is>
      </c>
      <c r="J4" s="15" t="inlineStr">
        <is>
          <t>FY2028</t>
        </is>
      </c>
      <c r="K4" s="15" t="inlineStr">
        <is>
          <t>FY2029</t>
        </is>
      </c>
      <c r="L4" s="15" t="inlineStr">
        <is>
          <t>FY2030</t>
        </is>
      </c>
      <c r="M4" s="15" t="inlineStr">
        <is>
          <t>FY2031</t>
        </is>
      </c>
      <c r="N4" s="15" t="inlineStr">
        <is>
          <t>FY2032</t>
        </is>
      </c>
      <c r="O4" s="15" t="inlineStr">
        <is>
          <t>FY2033</t>
        </is>
      </c>
    </row>
    <row r="5">
      <c r="A5" s="4" t="inlineStr">
        <is>
          <t>New order inflow (INR Cr)  [revenue driver]</t>
        </is>
      </c>
      <c r="I5" s="16">
        <f>IF($D$2="Best",I7,IF($D$2="Bear",I8,I6))</f>
        <v/>
      </c>
      <c r="J5" s="16">
        <f>IF($D$2="Best",J7,IF($D$2="Bear",J8,J6))</f>
        <v/>
      </c>
      <c r="K5" s="16">
        <f>IF($D$2="Best",K7,IF($D$2="Bear",K8,K6))</f>
        <v/>
      </c>
      <c r="L5" s="16">
        <f>IF($D$2="Best",L7,IF($D$2="Bear",L8,L6))</f>
        <v/>
      </c>
      <c r="M5" s="16">
        <f>IF($D$2="Best",M7,IF($D$2="Bear",M8,M6))</f>
        <v/>
      </c>
      <c r="N5" s="16">
        <f>IF($D$2="Best",N7,IF($D$2="Bear",N8,N6))</f>
        <v/>
      </c>
      <c r="O5" s="16">
        <f>IF($D$2="Best",O7,IF($D$2="Bear",O8,O6))</f>
        <v/>
      </c>
      <c r="P5" s="13" t="inlineStr">
        <is>
          <t>Demand driver: thermal/T&amp;D/defence ordering. Best=accelerated power capex cycle; Bear=delayed ordering.</t>
        </is>
      </c>
    </row>
    <row r="6">
      <c r="A6" s="7" t="inlineStr">
        <is>
          <t xml:space="preserve">   Base</t>
        </is>
      </c>
      <c r="I6" s="17" t="n">
        <v>78000</v>
      </c>
      <c r="J6" s="17" t="n">
        <v>82000</v>
      </c>
      <c r="K6" s="17" t="n">
        <v>86000</v>
      </c>
      <c r="L6" s="17" t="n">
        <v>90000</v>
      </c>
      <c r="M6" s="17" t="n">
        <v>92000</v>
      </c>
      <c r="N6" s="17" t="n">
        <v>94000</v>
      </c>
      <c r="O6" s="17" t="n">
        <v>96000</v>
      </c>
    </row>
    <row r="7">
      <c r="A7" s="7" t="inlineStr">
        <is>
          <t xml:space="preserve">   Best</t>
        </is>
      </c>
      <c r="I7" s="17" t="n">
        <v>90000</v>
      </c>
      <c r="J7" s="17" t="n">
        <v>95000</v>
      </c>
      <c r="K7" s="17" t="n">
        <v>100000</v>
      </c>
      <c r="L7" s="17" t="n">
        <v>105000</v>
      </c>
      <c r="M7" s="17" t="n">
        <v>108000</v>
      </c>
      <c r="N7" s="17" t="n">
        <v>110000</v>
      </c>
      <c r="O7" s="17" t="n">
        <v>112000</v>
      </c>
    </row>
    <row r="8">
      <c r="A8" s="7" t="inlineStr">
        <is>
          <t xml:space="preserve">   Bear</t>
        </is>
      </c>
      <c r="I8" s="17" t="n">
        <v>62000</v>
      </c>
      <c r="J8" s="17" t="n">
        <v>64000</v>
      </c>
      <c r="K8" s="17" t="n">
        <v>66000</v>
      </c>
      <c r="L8" s="17" t="n">
        <v>68000</v>
      </c>
      <c r="M8" s="17" t="n">
        <v>70000</v>
      </c>
      <c r="N8" s="17" t="n">
        <v>72000</v>
      </c>
      <c r="O8" s="17" t="n">
        <v>74000</v>
      </c>
    </row>
    <row r="10">
      <c r="A10" s="4" t="inlineStr">
        <is>
          <t>Execution rate (revenue / opening order book)  [revenue driver]</t>
        </is>
      </c>
      <c r="I10" s="18">
        <f>IF($D$2="Best",I12,IF($D$2="Bear",I13,I11))</f>
        <v/>
      </c>
      <c r="J10" s="18">
        <f>IF($D$2="Best",J12,IF($D$2="Bear",J13,J11))</f>
        <v/>
      </c>
      <c r="K10" s="18">
        <f>IF($D$2="Best",K12,IF($D$2="Bear",K13,K11))</f>
        <v/>
      </c>
      <c r="L10" s="18">
        <f>IF($D$2="Best",L12,IF($D$2="Bear",L13,L11))</f>
        <v/>
      </c>
      <c r="M10" s="18">
        <f>IF($D$2="Best",M12,IF($D$2="Bear",M13,M11))</f>
        <v/>
      </c>
      <c r="N10" s="18">
        <f>IF($D$2="Best",N12,IF($D$2="Bear",N13,N11))</f>
        <v/>
      </c>
      <c r="O10" s="18">
        <f>IF($D$2="Best",O12,IF($D$2="Bear",O13,O11))</f>
        <v/>
      </c>
      <c r="P10" s="13" t="inlineStr">
        <is>
          <t>Order-book-to-revenue conversion; rises with capacity utilisation &amp; supply-chain normalisation.</t>
        </is>
      </c>
    </row>
    <row r="11">
      <c r="A11" s="7" t="inlineStr">
        <is>
          <t xml:space="preserve">   Base</t>
        </is>
      </c>
      <c r="I11" s="19" t="n">
        <v>0.165</v>
      </c>
      <c r="J11" s="19" t="n">
        <v>0.17</v>
      </c>
      <c r="K11" s="19" t="n">
        <v>0.175</v>
      </c>
      <c r="L11" s="19" t="n">
        <v>0.18</v>
      </c>
      <c r="M11" s="19" t="n">
        <v>0.185</v>
      </c>
      <c r="N11" s="19" t="n">
        <v>0.19</v>
      </c>
      <c r="O11" s="19" t="n">
        <v>0.195</v>
      </c>
    </row>
    <row r="12">
      <c r="A12" s="7" t="inlineStr">
        <is>
          <t xml:space="preserve">   Best</t>
        </is>
      </c>
      <c r="I12" s="19" t="n">
        <v>0.175</v>
      </c>
      <c r="J12" s="19" t="n">
        <v>0.182</v>
      </c>
      <c r="K12" s="19" t="n">
        <v>0.19</v>
      </c>
      <c r="L12" s="19" t="n">
        <v>0.197</v>
      </c>
      <c r="M12" s="19" t="n">
        <v>0.205</v>
      </c>
      <c r="N12" s="19" t="n">
        <v>0.21</v>
      </c>
      <c r="O12" s="19" t="n">
        <v>0.215</v>
      </c>
    </row>
    <row r="13">
      <c r="A13" s="7" t="inlineStr">
        <is>
          <t xml:space="preserve">   Bear</t>
        </is>
      </c>
      <c r="I13" s="19" t="n">
        <v>0.15</v>
      </c>
      <c r="J13" s="19" t="n">
        <v>0.152</v>
      </c>
      <c r="K13" s="19" t="n">
        <v>0.155</v>
      </c>
      <c r="L13" s="19" t="n">
        <v>0.158</v>
      </c>
      <c r="M13" s="19" t="n">
        <v>0.16</v>
      </c>
      <c r="N13" s="19" t="n">
        <v>0.162</v>
      </c>
      <c r="O13" s="19" t="n">
        <v>0.165</v>
      </c>
    </row>
    <row r="15">
      <c r="A15" s="4" t="inlineStr">
        <is>
          <t>EBITDA margin (% revenue)</t>
        </is>
      </c>
      <c r="I15" s="18">
        <f>IF($D$2="Best",I17,IF($D$2="Bear",I18,I16))</f>
        <v/>
      </c>
      <c r="J15" s="18">
        <f>IF($D$2="Best",J17,IF($D$2="Bear",J18,J16))</f>
        <v/>
      </c>
      <c r="K15" s="18">
        <f>IF($D$2="Best",K17,IF($D$2="Bear",K18,K16))</f>
        <v/>
      </c>
      <c r="L15" s="18">
        <f>IF($D$2="Best",L17,IF($D$2="Bear",L18,L16))</f>
        <v/>
      </c>
      <c r="M15" s="18">
        <f>IF($D$2="Best",M17,IF($D$2="Bear",M18,M16))</f>
        <v/>
      </c>
      <c r="N15" s="18">
        <f>IF($D$2="Best",N17,IF($D$2="Bear",N18,N16))</f>
        <v/>
      </c>
      <c r="O15" s="18">
        <f>IF($D$2="Best",O17,IF($D$2="Bear",O18,O16))</f>
        <v/>
      </c>
      <c r="P15" s="13" t="inlineStr">
        <is>
          <t>Operating leverage on a largely fixed cost base; commodity (steel/copper) &amp; pricing risk.</t>
        </is>
      </c>
    </row>
    <row r="16">
      <c r="A16" s="7" t="inlineStr">
        <is>
          <t xml:space="preserve">   Base</t>
        </is>
      </c>
      <c r="I16" s="19" t="n">
        <v>0.075</v>
      </c>
      <c r="J16" s="19" t="n">
        <v>0.08500000000000001</v>
      </c>
      <c r="K16" s="19" t="n">
        <v>0.095</v>
      </c>
      <c r="L16" s="19" t="n">
        <v>0.105</v>
      </c>
      <c r="M16" s="19" t="n">
        <v>0.11</v>
      </c>
      <c r="N16" s="19" t="n">
        <v>0.115</v>
      </c>
      <c r="O16" s="19" t="n">
        <v>0.12</v>
      </c>
    </row>
    <row r="17">
      <c r="A17" s="7" t="inlineStr">
        <is>
          <t xml:space="preserve">   Best</t>
        </is>
      </c>
      <c r="I17" s="19" t="n">
        <v>0.09</v>
      </c>
      <c r="J17" s="19" t="n">
        <v>0.1</v>
      </c>
      <c r="K17" s="19" t="n">
        <v>0.11</v>
      </c>
      <c r="L17" s="19" t="n">
        <v>0.12</v>
      </c>
      <c r="M17" s="19" t="n">
        <v>0.125</v>
      </c>
      <c r="N17" s="19" t="n">
        <v>0.13</v>
      </c>
      <c r="O17" s="19" t="n">
        <v>0.135</v>
      </c>
    </row>
    <row r="18">
      <c r="A18" s="7" t="inlineStr">
        <is>
          <t xml:space="preserve">   Bear</t>
        </is>
      </c>
      <c r="I18" s="19" t="n">
        <v>0.06</v>
      </c>
      <c r="J18" s="19" t="n">
        <v>0.065</v>
      </c>
      <c r="K18" s="19" t="n">
        <v>0.07199999999999999</v>
      </c>
      <c r="L18" s="19" t="n">
        <v>0.08</v>
      </c>
      <c r="M18" s="19" t="n">
        <v>0.08500000000000001</v>
      </c>
      <c r="N18" s="19" t="n">
        <v>0.09</v>
      </c>
      <c r="O18" s="19" t="n">
        <v>0.095</v>
      </c>
    </row>
    <row r="20">
      <c r="A20" s="6" t="inlineStr">
        <is>
          <t>B.  FIXED ASSUMPTIONS  (structural / policy - constant across scenarios)</t>
        </is>
      </c>
    </row>
    <row r="21">
      <c r="A21" s="14" t="inlineStr">
        <is>
          <t>ratios / INR Crore</t>
        </is>
      </c>
      <c r="B21" s="15" t="inlineStr">
        <is>
          <t>FY2020</t>
        </is>
      </c>
      <c r="C21" s="15" t="inlineStr">
        <is>
          <t>FY2021</t>
        </is>
      </c>
      <c r="D21" s="15" t="inlineStr">
        <is>
          <t>FY2022</t>
        </is>
      </c>
      <c r="E21" s="15" t="inlineStr">
        <is>
          <t>FY2023</t>
        </is>
      </c>
      <c r="F21" s="15" t="inlineStr">
        <is>
          <t>FY2024</t>
        </is>
      </c>
      <c r="G21" s="15" t="inlineStr">
        <is>
          <t>FY2025</t>
        </is>
      </c>
      <c r="H21" s="15" t="inlineStr">
        <is>
          <t>FY2026</t>
        </is>
      </c>
      <c r="I21" s="15" t="inlineStr">
        <is>
          <t>FY2027</t>
        </is>
      </c>
      <c r="J21" s="15" t="inlineStr">
        <is>
          <t>FY2028</t>
        </is>
      </c>
      <c r="K21" s="15" t="inlineStr">
        <is>
          <t>FY2029</t>
        </is>
      </c>
      <c r="L21" s="15" t="inlineStr">
        <is>
          <t>FY2030</t>
        </is>
      </c>
      <c r="M21" s="15" t="inlineStr">
        <is>
          <t>FY2031</t>
        </is>
      </c>
      <c r="N21" s="15" t="inlineStr">
        <is>
          <t>FY2032</t>
        </is>
      </c>
      <c r="O21" s="15" t="inlineStr">
        <is>
          <t>FY2033</t>
        </is>
      </c>
    </row>
    <row r="22">
      <c r="A22" s="5" t="inlineStr">
        <is>
          <t>Consolidation uplift (consol vs standalone rev) %</t>
        </is>
      </c>
      <c r="I22" s="19" t="n">
        <v>0.02</v>
      </c>
      <c r="J22" s="19" t="n">
        <v>0.02</v>
      </c>
      <c r="K22" s="19" t="n">
        <v>0.02</v>
      </c>
      <c r="L22" s="19" t="n">
        <v>0.02</v>
      </c>
      <c r="M22" s="19" t="n">
        <v>0.02</v>
      </c>
      <c r="N22" s="19" t="n">
        <v>0.02</v>
      </c>
      <c r="O22" s="19" t="n">
        <v>0.02</v>
      </c>
      <c r="P22" s="13" t="inlineStr">
        <is>
          <t>Subsidiary/JV contribution to revenue; historical 0-6% (FY26 ~0%).</t>
        </is>
      </c>
    </row>
    <row r="23">
      <c r="A23" s="5" t="inlineStr">
        <is>
          <t>Other income (% revenue)</t>
        </is>
      </c>
      <c r="I23" s="19" t="n">
        <v>0.018</v>
      </c>
      <c r="J23" s="19" t="n">
        <v>0.018</v>
      </c>
      <c r="K23" s="19" t="n">
        <v>0.018</v>
      </c>
      <c r="L23" s="19" t="n">
        <v>0.018</v>
      </c>
      <c r="M23" s="19" t="n">
        <v>0.018</v>
      </c>
      <c r="N23" s="19" t="n">
        <v>0.018</v>
      </c>
      <c r="O23" s="19" t="n">
        <v>0.018</v>
      </c>
    </row>
    <row r="24">
      <c r="A24" s="5" t="inlineStr">
        <is>
          <t>Employee cost (% revenue)</t>
        </is>
      </c>
      <c r="I24" s="19" t="n">
        <v>0.135</v>
      </c>
      <c r="J24" s="19" t="n">
        <v>0.128</v>
      </c>
      <c r="K24" s="19" t="n">
        <v>0.122</v>
      </c>
      <c r="L24" s="19" t="n">
        <v>0.116</v>
      </c>
      <c r="M24" s="19" t="n">
        <v>0.112</v>
      </c>
      <c r="N24" s="19" t="n">
        <v>0.108</v>
      </c>
      <c r="O24" s="19" t="n">
        <v>0.105</v>
      </c>
    </row>
    <row r="25">
      <c r="A25" s="5" t="inlineStr">
        <is>
          <t>Subcontracting &amp; erection (% revenue, in COGS)</t>
        </is>
      </c>
      <c r="I25" s="19" t="n">
        <v>0.08500000000000001</v>
      </c>
      <c r="J25" s="19" t="n">
        <v>0.08500000000000001</v>
      </c>
      <c r="K25" s="19" t="n">
        <v>0.08500000000000001</v>
      </c>
      <c r="L25" s="19" t="n">
        <v>0.08500000000000001</v>
      </c>
      <c r="M25" s="19" t="n">
        <v>0.08500000000000001</v>
      </c>
      <c r="N25" s="19" t="n">
        <v>0.08500000000000001</v>
      </c>
      <c r="O25" s="19" t="n">
        <v>0.08500000000000001</v>
      </c>
    </row>
    <row r="26">
      <c r="A26" s="5" t="inlineStr">
        <is>
          <t>Selling &amp; admin (% revenue)</t>
        </is>
      </c>
      <c r="I26" s="19" t="n">
        <v>0.075</v>
      </c>
      <c r="J26" s="19" t="n">
        <v>0.075</v>
      </c>
      <c r="K26" s="19" t="n">
        <v>0.075</v>
      </c>
      <c r="L26" s="19" t="n">
        <v>0.075</v>
      </c>
      <c r="M26" s="19" t="n">
        <v>0.075</v>
      </c>
      <c r="N26" s="19" t="n">
        <v>0.075</v>
      </c>
      <c r="O26" s="19" t="n">
        <v>0.075</v>
      </c>
    </row>
    <row r="27">
      <c r="A27" s="5" t="inlineStr">
        <is>
          <t xml:space="preserve">  COGS: Steel (% revenue)</t>
        </is>
      </c>
      <c r="I27" s="19" t="n">
        <v>0.12</v>
      </c>
      <c r="J27" s="19" t="n">
        <v>0.12</v>
      </c>
      <c r="K27" s="19" t="n">
        <v>0.12</v>
      </c>
      <c r="L27" s="19" t="n">
        <v>0.12</v>
      </c>
      <c r="M27" s="19" t="n">
        <v>0.12</v>
      </c>
      <c r="N27" s="19" t="n">
        <v>0.12</v>
      </c>
      <c r="O27" s="19" t="n">
        <v>0.12</v>
      </c>
    </row>
    <row r="28">
      <c r="A28" s="5" t="inlineStr">
        <is>
          <t xml:space="preserve">  COGS: Copper (% revenue)</t>
        </is>
      </c>
      <c r="I28" s="19" t="n">
        <v>0.05</v>
      </c>
      <c r="J28" s="19" t="n">
        <v>0.05</v>
      </c>
      <c r="K28" s="19" t="n">
        <v>0.05</v>
      </c>
      <c r="L28" s="19" t="n">
        <v>0.05</v>
      </c>
      <c r="M28" s="19" t="n">
        <v>0.05</v>
      </c>
      <c r="N28" s="19" t="n">
        <v>0.05</v>
      </c>
      <c r="O28" s="19" t="n">
        <v>0.05</v>
      </c>
    </row>
    <row r="29">
      <c r="A29" s="5" t="inlineStr">
        <is>
          <t xml:space="preserve">  COGS: Electrical &amp; electronic components (% rev)</t>
        </is>
      </c>
      <c r="I29" s="19" t="n">
        <v>0.1</v>
      </c>
      <c r="J29" s="19" t="n">
        <v>0.1</v>
      </c>
      <c r="K29" s="19" t="n">
        <v>0.1</v>
      </c>
      <c r="L29" s="19" t="n">
        <v>0.1</v>
      </c>
      <c r="M29" s="19" t="n">
        <v>0.1</v>
      </c>
      <c r="N29" s="19" t="n">
        <v>0.1</v>
      </c>
      <c r="O29" s="19" t="n">
        <v>0.1</v>
      </c>
    </row>
    <row r="30">
      <c r="A30" s="5" t="inlineStr">
        <is>
          <t xml:space="preserve">  COGS: Imported components (% revenue)</t>
        </is>
      </c>
      <c r="I30" s="19" t="n">
        <v>0.08</v>
      </c>
      <c r="J30" s="19" t="n">
        <v>0.08</v>
      </c>
      <c r="K30" s="19" t="n">
        <v>0.08</v>
      </c>
      <c r="L30" s="19" t="n">
        <v>0.08</v>
      </c>
      <c r="M30" s="19" t="n">
        <v>0.08</v>
      </c>
      <c r="N30" s="19" t="n">
        <v>0.08</v>
      </c>
      <c r="O30" s="19" t="n">
        <v>0.08</v>
      </c>
    </row>
    <row r="31">
      <c r="A31" s="5" t="inlineStr">
        <is>
          <t xml:space="preserve">  OpEx: Selling &amp; distribution (% revenue)</t>
        </is>
      </c>
      <c r="I31" s="19" t="n">
        <v>0.025</v>
      </c>
      <c r="J31" s="19" t="n">
        <v>0.025</v>
      </c>
      <c r="K31" s="19" t="n">
        <v>0.025</v>
      </c>
      <c r="L31" s="19" t="n">
        <v>0.025</v>
      </c>
      <c r="M31" s="19" t="n">
        <v>0.025</v>
      </c>
      <c r="N31" s="19" t="n">
        <v>0.025</v>
      </c>
      <c r="O31" s="19" t="n">
        <v>0.025</v>
      </c>
    </row>
    <row r="32">
      <c r="A32" s="5" t="inlineStr">
        <is>
          <t xml:space="preserve">  OpEx: Research &amp; development (% revenue)</t>
        </is>
      </c>
      <c r="I32" s="19" t="n">
        <v>0.025</v>
      </c>
      <c r="J32" s="19" t="n">
        <v>0.025</v>
      </c>
      <c r="K32" s="19" t="n">
        <v>0.025</v>
      </c>
      <c r="L32" s="19" t="n">
        <v>0.025</v>
      </c>
      <c r="M32" s="19" t="n">
        <v>0.025</v>
      </c>
      <c r="N32" s="19" t="n">
        <v>0.025</v>
      </c>
      <c r="O32" s="19" t="n">
        <v>0.025</v>
      </c>
    </row>
    <row r="33">
      <c r="A33" s="5" t="inlineStr">
        <is>
          <t>Revenue mix: Power segment %</t>
        </is>
      </c>
      <c r="I33" s="19" t="n">
        <v>0.75</v>
      </c>
      <c r="J33" s="19" t="n">
        <v>0.75</v>
      </c>
      <c r="K33" s="19" t="n">
        <v>0.75</v>
      </c>
      <c r="L33" s="19" t="n">
        <v>0.75</v>
      </c>
      <c r="M33" s="19" t="n">
        <v>0.75</v>
      </c>
      <c r="N33" s="19" t="n">
        <v>0.75</v>
      </c>
      <c r="O33" s="19" t="n">
        <v>0.75</v>
      </c>
    </row>
    <row r="34">
      <c r="A34" s="5" t="inlineStr">
        <is>
          <t>Revenue mix: Industry segment %</t>
        </is>
      </c>
      <c r="I34" s="19" t="n">
        <v>0.22</v>
      </c>
      <c r="J34" s="19" t="n">
        <v>0.22</v>
      </c>
      <c r="K34" s="19" t="n">
        <v>0.22</v>
      </c>
      <c r="L34" s="19" t="n">
        <v>0.22</v>
      </c>
      <c r="M34" s="19" t="n">
        <v>0.22</v>
      </c>
      <c r="N34" s="19" t="n">
        <v>0.22</v>
      </c>
      <c r="O34" s="19" t="n">
        <v>0.22</v>
      </c>
    </row>
    <row r="35">
      <c r="A35" s="5" t="inlineStr">
        <is>
          <t>Capital expenditure</t>
        </is>
      </c>
      <c r="I35" s="17" t="n">
        <v>600</v>
      </c>
      <c r="J35" s="17" t="n">
        <v>700</v>
      </c>
      <c r="K35" s="17" t="n">
        <v>750</v>
      </c>
      <c r="L35" s="17" t="n">
        <v>800</v>
      </c>
      <c r="M35" s="17" t="n">
        <v>850</v>
      </c>
      <c r="N35" s="17" t="n">
        <v>900</v>
      </c>
      <c r="O35" s="17" t="n">
        <v>950</v>
      </c>
    </row>
    <row r="36">
      <c r="A36" s="5" t="inlineStr">
        <is>
          <t>Depreciation rate (% opening net block)</t>
        </is>
      </c>
      <c r="I36" s="19" t="n">
        <v>0.095</v>
      </c>
      <c r="J36" s="19" t="n">
        <v>0.095</v>
      </c>
      <c r="K36" s="19" t="n">
        <v>0.095</v>
      </c>
      <c r="L36" s="19" t="n">
        <v>0.095</v>
      </c>
      <c r="M36" s="19" t="n">
        <v>0.095</v>
      </c>
      <c r="N36" s="19" t="n">
        <v>0.095</v>
      </c>
      <c r="O36" s="19" t="n">
        <v>0.095</v>
      </c>
    </row>
    <row r="37">
      <c r="A37" s="5" t="inlineStr">
        <is>
          <t>Trade receivable days</t>
        </is>
      </c>
      <c r="I37" s="20" t="n">
        <v>75</v>
      </c>
      <c r="J37" s="20" t="n">
        <v>75</v>
      </c>
      <c r="K37" s="20" t="n">
        <v>75</v>
      </c>
      <c r="L37" s="20" t="n">
        <v>75</v>
      </c>
      <c r="M37" s="20" t="n">
        <v>75</v>
      </c>
      <c r="N37" s="20" t="n">
        <v>75</v>
      </c>
      <c r="O37" s="20" t="n">
        <v>75</v>
      </c>
    </row>
    <row r="38">
      <c r="A38" s="5" t="inlineStr">
        <is>
          <t>Inventory days</t>
        </is>
      </c>
      <c r="I38" s="20" t="n">
        <v>210</v>
      </c>
      <c r="J38" s="20" t="n">
        <v>205</v>
      </c>
      <c r="K38" s="20" t="n">
        <v>200</v>
      </c>
      <c r="L38" s="20" t="n">
        <v>200</v>
      </c>
      <c r="M38" s="20" t="n">
        <v>195</v>
      </c>
      <c r="N38" s="20" t="n">
        <v>195</v>
      </c>
      <c r="O38" s="20" t="n">
        <v>190</v>
      </c>
    </row>
    <row r="39">
      <c r="A39" s="5" t="inlineStr">
        <is>
          <t>Trade payable days</t>
        </is>
      </c>
      <c r="I39" s="20" t="n">
        <v>175</v>
      </c>
      <c r="J39" s="20" t="n">
        <v>175</v>
      </c>
      <c r="K39" s="20" t="n">
        <v>175</v>
      </c>
      <c r="L39" s="20" t="n">
        <v>175</v>
      </c>
      <c r="M39" s="20" t="n">
        <v>175</v>
      </c>
      <c r="N39" s="20" t="n">
        <v>175</v>
      </c>
      <c r="O39" s="20" t="n">
        <v>175</v>
      </c>
    </row>
    <row r="40">
      <c r="A40" s="5" t="inlineStr">
        <is>
          <t>Contract assets (% revenue)</t>
        </is>
      </c>
      <c r="I40" s="19" t="n">
        <v>0.235</v>
      </c>
      <c r="J40" s="19" t="n">
        <v>0.235</v>
      </c>
      <c r="K40" s="19" t="n">
        <v>0.235</v>
      </c>
      <c r="L40" s="19" t="n">
        <v>0.235</v>
      </c>
      <c r="M40" s="19" t="n">
        <v>0.235</v>
      </c>
      <c r="N40" s="19" t="n">
        <v>0.235</v>
      </c>
      <c r="O40" s="19" t="n">
        <v>0.235</v>
      </c>
    </row>
    <row r="41">
      <c r="A41" s="5" t="inlineStr">
        <is>
          <t>Contract liabilities / advances (% revenue)</t>
        </is>
      </c>
      <c r="I41" s="19" t="n">
        <v>0.355</v>
      </c>
      <c r="J41" s="19" t="n">
        <v>0.355</v>
      </c>
      <c r="K41" s="19" t="n">
        <v>0.355</v>
      </c>
      <c r="L41" s="19" t="n">
        <v>0.355</v>
      </c>
      <c r="M41" s="19" t="n">
        <v>0.355</v>
      </c>
      <c r="N41" s="19" t="n">
        <v>0.355</v>
      </c>
      <c r="O41" s="19" t="n">
        <v>0.355</v>
      </c>
    </row>
    <row r="42">
      <c r="A42" s="5" t="inlineStr">
        <is>
          <t>Other current/non-curr assets growth %</t>
        </is>
      </c>
      <c r="I42" s="19" t="n">
        <v>0.03</v>
      </c>
      <c r="J42" s="19" t="n">
        <v>0.03</v>
      </c>
      <c r="K42" s="19" t="n">
        <v>0.03</v>
      </c>
      <c r="L42" s="19" t="n">
        <v>0.03</v>
      </c>
      <c r="M42" s="19" t="n">
        <v>0.03</v>
      </c>
      <c r="N42" s="19" t="n">
        <v>0.03</v>
      </c>
      <c r="O42" s="19" t="n">
        <v>0.03</v>
      </c>
    </row>
    <row r="43">
      <c r="A43" s="5" t="inlineStr">
        <is>
          <t>Provisions &amp; other liabilities growth %</t>
        </is>
      </c>
      <c r="I43" s="19" t="n">
        <v>0.03</v>
      </c>
      <c r="J43" s="19" t="n">
        <v>0.03</v>
      </c>
      <c r="K43" s="19" t="n">
        <v>0.03</v>
      </c>
      <c r="L43" s="19" t="n">
        <v>0.03</v>
      </c>
      <c r="M43" s="19" t="n">
        <v>0.03</v>
      </c>
      <c r="N43" s="19" t="n">
        <v>0.03</v>
      </c>
      <c r="O43" s="19" t="n">
        <v>0.03</v>
      </c>
    </row>
    <row r="44">
      <c r="A44" s="5" t="inlineStr">
        <is>
          <t>Capital work-in-progress (closing)</t>
        </is>
      </c>
      <c r="I44" s="17" t="n">
        <v>400</v>
      </c>
      <c r="J44" s="17" t="n">
        <v>400</v>
      </c>
      <c r="K44" s="17" t="n">
        <v>400</v>
      </c>
      <c r="L44" s="17" t="n">
        <v>400</v>
      </c>
      <c r="M44" s="17" t="n">
        <v>400</v>
      </c>
      <c r="N44" s="17" t="n">
        <v>400</v>
      </c>
      <c r="O44" s="17" t="n">
        <v>400</v>
      </c>
    </row>
    <row r="45">
      <c r="A45" s="5" t="inlineStr">
        <is>
          <t>Investments (closing)</t>
        </is>
      </c>
      <c r="I45" s="17" t="n">
        <v>310</v>
      </c>
      <c r="J45" s="17" t="n">
        <v>320</v>
      </c>
      <c r="K45" s="17" t="n">
        <v>330</v>
      </c>
      <c r="L45" s="17" t="n">
        <v>340</v>
      </c>
      <c r="M45" s="17" t="n">
        <v>350</v>
      </c>
      <c r="N45" s="17" t="n">
        <v>360</v>
      </c>
      <c r="O45" s="17" t="n">
        <v>370</v>
      </c>
    </row>
    <row r="46">
      <c r="A46" s="5" t="inlineStr">
        <is>
          <t>Effective tax rate</t>
        </is>
      </c>
      <c r="I46" s="19" t="n">
        <v>0.25</v>
      </c>
      <c r="J46" s="19" t="n">
        <v>0.25</v>
      </c>
      <c r="K46" s="19" t="n">
        <v>0.25</v>
      </c>
      <c r="L46" s="19" t="n">
        <v>0.25</v>
      </c>
      <c r="M46" s="19" t="n">
        <v>0.25</v>
      </c>
      <c r="N46" s="19" t="n">
        <v>0.25</v>
      </c>
      <c r="O46" s="19" t="n">
        <v>0.25</v>
      </c>
    </row>
    <row r="47">
      <c r="A47" s="5" t="inlineStr">
        <is>
          <t>Dividend payout (% PAT)</t>
        </is>
      </c>
      <c r="I47" s="19" t="n">
        <v>0.3</v>
      </c>
      <c r="J47" s="19" t="n">
        <v>0.3</v>
      </c>
      <c r="K47" s="19" t="n">
        <v>0.3</v>
      </c>
      <c r="L47" s="19" t="n">
        <v>0.3</v>
      </c>
      <c r="M47" s="19" t="n">
        <v>0.3</v>
      </c>
      <c r="N47" s="19" t="n">
        <v>0.3</v>
      </c>
      <c r="O47" s="19" t="n">
        <v>0.3</v>
      </c>
    </row>
    <row r="48">
      <c r="A48" s="5" t="inlineStr">
        <is>
          <t>New borrowings drawn</t>
        </is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0</v>
      </c>
    </row>
    <row r="49">
      <c r="A49" s="5" t="inlineStr">
        <is>
          <t>Debt repayment</t>
        </is>
      </c>
      <c r="I49" s="17" t="n">
        <v>1000</v>
      </c>
      <c r="J49" s="17" t="n">
        <v>1000</v>
      </c>
      <c r="K49" s="17" t="n">
        <v>1000</v>
      </c>
      <c r="L49" s="17" t="n">
        <v>1000</v>
      </c>
      <c r="M49" s="17" t="n">
        <v>1000</v>
      </c>
      <c r="N49" s="17" t="n">
        <v>1000</v>
      </c>
      <c r="O49" s="17" t="n">
        <v>1000</v>
      </c>
    </row>
    <row r="50">
      <c r="A50" s="5" t="inlineStr">
        <is>
          <t>Interest rate on opening debt</t>
        </is>
      </c>
      <c r="I50" s="19" t="n">
        <v>0.08500000000000001</v>
      </c>
      <c r="J50" s="19" t="n">
        <v>0.08500000000000001</v>
      </c>
      <c r="K50" s="19" t="n">
        <v>0.08500000000000001</v>
      </c>
      <c r="L50" s="19" t="n">
        <v>0.08500000000000001</v>
      </c>
      <c r="M50" s="19" t="n">
        <v>0.08500000000000001</v>
      </c>
      <c r="N50" s="19" t="n">
        <v>0.08500000000000001</v>
      </c>
      <c r="O50" s="19" t="n">
        <v>0.08500000000000001</v>
      </c>
    </row>
    <row r="51">
      <c r="A51" s="5" t="inlineStr">
        <is>
          <t>LT borrowings (% of total debt)</t>
        </is>
      </c>
      <c r="I51" s="19" t="n">
        <v>0.02</v>
      </c>
      <c r="J51" s="19" t="n">
        <v>0.02</v>
      </c>
      <c r="K51" s="19" t="n">
        <v>0.02</v>
      </c>
      <c r="L51" s="19" t="n">
        <v>0.02</v>
      </c>
      <c r="M51" s="19" t="n">
        <v>0.02</v>
      </c>
      <c r="N51" s="19" t="n">
        <v>0.02</v>
      </c>
      <c r="O51" s="19" t="n">
        <v>0.02</v>
      </c>
      <c r="P51" t="inlineStr">
        <is>
          <t>BHEL debt almost entirely short-term (FY26 LT only Rs168 cr ~2%).</t>
        </is>
      </c>
    </row>
    <row r="52">
      <c r="A52" s="5" t="inlineStr">
        <is>
          <t>Other non-current assets (closing)</t>
        </is>
      </c>
      <c r="I52" s="17" t="n">
        <v>15500</v>
      </c>
      <c r="J52" s="17" t="n">
        <v>16000</v>
      </c>
      <c r="K52" s="17" t="n">
        <v>16500</v>
      </c>
      <c r="L52" s="17" t="n">
        <v>17000</v>
      </c>
      <c r="M52" s="17" t="n">
        <v>17500</v>
      </c>
      <c r="N52" s="17" t="n">
        <v>18000</v>
      </c>
      <c r="O52" s="17" t="n">
        <v>18500</v>
      </c>
    </row>
    <row r="53">
      <c r="A53" s="5" t="inlineStr">
        <is>
          <t>Other non-current liabilities (closing)</t>
        </is>
      </c>
      <c r="I53" s="17" t="n">
        <v>6200</v>
      </c>
      <c r="J53" s="17" t="n">
        <v>6400</v>
      </c>
      <c r="K53" s="17" t="n">
        <v>6600</v>
      </c>
      <c r="L53" s="17" t="n">
        <v>6800</v>
      </c>
      <c r="M53" s="17" t="n">
        <v>7000</v>
      </c>
      <c r="N53" s="17" t="n">
        <v>7200</v>
      </c>
      <c r="O53" s="17" t="n">
        <v>7400</v>
      </c>
    </row>
    <row r="55">
      <c r="A55" s="6" t="inlineStr">
        <is>
          <t>WACC &amp; valuation inputs</t>
        </is>
      </c>
    </row>
    <row r="56">
      <c r="A56" s="5" t="inlineStr">
        <is>
          <t>Risk-free rate (10Y India G-Sec)</t>
        </is>
      </c>
      <c r="C56" s="19" t="n">
        <v>0.068</v>
      </c>
    </row>
    <row r="57">
      <c r="A57" s="5" t="inlineStr">
        <is>
          <t>Levered beta</t>
        </is>
      </c>
      <c r="C57" s="21" t="n">
        <v>1.25</v>
      </c>
    </row>
    <row r="58">
      <c r="A58" s="5" t="inlineStr">
        <is>
          <t>Equity risk premium</t>
        </is>
      </c>
      <c r="C58" s="19" t="n">
        <v>0.065</v>
      </c>
    </row>
    <row r="59">
      <c r="A59" s="5" t="inlineStr">
        <is>
          <t>Pre-tax cost of debt</t>
        </is>
      </c>
      <c r="C59" s="19" t="n">
        <v>0.08500000000000001</v>
      </c>
    </row>
    <row r="60">
      <c r="A60" s="5" t="inlineStr">
        <is>
          <t>Marginal tax rate (WACC)</t>
        </is>
      </c>
      <c r="C60" s="19" t="n">
        <v>0.25</v>
      </c>
    </row>
    <row r="61">
      <c r="A61" s="5" t="inlineStr">
        <is>
          <t>Target weight of debt</t>
        </is>
      </c>
      <c r="C61" s="19" t="n">
        <v>0.15</v>
      </c>
    </row>
    <row r="62">
      <c r="A62" s="5" t="inlineStr">
        <is>
          <t>Target weight of equity</t>
        </is>
      </c>
      <c r="C62" s="19" t="n">
        <v>0.85</v>
      </c>
    </row>
    <row r="63">
      <c r="A63" s="5" t="inlineStr">
        <is>
          <t>Terminal growth rate</t>
        </is>
      </c>
      <c r="C63" s="19" t="n">
        <v>0.045</v>
      </c>
    </row>
    <row r="64">
      <c r="A64" s="4" t="inlineStr">
        <is>
          <t>Cost of equity (Ke = Rf + B x ERP)</t>
        </is>
      </c>
      <c r="C64" s="22">
        <f>'Assumptions'!C56+'Assumptions'!C57*'Assumptions'!C58</f>
        <v/>
      </c>
    </row>
    <row r="65">
      <c r="A65" s="4" t="inlineStr">
        <is>
          <t>WACC (We*Ke + Wd*Kd*(1-t))</t>
        </is>
      </c>
      <c r="C65" s="18">
        <f>'Assumptions'!C62*'Assumptions'!C64+'Assumptions'!C61*'Assumptions'!C59*(1-'Assumptions'!C60)</f>
        <v/>
      </c>
    </row>
    <row r="66">
      <c r="A66" s="5" t="inlineStr">
        <is>
          <t>Shares outstanding (crore)</t>
        </is>
      </c>
      <c r="C66" s="23" t="n">
        <v>348.05</v>
      </c>
    </row>
    <row r="67">
      <c r="A67" s="5" t="inlineStr">
        <is>
          <t>Current market price (INR)</t>
        </is>
      </c>
      <c r="C67" s="21" t="n">
        <v>403</v>
      </c>
    </row>
    <row r="68">
      <c r="A68" s="5" t="inlineStr">
        <is>
          <t>Face value (INR)</t>
        </is>
      </c>
      <c r="C68" s="21" t="n">
        <v>2</v>
      </c>
    </row>
    <row r="70">
      <c r="A70" s="75" t="inlineStr">
        <is>
          <t>C.  WORKING-CAPITAL DETAIL  (current vs non-current; % of revenue unless noted)</t>
        </is>
      </c>
    </row>
    <row r="71">
      <c r="A71" s="76" t="inlineStr">
        <is>
          <t>driver</t>
        </is>
      </c>
      <c r="I71" s="76" t="n">
        <v>2027</v>
      </c>
      <c r="J71" s="76" t="n">
        <v>2028</v>
      </c>
      <c r="K71" s="76" t="n">
        <v>2029</v>
      </c>
      <c r="L71" s="76" t="n">
        <v>2030</v>
      </c>
      <c r="M71" s="76" t="n">
        <v>2031</v>
      </c>
      <c r="N71" s="76" t="n">
        <v>2032</v>
      </c>
      <c r="O71" s="76" t="n">
        <v>2033</v>
      </c>
      <c r="P71" s="76" t="inlineStr">
        <is>
          <t>Rationale</t>
        </is>
      </c>
    </row>
    <row r="72">
      <c r="A72" t="inlineStr">
        <is>
          <t>Trade receivables - current (% rev)</t>
        </is>
      </c>
      <c r="I72" s="42" t="n">
        <v>0.2</v>
      </c>
      <c r="J72" s="42" t="n">
        <v>0.2</v>
      </c>
      <c r="K72" s="42" t="n">
        <v>0.2</v>
      </c>
      <c r="L72" s="42" t="n">
        <v>0.2</v>
      </c>
      <c r="M72" s="42" t="n">
        <v>0.2</v>
      </c>
      <c r="N72" s="42" t="n">
        <v>0.2</v>
      </c>
      <c r="O72" s="42" t="n">
        <v>0.2</v>
      </c>
      <c r="P72" s="77" t="inlineStr">
        <is>
          <t>FY26 actual 20.1% of revenue (~73 days).</t>
        </is>
      </c>
    </row>
    <row r="73">
      <c r="A73" t="inlineStr">
        <is>
          <t>Trade receivables - non-current (% rev)</t>
        </is>
      </c>
      <c r="I73" s="42" t="n">
        <v>0.07199999999999999</v>
      </c>
      <c r="J73" s="42" t="n">
        <v>0.067</v>
      </c>
      <c r="K73" s="42" t="n">
        <v>0.062</v>
      </c>
      <c r="L73" s="42" t="n">
        <v>0.057</v>
      </c>
      <c r="M73" s="42" t="n">
        <v>0.052</v>
      </c>
      <c r="N73" s="42" t="n">
        <v>0.047</v>
      </c>
      <c r="O73" s="42" t="n">
        <v>0.042</v>
      </c>
      <c r="P73" s="77" t="inlineStr">
        <is>
          <t>Long-dated/disputed (incl. Sudan); FY26 7.2%, runs down.</t>
        </is>
      </c>
    </row>
    <row r="74">
      <c r="A74" t="inlineStr">
        <is>
          <t>Inventories (% rev)</t>
        </is>
      </c>
      <c r="I74" s="42" t="n">
        <v>0.395</v>
      </c>
      <c r="J74" s="42" t="n">
        <v>0.39</v>
      </c>
      <c r="K74" s="42" t="n">
        <v>0.385</v>
      </c>
      <c r="L74" s="42" t="n">
        <v>0.38</v>
      </c>
      <c r="M74" s="42" t="n">
        <v>0.375</v>
      </c>
      <c r="N74" s="42" t="n">
        <v>0.37</v>
      </c>
      <c r="O74" s="42" t="n">
        <v>0.365</v>
      </c>
      <c r="P74" s="77" t="inlineStr">
        <is>
          <t>FY26 39.5% of revenue; eases with execution.</t>
        </is>
      </c>
    </row>
    <row r="75">
      <c r="A75" t="inlineStr">
        <is>
          <t>Contract assets - current (% rev)</t>
        </is>
      </c>
      <c r="I75" s="42" t="n">
        <v>0.45</v>
      </c>
      <c r="J75" s="42" t="n">
        <v>0.44</v>
      </c>
      <c r="K75" s="42" t="n">
        <v>0.43</v>
      </c>
      <c r="L75" s="42" t="n">
        <v>0.42</v>
      </c>
      <c r="M75" s="42" t="n">
        <v>0.41</v>
      </c>
      <c r="N75" s="42" t="n">
        <v>0.4</v>
      </c>
      <c r="O75" s="42" t="n">
        <v>0.39</v>
      </c>
      <c r="P75" s="77" t="inlineStr">
        <is>
          <t>Unbilled billable &lt;12m; FY26 45.0%.</t>
        </is>
      </c>
    </row>
    <row r="76">
      <c r="A76" t="inlineStr">
        <is>
          <t>Contract assets - non-current (% rev)</t>
        </is>
      </c>
      <c r="I76" s="42" t="n">
        <v>0.4</v>
      </c>
      <c r="J76" s="42" t="n">
        <v>0.38</v>
      </c>
      <c r="K76" s="42" t="n">
        <v>0.36</v>
      </c>
      <c r="L76" s="42" t="n">
        <v>0.34</v>
      </c>
      <c r="M76" s="42" t="n">
        <v>0.32</v>
      </c>
      <c r="N76" s="42" t="n">
        <v>0.3</v>
      </c>
      <c r="O76" s="42" t="n">
        <v>0.28</v>
      </c>
      <c r="P76" s="77" t="inlineStr">
        <is>
          <t>Long-cycle unbilled; FY26 42.0%, declines.</t>
        </is>
      </c>
    </row>
    <row r="77">
      <c r="A77" t="inlineStr">
        <is>
          <t>(Deferred tax assets held flat at FY26)</t>
        </is>
      </c>
      <c r="I77" s="78" t="n">
        <v>3533</v>
      </c>
      <c r="P77" s="77" t="inlineStr">
        <is>
          <t>Held flat at FY26 audited level (Rs 3,533 cr).</t>
        </is>
      </c>
    </row>
    <row r="78">
      <c r="A78" t="inlineStr">
        <is>
          <t>Other current assets residual (% rev)</t>
        </is>
      </c>
      <c r="I78" s="42" t="n">
        <v>0.126</v>
      </c>
      <c r="J78" s="42" t="n">
        <v>0.124</v>
      </c>
      <c r="K78" s="42" t="n">
        <v>0.122</v>
      </c>
      <c r="L78" s="42" t="n">
        <v>0.12</v>
      </c>
      <c r="M78" s="42" t="n">
        <v>0.118</v>
      </c>
      <c r="N78" s="42" t="n">
        <v>0.116</v>
      </c>
      <c r="O78" s="42" t="n">
        <v>0.114</v>
      </c>
      <c r="P78" s="77" t="inlineStr">
        <is>
          <t>Deposits, current tax &amp; advances ex-contract; FY26 12.6%.</t>
        </is>
      </c>
    </row>
    <row r="79">
      <c r="A79" t="inlineStr">
        <is>
          <t>Other non-current assets residual growth %</t>
        </is>
      </c>
      <c r="I79" s="42" t="n">
        <v>0.03</v>
      </c>
      <c r="J79" s="42" t="n">
        <v>0.03</v>
      </c>
      <c r="K79" s="42" t="n">
        <v>0.03</v>
      </c>
      <c r="L79" s="42" t="n">
        <v>0.03</v>
      </c>
      <c r="M79" s="42" t="n">
        <v>0.03</v>
      </c>
      <c r="N79" s="42" t="n">
        <v>0.03</v>
      </c>
      <c r="O79" s="42" t="n">
        <v>0.03</v>
      </c>
      <c r="P79" s="77" t="inlineStr">
        <is>
          <t>LT deposits &amp; loans; slow growth.</t>
        </is>
      </c>
    </row>
    <row r="80">
      <c r="A80" t="inlineStr">
        <is>
          <t>Trade payables - current (% rev)</t>
        </is>
      </c>
      <c r="I80" s="42" t="n">
        <v>0.311</v>
      </c>
      <c r="J80" s="42" t="n">
        <v>0.311</v>
      </c>
      <c r="K80" s="42" t="n">
        <v>0.305</v>
      </c>
      <c r="L80" s="42" t="n">
        <v>0.305</v>
      </c>
      <c r="M80" s="42" t="n">
        <v>0.3</v>
      </c>
      <c r="N80" s="42" t="n">
        <v>0.3</v>
      </c>
      <c r="O80" s="42" t="n">
        <v>0.295</v>
      </c>
      <c r="P80" s="77" t="inlineStr">
        <is>
          <t>FY26 31.1% of revenue (~167 days COGS).</t>
        </is>
      </c>
    </row>
    <row r="81">
      <c r="A81" t="inlineStr">
        <is>
          <t>(Trade payables non-current held flat)</t>
        </is>
      </c>
      <c r="I81" s="78" t="n">
        <v>1343</v>
      </c>
      <c r="P81" s="77" t="inlineStr">
        <is>
          <t>Held flat at FY26 (Rs 1,343 cr).</t>
        </is>
      </c>
    </row>
    <row r="82">
      <c r="A82" t="inlineStr">
        <is>
          <t>Contract liabilities - current (% rev)</t>
        </is>
      </c>
      <c r="I82" s="42" t="n">
        <v>0.27</v>
      </c>
      <c r="J82" s="42" t="n">
        <v>0.27</v>
      </c>
      <c r="K82" s="42" t="n">
        <v>0.26</v>
      </c>
      <c r="L82" s="42" t="n">
        <v>0.26</v>
      </c>
      <c r="M82" s="42" t="n">
        <v>0.25</v>
      </c>
      <c r="N82" s="42" t="n">
        <v>0.25</v>
      </c>
      <c r="O82" s="42" t="n">
        <v>0.24</v>
      </c>
      <c r="P82" s="77" t="inlineStr">
        <is>
          <t>Customer advances &lt;12m; FY26 27.0%.</t>
        </is>
      </c>
    </row>
    <row r="83">
      <c r="A83" t="inlineStr">
        <is>
          <t>Contract liabilities - non-current (% rev)</t>
        </is>
      </c>
      <c r="I83" s="42" t="n">
        <v>0.38</v>
      </c>
      <c r="J83" s="42" t="n">
        <v>0.36</v>
      </c>
      <c r="K83" s="42" t="n">
        <v>0.34</v>
      </c>
      <c r="L83" s="42" t="n">
        <v>0.32</v>
      </c>
      <c r="M83" s="42" t="n">
        <v>0.3</v>
      </c>
      <c r="N83" s="42" t="n">
        <v>0.28</v>
      </c>
      <c r="O83" s="42" t="n">
        <v>0.26</v>
      </c>
      <c r="P83" s="77" t="inlineStr">
        <is>
          <t>LT customer advances (interest-free WC); FY26 39.7%.</t>
        </is>
      </c>
    </row>
    <row r="84">
      <c r="A84" t="inlineStr">
        <is>
          <t>Provisions - current (% rev)</t>
        </is>
      </c>
      <c r="I84" s="42" t="n">
        <v>0.057</v>
      </c>
      <c r="J84" s="42" t="n">
        <v>0.057</v>
      </c>
      <c r="K84" s="42" t="n">
        <v>0.056</v>
      </c>
      <c r="L84" s="42" t="n">
        <v>0.056</v>
      </c>
      <c r="M84" s="42" t="n">
        <v>0.055</v>
      </c>
      <c r="N84" s="42" t="n">
        <v>0.055</v>
      </c>
      <c r="O84" s="42" t="n">
        <v>0.054</v>
      </c>
      <c r="P84" s="77" t="inlineStr">
        <is>
          <t>Warranty/LD/employee; FY26 5.7%.</t>
        </is>
      </c>
    </row>
    <row r="85">
      <c r="A85" t="inlineStr">
        <is>
          <t>Long-term provisions growth %</t>
        </is>
      </c>
      <c r="I85" s="42" t="n">
        <v>0.03</v>
      </c>
      <c r="J85" s="42" t="n">
        <v>0.03</v>
      </c>
      <c r="K85" s="42" t="n">
        <v>0.03</v>
      </c>
      <c r="L85" s="42" t="n">
        <v>0.03</v>
      </c>
      <c r="M85" s="42" t="n">
        <v>0.03</v>
      </c>
      <c r="N85" s="42" t="n">
        <v>0.03</v>
      </c>
      <c r="O85" s="42" t="n">
        <v>0.03</v>
      </c>
      <c r="P85" s="77" t="inlineStr">
        <is>
          <t>Warranty &amp; employee-benefit provisions.</t>
        </is>
      </c>
    </row>
    <row r="86">
      <c r="A86" t="inlineStr">
        <is>
          <t>Other current liabilities residual (% rev)</t>
        </is>
      </c>
      <c r="I86" s="42" t="n">
        <v>0.082</v>
      </c>
      <c r="J86" s="42" t="n">
        <v>0.082</v>
      </c>
      <c r="K86" s="42" t="n">
        <v>0.08</v>
      </c>
      <c r="L86" s="42" t="n">
        <v>0.08</v>
      </c>
      <c r="M86" s="42" t="n">
        <v>0.078</v>
      </c>
      <c r="N86" s="42" t="n">
        <v>0.078</v>
      </c>
      <c r="O86" s="42" t="n">
        <v>0.076</v>
      </c>
      <c r="P86" s="77" t="inlineStr">
        <is>
          <t>Statutory/employee dues, deposits ex-contract &amp; provisions; FY26 8.2%.</t>
        </is>
      </c>
    </row>
    <row r="87">
      <c r="A87" t="inlineStr">
        <is>
          <t>Other non-current liabilities residual growth %</t>
        </is>
      </c>
      <c r="I87" s="42" t="n">
        <v>0.04</v>
      </c>
      <c r="J87" s="42" t="n">
        <v>0.04</v>
      </c>
      <c r="K87" s="42" t="n">
        <v>0.04</v>
      </c>
      <c r="L87" s="42" t="n">
        <v>0.04</v>
      </c>
      <c r="M87" s="42" t="n">
        <v>0.04</v>
      </c>
      <c r="N87" s="42" t="n">
        <v>0.04</v>
      </c>
      <c r="O87" s="42" t="n">
        <v>0.04</v>
      </c>
      <c r="P87" s="77" t="inlineStr">
        <is>
          <t>LT deposits &amp; deferred grants.</t>
        </is>
      </c>
    </row>
  </sheetData>
  <dataValidations count="1">
    <dataValidation sqref="D2" showDropDown="0" showInputMessage="0" showErrorMessage="0" allowBlank="0" type="list">
      <formula1>"Base,Best,Bear"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18" customWidth="1" min="3" max="3"/>
  </cols>
  <sheetData>
    <row r="1">
      <c r="A1" s="11" t="inlineStr">
        <is>
          <t>ASSUMPTIONS RATIONALE  -  basis for every forecast driver</t>
        </is>
      </c>
      <c r="B1" s="1" t="n"/>
      <c r="C1" s="1" t="n"/>
    </row>
    <row r="2">
      <c r="A2" s="13" t="inlineStr">
        <is>
          <t>Each driver documents: why reasonable | historical support | management guidance | macro / industry driver | sensitivity.</t>
        </is>
      </c>
    </row>
    <row r="3">
      <c r="A3" s="24" t="inlineStr">
        <is>
          <t>Driver</t>
        </is>
      </c>
      <c r="B3" s="24" t="inlineStr">
        <is>
          <t>Base case</t>
        </is>
      </c>
      <c r="C3" s="24" t="inlineStr">
        <is>
          <t>Rationale (historical support | management guidance | macro/industry driver | sensitivity)</t>
        </is>
      </c>
    </row>
    <row r="4">
      <c r="A4" s="25" t="inlineStr">
        <is>
          <t>REVENUE &amp; ORDER BOOK</t>
        </is>
      </c>
      <c r="B4" s="26" t="n"/>
      <c r="C4" s="26" t="n"/>
    </row>
    <row r="5" ht="46" customHeight="1">
      <c r="A5" s="27" t="inlineStr">
        <is>
          <t>Execution rate</t>
        </is>
      </c>
      <c r="B5" s="28" t="inlineStr">
        <is>
          <t>16.5%-&gt;19.5%</t>
        </is>
      </c>
      <c r="C5" s="29" t="inlineStr">
        <is>
          <t>Revenue recognised as a % of opening order book. Historically BHEL executed ~15-17% of opening OB p.a.; order book is ~7x revenue. Ramp reflects rising capacity utilisation (~65%-&gt;80%) and faster thermal execution as supply chains normalise. Sensitivity: +/-1pp ~ +/-Rs2,400-4,000 cr revenue.</t>
        </is>
      </c>
    </row>
    <row r="6" ht="46" customHeight="1">
      <c r="A6" s="27" t="inlineStr">
        <is>
          <t>Order inflow</t>
        </is>
      </c>
      <c r="B6" s="28" t="inlineStr">
        <is>
          <t>Rs78k-&gt;96k cr</t>
        </is>
      </c>
      <c r="C6" s="29" t="inlineStr">
        <is>
          <t>FY25 record inflow Rs92,535 cr; FY26 ~Rs75,000 cr. Driven by ~80 GW thermal pipeline (NTPC/NLC/state gencos) to FY32, plus T&amp;D, railways and defence diversification. Set conservatively below the FY25 peak; macro driver = power capex super-cycle.</t>
        </is>
      </c>
    </row>
    <row r="7" ht="46" customHeight="1">
      <c r="A7" s="27" t="inlineStr">
        <is>
          <t>Revenue mix - Power</t>
        </is>
      </c>
      <c r="B7" s="28" t="inlineStr">
        <is>
          <t>75%</t>
        </is>
      </c>
      <c r="C7" s="29" t="inlineStr">
        <is>
          <t>BHEL core; power was ~75-80% of revenue historically (FY26 power Rs25,407 cr). Thermal ordering remains dominant near-term.</t>
        </is>
      </c>
    </row>
    <row r="8" ht="46" customHeight="1">
      <c r="A8" s="27" t="inlineStr">
        <is>
          <t>Revenue mix - Industry</t>
        </is>
      </c>
      <c r="B8" s="28" t="inlineStr">
        <is>
          <t>22%</t>
        </is>
      </c>
      <c r="C8" s="29" t="inlineStr">
        <is>
          <t>Rising diversification (industrial systems, transportation, defence). Industry segment grew strongly in FY25-26; balance ~3% is exports/renewables.</t>
        </is>
      </c>
    </row>
    <row r="9">
      <c r="A9" s="25" t="inlineStr">
        <is>
          <t>COSTS</t>
        </is>
      </c>
      <c r="B9" s="26" t="n"/>
      <c r="C9" s="26" t="n"/>
    </row>
    <row r="10" ht="46" customHeight="1">
      <c r="A10" s="27" t="inlineStr">
        <is>
          <t>EBITDA margin</t>
        </is>
      </c>
      <c r="B10" s="28" t="inlineStr">
        <is>
          <t>7.5%-&gt;12.0%</t>
        </is>
      </c>
      <c r="C10" s="29" t="inlineStr">
        <is>
          <t>Historical FY24 3.0%, FY25 4.9%, FY26 6.9%. Expansion from operating leverage over a largely fixed employee/overhead base, better project mix and roll-off of legacy low-margin orders. Management targets low-teens; peer capital-goods margins 10-18%. Sensitivity: 1pp ~ Rs400-800 cr EBITDA.</t>
        </is>
      </c>
    </row>
    <row r="11" ht="46" customHeight="1">
      <c r="A11" s="27" t="inlineStr">
        <is>
          <t>Steel (% rev)</t>
        </is>
      </c>
      <c r="B11" s="28" t="inlineStr">
        <is>
          <t>12%</t>
        </is>
      </c>
      <c r="C11" s="29" t="inlineStr">
        <is>
          <t>Boilers, turbines and structurals are steel-intensive. Key commodity exposure; +10% steel price ~ +1.2pp COGS. Reflects BHEL bill-of-materials.</t>
        </is>
      </c>
    </row>
    <row r="12" ht="46" customHeight="1">
      <c r="A12" s="27" t="inlineStr">
        <is>
          <t>Copper (% rev)</t>
        </is>
      </c>
      <c r="B12" s="28" t="inlineStr">
        <is>
          <t>5%</t>
        </is>
      </c>
      <c r="C12" s="29" t="inlineStr">
        <is>
          <t>Generators, transformers and windings are copper-intensive. Exposed to LME copper prices.</t>
        </is>
      </c>
    </row>
    <row r="13" ht="46" customHeight="1">
      <c r="A13" s="27" t="inlineStr">
        <is>
          <t>Electrical &amp; electronic components</t>
        </is>
      </c>
      <c r="B13" s="28" t="inlineStr">
        <is>
          <t>10%</t>
        </is>
      </c>
      <c r="C13" s="29" t="inlineStr">
        <is>
          <t>Control systems, switchgear, instrumentation and electronics content in power equipment.</t>
        </is>
      </c>
    </row>
    <row r="14" ht="46" customHeight="1">
      <c r="A14" s="27" t="inlineStr">
        <is>
          <t>Imported components</t>
        </is>
      </c>
      <c r="B14" s="28" t="inlineStr">
        <is>
          <t>8%</t>
        </is>
      </c>
      <c r="C14" s="29" t="inlineStr">
        <is>
          <t>High-tech sub-assemblies imported; FX and import-duty sensitive. Localisation drive aims to reduce this over time.</t>
        </is>
      </c>
    </row>
    <row r="15" ht="46" customHeight="1">
      <c r="A15" s="27" t="inlineStr">
        <is>
          <t>Other materials &amp; consumables</t>
        </is>
      </c>
      <c r="B15" s="28" t="inlineStr">
        <is>
          <t>residual</t>
        </is>
      </c>
      <c r="C15" s="29" t="inlineStr">
        <is>
          <t>Balancing item so that materials + subcontracting + opex reconcile to the target EBITDA margin (avoids double-counting).</t>
        </is>
      </c>
    </row>
    <row r="16" ht="46" customHeight="1">
      <c r="A16" s="27" t="inlineStr">
        <is>
          <t>Subcontracting &amp; erection</t>
        </is>
      </c>
      <c r="B16" s="28" t="inlineStr">
        <is>
          <t>8.5%</t>
        </is>
      </c>
      <c r="C16" s="29" t="inlineStr">
        <is>
          <t>Civil works and site erection largely outsourced; scales with project execution. Historical ~8-9%.</t>
        </is>
      </c>
    </row>
    <row r="17" ht="46" customHeight="1">
      <c r="A17" s="27" t="inlineStr">
        <is>
          <t>Employee cost (% rev)</t>
        </is>
      </c>
      <c r="B17" s="28" t="inlineStr">
        <is>
          <t>13.5%-&gt;10.5%</t>
        </is>
      </c>
      <c r="C17" s="29" t="inlineStr">
        <is>
          <t>BHEL employee cost is structurally high (~Rs5,300-6,000 cr, broadly flat in absolute terms). Falls as a % as revenue scales (operating leverage); workforce declining ~33,500-&gt;25,500 via attrition.</t>
        </is>
      </c>
    </row>
    <row r="18" ht="46" customHeight="1">
      <c r="A18" s="27" t="inlineStr">
        <is>
          <t>Selling &amp; distribution</t>
        </is>
      </c>
      <c r="B18" s="28" t="inlineStr">
        <is>
          <t>2.5%</t>
        </is>
      </c>
      <c r="C18" s="29" t="inlineStr">
        <is>
          <t>Bid/marketing, logistics, liquidated-damages and warranty-related selling costs; consistent with historical SG&amp;A composition.</t>
        </is>
      </c>
    </row>
    <row r="19" ht="46" customHeight="1">
      <c r="A19" s="27" t="inlineStr">
        <is>
          <t>Administrative (% rev)</t>
        </is>
      </c>
      <c r="B19" s="28" t="inlineStr">
        <is>
          <t>~2.5% (residual)</t>
        </is>
      </c>
      <c r="C19" s="29" t="inlineStr">
        <is>
          <t>Corporate overheads; residual within total selling/admin so opex reconciles.</t>
        </is>
      </c>
    </row>
    <row r="20" ht="46" customHeight="1">
      <c r="A20" s="27" t="inlineStr">
        <is>
          <t>Research &amp; development</t>
        </is>
      </c>
      <c r="B20" s="28" t="inlineStr">
        <is>
          <t>2.5%</t>
        </is>
      </c>
      <c r="C20" s="29" t="inlineStr">
        <is>
          <t>BHEL discloses R&amp;D at ~2.5% of turnover; strategic for supercritical/USC, hydrogen/electrolysers, defence and localisation.</t>
        </is>
      </c>
    </row>
    <row r="21" ht="46" customHeight="1">
      <c r="A21" s="27" t="inlineStr">
        <is>
          <t>Depreciation rate</t>
        </is>
      </c>
      <c r="B21" s="28" t="inlineStr">
        <is>
          <t>9.5% of opening net block</t>
        </is>
      </c>
      <c r="C21" s="29" t="inlineStr">
        <is>
          <t>Consistent with historical D&amp;A / net block (~9-10%); plant &amp; machinery weighted asset base.</t>
        </is>
      </c>
    </row>
    <row r="22" ht="46" customHeight="1">
      <c r="A22" s="27" t="inlineStr">
        <is>
          <t>Capex</t>
        </is>
      </c>
      <c r="B22" s="28" t="inlineStr">
        <is>
          <t>Rs600-950 cr</t>
        </is>
      </c>
      <c r="C22" s="29" t="inlineStr">
        <is>
          <t>Modernisation plus new capacity for renewables, defence and electrolysers. Historical capex Rs300-900 cr; internally funded.</t>
        </is>
      </c>
    </row>
    <row r="23">
      <c r="A23" s="25" t="inlineStr">
        <is>
          <t>WORKING CAPITAL</t>
        </is>
      </c>
      <c r="B23" s="26" t="n"/>
      <c r="C23" s="26" t="n"/>
    </row>
    <row r="24" ht="46" customHeight="1">
      <c r="A24" s="27" t="inlineStr">
        <is>
          <t>Receivable days</t>
        </is>
      </c>
      <c r="B24" s="28" t="inlineStr">
        <is>
          <t>75</t>
        </is>
      </c>
      <c r="C24" s="29" t="inlineStr">
        <is>
          <t>Historical 49-121; recent ~73-76. Large PSU/SEB customers but collections improving. Anchored to recent levels.</t>
        </is>
      </c>
    </row>
    <row r="25" ht="46" customHeight="1">
      <c r="A25" s="27" t="inlineStr">
        <is>
          <t>Inventory days</t>
        </is>
      </c>
      <c r="B25" s="28" t="inlineStr">
        <is>
          <t>210-&gt;190</t>
        </is>
      </c>
      <c r="C25" s="29" t="inlineStr">
        <is>
          <t>Historical 212-333; long manufacturing/project cycle. Gradual improvement assumed from better execution and planning.</t>
        </is>
      </c>
    </row>
    <row r="26" ht="46" customHeight="1">
      <c r="A26" s="27" t="inlineStr">
        <is>
          <t>Payable days</t>
        </is>
      </c>
      <c r="B26" s="28" t="inlineStr">
        <is>
          <t>175</t>
        </is>
      </c>
      <c r="C26" s="29" t="inlineStr">
        <is>
          <t>Historical 167-345; normalised to ~175 supplier credit.</t>
        </is>
      </c>
    </row>
    <row r="27" ht="46" customHeight="1">
      <c r="A27" s="27" t="inlineStr">
        <is>
          <t>Contract assets (% rev)</t>
        </is>
      </c>
      <c r="B27" s="28" t="inlineStr">
        <is>
          <t>23.5%</t>
        </is>
      </c>
      <c r="C27" s="29" t="inlineStr">
        <is>
          <t>Unbilled revenue on long-cycle EPC projects under percentage-of-completion accounting.</t>
        </is>
      </c>
    </row>
    <row r="28" ht="46" customHeight="1">
      <c r="A28" s="27" t="inlineStr">
        <is>
          <t>Contract liabilities / advances</t>
        </is>
      </c>
      <c r="B28" s="28" t="inlineStr">
        <is>
          <t>35.5%</t>
        </is>
      </c>
      <c r="C28" s="29" t="inlineStr">
        <is>
          <t>BHEL receives large customer advances on orders - a key working-capital funding source; scales with order activity.</t>
        </is>
      </c>
    </row>
    <row r="29" ht="46" customHeight="1">
      <c r="A29" s="27" t="inlineStr">
        <is>
          <t>Other non-current assets</t>
        </is>
      </c>
      <c r="B29" s="28" t="inlineStr">
        <is>
          <t>Rs15.5k-&gt;18.5k cr</t>
        </is>
      </c>
      <c r="C29" s="29" t="inlineStr">
        <is>
          <t>Deferred tax assets (large, from past losses), long-term/legacy trade receivables and retention, long-term loans &amp; deposits. Held roughly flat / slow growth. Breakup ~40% DTA / 35% LT receivables / 25% loans &amp; deposits.</t>
        </is>
      </c>
    </row>
    <row r="30" ht="46" customHeight="1">
      <c r="A30" s="27" t="inlineStr">
        <is>
          <t>Other non-current liabilities</t>
        </is>
      </c>
      <c r="B30" s="28" t="inlineStr">
        <is>
          <t>Rs6.2k-&gt;7.4k cr</t>
        </is>
      </c>
      <c r="C30" s="29" t="inlineStr">
        <is>
          <t>Lease liabilities, long-term provisions (warranty &amp; employee benefits) and deferred tax liabilities. Breakup ~30% leases / 50% provisions / 20% DTL &amp; other.</t>
        </is>
      </c>
    </row>
    <row r="31" ht="46" customHeight="1">
      <c r="A31" s="27" t="inlineStr">
        <is>
          <t>Other current/NC growth</t>
        </is>
      </c>
      <c r="B31" s="28" t="inlineStr">
        <is>
          <t>3% p.a.</t>
        </is>
      </c>
      <c r="C31" s="29" t="inlineStr">
        <is>
          <t>Structural balance-sheet items grow slowly, not 1:1 with revenue, to avoid overstating working-capital drag.</t>
        </is>
      </c>
    </row>
    <row r="32" ht="46" customHeight="1">
      <c r="A32" s="27" t="inlineStr">
        <is>
          <t>CWIP / Investments</t>
        </is>
      </c>
      <c r="B32" s="28" t="inlineStr">
        <is>
          <t>Rs400 cr / Rs310-370 cr</t>
        </is>
      </c>
      <c r="C32" s="29" t="inlineStr">
        <is>
          <t>CWIP steady-state low (capex flows quickly to assets); investments = JV/associate stakes, modest growth.</t>
        </is>
      </c>
    </row>
    <row r="33">
      <c r="A33" s="25" t="inlineStr">
        <is>
          <t>CAPITAL STRUCTURE &amp; TAX</t>
        </is>
      </c>
      <c r="B33" s="26" t="n"/>
      <c r="C33" s="26" t="n"/>
    </row>
    <row r="34" ht="46" customHeight="1">
      <c r="A34" s="27" t="inlineStr">
        <is>
          <t>LT vs ST borrowings</t>
        </is>
      </c>
      <c r="B34" s="28" t="inlineStr">
        <is>
          <t>35% LT / 65% ST</t>
        </is>
      </c>
      <c r="C34" s="29" t="inlineStr">
        <is>
          <t>BHEL borrowings are largely short-term working-capital lines; ~35% assumed long-term/leases. Editable split.</t>
        </is>
      </c>
    </row>
    <row r="35" ht="46" customHeight="1">
      <c r="A35" s="27" t="inlineStr">
        <is>
          <t>New borrowings / repayment</t>
        </is>
      </c>
      <c r="B35" s="28" t="inlineStr">
        <is>
          <t>0 / Rs1,000 cr p.a.</t>
        </is>
      </c>
      <c r="C35" s="29" t="inlineStr">
        <is>
          <t>Strong forecast FCF and large cash allow steady deleveraging; gross debt declines over the horizon.</t>
        </is>
      </c>
    </row>
    <row r="36" ht="46" customHeight="1">
      <c r="A36" s="27" t="inlineStr">
        <is>
          <t>Interest rate</t>
        </is>
      </c>
      <c r="B36" s="28" t="inlineStr">
        <is>
          <t>8.5%</t>
        </is>
      </c>
      <c r="C36" s="29" t="inlineStr">
        <is>
          <t>Blended cost on borrowings; consistent with historical finance cost / average debt and the current rate environment.</t>
        </is>
      </c>
    </row>
    <row r="37" ht="46" customHeight="1">
      <c r="A37" s="27" t="inlineStr">
        <is>
          <t>Tax rate</t>
        </is>
      </c>
      <c r="B37" s="28" t="inlineStr">
        <is>
          <t>25%</t>
        </is>
      </c>
      <c r="C37" s="29" t="inlineStr">
        <is>
          <t>BHEL on the new corporate-tax regime (~25.17%); normalised to 25%.</t>
        </is>
      </c>
    </row>
    <row r="38" ht="46" customHeight="1">
      <c r="A38" s="27" t="inlineStr">
        <is>
          <t>Dividend payout</t>
        </is>
      </c>
      <c r="B38" s="28" t="inlineStr">
        <is>
          <t>30%</t>
        </is>
      </c>
      <c r="C38" s="29" t="inlineStr">
        <is>
          <t>CPSE/DIPAM policy (~30% of PAT or 5% of net worth); historical payout 30-33%.</t>
        </is>
      </c>
    </row>
    <row r="39">
      <c r="A39" s="25" t="inlineStr">
        <is>
          <t>VALUATION (DCF)</t>
        </is>
      </c>
      <c r="B39" s="26" t="n"/>
      <c r="C39" s="26" t="n"/>
    </row>
    <row r="40" ht="46" customHeight="1">
      <c r="A40" s="27" t="inlineStr">
        <is>
          <t>Risk-free rate</t>
        </is>
      </c>
      <c r="B40" s="28" t="inlineStr">
        <is>
          <t>6.8%</t>
        </is>
      </c>
      <c r="C40" s="29" t="inlineStr">
        <is>
          <t>~India 10-year G-Sec yield.</t>
        </is>
      </c>
    </row>
    <row r="41" ht="46" customHeight="1">
      <c r="A41" s="27" t="inlineStr">
        <is>
          <t>Beta</t>
        </is>
      </c>
      <c r="B41" s="28" t="inlineStr">
        <is>
          <t>1.25</t>
        </is>
      </c>
      <c r="C41" s="29" t="inlineStr">
        <is>
          <t>BHEL is a high-beta cyclical capital-goods PSU; levered beta &gt; 1.</t>
        </is>
      </c>
    </row>
    <row r="42" ht="46" customHeight="1">
      <c r="A42" s="27" t="inlineStr">
        <is>
          <t>Equity risk premium</t>
        </is>
      </c>
      <c r="B42" s="28" t="inlineStr">
        <is>
          <t>6.5%</t>
        </is>
      </c>
      <c r="C42" s="29" t="inlineStr">
        <is>
          <t>India ERP ~6-7%.</t>
        </is>
      </c>
    </row>
    <row r="43" ht="46" customHeight="1">
      <c r="A43" s="27" t="inlineStr">
        <is>
          <t>Cost of debt / weights</t>
        </is>
      </c>
      <c r="B43" s="28" t="inlineStr">
        <is>
          <t>8.5% / 15% D, 85% E</t>
        </is>
      </c>
      <c r="C43" s="29" t="inlineStr">
        <is>
          <t>Low leverage; target structure mostly equity. After-tax Kd used in WACC.</t>
        </is>
      </c>
    </row>
    <row r="44" ht="46" customHeight="1">
      <c r="A44" s="27" t="inlineStr">
        <is>
          <t>Terminal growth</t>
        </is>
      </c>
      <c r="B44" s="28" t="inlineStr">
        <is>
          <t>4.5%</t>
        </is>
      </c>
      <c r="C44" s="29" t="inlineStr">
        <is>
          <t>Below long-run nominal GDP (~10-11%); conservative perpetuity for a mature franchise (~inflation + modest real growth).</t>
        </is>
      </c>
    </row>
    <row r="45" ht="46" customHeight="1">
      <c r="A45" s="27" t="inlineStr">
        <is>
          <t>WACC (derived)</t>
        </is>
      </c>
      <c r="B45" s="28" t="inlineStr">
        <is>
          <t>~13.6%</t>
        </is>
      </c>
      <c r="C45" s="29" t="inlineStr">
        <is>
          <t>We*Ke + Wd*Kd*(1-t); high due to elevated equity beta. Tested on the Sensitivity sheet vs terminal growth.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11" t="inlineStr">
        <is>
          <t>HISTORICAL FINANCIAL STATEMENTS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3">
      <c r="A3" s="11" t="inlineStr">
        <is>
          <t>A.  INCOME STATEMENT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4" t="inlineStr">
        <is>
          <t>Particulars</t>
        </is>
      </c>
      <c r="B4" s="15" t="inlineStr">
        <is>
          <t>FY2020</t>
        </is>
      </c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</t>
        </is>
      </c>
      <c r="I4" s="15" t="inlineStr">
        <is>
          <t>FY2027</t>
        </is>
      </c>
      <c r="J4" s="15" t="inlineStr">
        <is>
          <t>FY2028</t>
        </is>
      </c>
      <c r="K4" s="15" t="inlineStr">
        <is>
          <t>FY2029</t>
        </is>
      </c>
      <c r="L4" s="15" t="inlineStr">
        <is>
          <t>FY2030</t>
        </is>
      </c>
      <c r="M4" s="15" t="inlineStr">
        <is>
          <t>FY2031</t>
        </is>
      </c>
      <c r="N4" s="15" t="inlineStr">
        <is>
          <t>FY2032</t>
        </is>
      </c>
      <c r="O4" s="15" t="inlineStr">
        <is>
          <t>FY2033</t>
        </is>
      </c>
    </row>
    <row r="5">
      <c r="A5" s="4" t="inlineStr">
        <is>
          <t>Sales</t>
        </is>
      </c>
      <c r="B5" s="30" t="n">
        <v>21463</v>
      </c>
      <c r="C5" s="30" t="n">
        <v>17309</v>
      </c>
      <c r="D5" s="30" t="n">
        <v>21211</v>
      </c>
      <c r="E5" s="30" t="n">
        <v>23365</v>
      </c>
      <c r="F5" s="30" t="n">
        <v>23893</v>
      </c>
      <c r="G5" s="30" t="n">
        <v>28339</v>
      </c>
      <c r="H5" s="30" t="n">
        <v>33782</v>
      </c>
    </row>
    <row r="6">
      <c r="A6" s="5" t="inlineStr">
        <is>
          <t>Total COGS</t>
        </is>
      </c>
      <c r="B6" s="30" t="n">
        <v>14496</v>
      </c>
      <c r="C6" s="30" t="n">
        <v>13657</v>
      </c>
      <c r="D6" s="30" t="n">
        <v>13783</v>
      </c>
      <c r="E6" s="30" t="n">
        <v>15721</v>
      </c>
      <c r="F6" s="30" t="n">
        <v>16682</v>
      </c>
      <c r="G6" s="30" t="n">
        <v>20040</v>
      </c>
      <c r="H6" s="30" t="n">
        <v>24040</v>
      </c>
    </row>
    <row r="7">
      <c r="A7" s="4" t="inlineStr">
        <is>
          <t>Gross Profit</t>
        </is>
      </c>
      <c r="B7" s="31">
        <f>B5-B6</f>
        <v/>
      </c>
      <c r="C7" s="31">
        <f>C5-C6</f>
        <v/>
      </c>
      <c r="D7" s="31">
        <f>D5-D6</f>
        <v/>
      </c>
      <c r="E7" s="31">
        <f>E5-E6</f>
        <v/>
      </c>
      <c r="F7" s="31">
        <f>F5-F6</f>
        <v/>
      </c>
      <c r="G7" s="31">
        <f>G5-G6</f>
        <v/>
      </c>
      <c r="H7" s="31">
        <f>H5-H6</f>
        <v/>
      </c>
    </row>
    <row r="8">
      <c r="A8" s="5" t="inlineStr">
        <is>
          <t>Operating Expenses</t>
        </is>
      </c>
    </row>
    <row r="9">
      <c r="A9" s="5" t="inlineStr">
        <is>
          <t xml:space="preserve">   Employee Cost</t>
        </is>
      </c>
      <c r="B9" s="30" t="n">
        <v>6000</v>
      </c>
      <c r="C9" s="30" t="n">
        <v>5800</v>
      </c>
      <c r="D9" s="30" t="n">
        <v>5500</v>
      </c>
      <c r="E9" s="30" t="n">
        <v>5400</v>
      </c>
      <c r="F9" s="30" t="n">
        <v>5300</v>
      </c>
      <c r="G9" s="30" t="n">
        <v>5500</v>
      </c>
      <c r="H9" s="30" t="n">
        <v>5700</v>
      </c>
    </row>
    <row r="10">
      <c r="A10" s="5" t="inlineStr">
        <is>
          <t xml:space="preserve">   Selling and admin</t>
        </is>
      </c>
      <c r="B10" s="30" t="n">
        <v>1100</v>
      </c>
      <c r="C10" s="30" t="n">
        <v>900</v>
      </c>
      <c r="D10" s="30" t="n">
        <v>1100</v>
      </c>
      <c r="E10" s="30" t="n">
        <v>1200</v>
      </c>
      <c r="F10" s="30" t="n">
        <v>1200</v>
      </c>
      <c r="G10" s="30" t="n">
        <v>1400</v>
      </c>
      <c r="H10" s="30" t="n">
        <v>1700</v>
      </c>
    </row>
    <row r="11">
      <c r="A11" s="4" t="inlineStr">
        <is>
          <t>Total Operating Expenses</t>
        </is>
      </c>
      <c r="B11" s="31">
        <f>B9+B10</f>
        <v/>
      </c>
      <c r="C11" s="31">
        <f>C9+C10</f>
        <v/>
      </c>
      <c r="D11" s="31">
        <f>D9+D10</f>
        <v/>
      </c>
      <c r="E11" s="31">
        <f>E9+E10</f>
        <v/>
      </c>
      <c r="F11" s="31">
        <f>F9+F10</f>
        <v/>
      </c>
      <c r="G11" s="31">
        <f>G9+G10</f>
        <v/>
      </c>
      <c r="H11" s="31">
        <f>H9+H10</f>
        <v/>
      </c>
    </row>
    <row r="12">
      <c r="A12" s="4" t="inlineStr">
        <is>
          <t>EBITDA</t>
        </is>
      </c>
      <c r="B12" s="32">
        <f>B7-B11</f>
        <v/>
      </c>
      <c r="C12" s="32">
        <f>C7-C11</f>
        <v/>
      </c>
      <c r="D12" s="32">
        <f>D7-D11</f>
        <v/>
      </c>
      <c r="E12" s="32">
        <f>E7-E11</f>
        <v/>
      </c>
      <c r="F12" s="32">
        <f>F7-F11</f>
        <v/>
      </c>
      <c r="G12" s="32">
        <f>G7-G11</f>
        <v/>
      </c>
      <c r="H12" s="32">
        <f>H7-H11</f>
        <v/>
      </c>
    </row>
    <row r="13">
      <c r="A13" s="5" t="inlineStr">
        <is>
          <t>Depreciation &amp; Amortization</t>
        </is>
      </c>
      <c r="B13" s="30" t="n">
        <v>503</v>
      </c>
      <c r="C13" s="30" t="n">
        <v>473</v>
      </c>
      <c r="D13" s="30" t="n">
        <v>314</v>
      </c>
      <c r="E13" s="30" t="n">
        <v>260</v>
      </c>
      <c r="F13" s="30" t="n">
        <v>249</v>
      </c>
      <c r="G13" s="30" t="n">
        <v>272</v>
      </c>
      <c r="H13" s="30" t="n">
        <v>316</v>
      </c>
    </row>
    <row r="14">
      <c r="A14" s="4" t="inlineStr">
        <is>
          <t>EBIT</t>
        </is>
      </c>
      <c r="B14" s="33">
        <f>B12-B13</f>
        <v/>
      </c>
      <c r="C14" s="33">
        <f>C12-C13</f>
        <v/>
      </c>
      <c r="D14" s="33">
        <f>D12-D13</f>
        <v/>
      </c>
      <c r="E14" s="33">
        <f>E12-E13</f>
        <v/>
      </c>
      <c r="F14" s="33">
        <f>F12-F13</f>
        <v/>
      </c>
      <c r="G14" s="33">
        <f>G12-G13</f>
        <v/>
      </c>
      <c r="H14" s="33">
        <f>H12-H13</f>
        <v/>
      </c>
    </row>
    <row r="15">
      <c r="A15" s="5" t="inlineStr">
        <is>
          <t>Other Income</t>
        </is>
      </c>
      <c r="B15" s="30" t="n">
        <v>590</v>
      </c>
      <c r="C15" s="30" t="n">
        <v>393</v>
      </c>
      <c r="D15" s="30" t="n">
        <v>405</v>
      </c>
      <c r="E15" s="30" t="n">
        <v>544</v>
      </c>
      <c r="F15" s="30" t="n">
        <v>608</v>
      </c>
      <c r="G15" s="30" t="n">
        <v>524</v>
      </c>
      <c r="H15" s="30" t="n">
        <v>869</v>
      </c>
    </row>
    <row r="16">
      <c r="A16" s="5" t="inlineStr">
        <is>
          <t>Interest Paid</t>
        </is>
      </c>
      <c r="B16" s="30" t="n">
        <v>613</v>
      </c>
      <c r="C16" s="30" t="n">
        <v>467</v>
      </c>
      <c r="D16" s="30" t="n">
        <v>448</v>
      </c>
      <c r="E16" s="30" t="n">
        <v>612</v>
      </c>
      <c r="F16" s="30" t="n">
        <v>828</v>
      </c>
      <c r="G16" s="30" t="n">
        <v>906</v>
      </c>
      <c r="H16" s="30" t="n">
        <v>756</v>
      </c>
    </row>
    <row r="17">
      <c r="A17" s="4" t="inlineStr">
        <is>
          <t>Profit Before Tax (PBT)</t>
        </is>
      </c>
      <c r="B17" s="31">
        <f>B14+B15-B16</f>
        <v/>
      </c>
      <c r="C17" s="31">
        <f>C14+C15-C16</f>
        <v/>
      </c>
      <c r="D17" s="31">
        <f>D14+D15-D16</f>
        <v/>
      </c>
      <c r="E17" s="31">
        <f>E14+E15-E16</f>
        <v/>
      </c>
      <c r="F17" s="31">
        <f>F14+F15-F16</f>
        <v/>
      </c>
      <c r="G17" s="31">
        <f>G14+G15-G16</f>
        <v/>
      </c>
      <c r="H17" s="31">
        <f>H14+H15-H16</f>
        <v/>
      </c>
    </row>
    <row r="18">
      <c r="A18" s="5" t="inlineStr">
        <is>
          <t>Tax</t>
        </is>
      </c>
      <c r="B18" s="30" t="n">
        <v>809</v>
      </c>
      <c r="C18" s="30" t="n">
        <v>-896</v>
      </c>
      <c r="D18" s="30" t="n">
        <v>25</v>
      </c>
      <c r="E18" s="30" t="n">
        <v>62</v>
      </c>
      <c r="F18" s="30" t="n">
        <v>-39</v>
      </c>
      <c r="G18" s="30" t="n">
        <v>212</v>
      </c>
      <c r="H18" s="30" t="n">
        <v>539</v>
      </c>
    </row>
    <row r="19">
      <c r="A19" s="5" t="inlineStr">
        <is>
          <t>Adjustments</t>
        </is>
      </c>
      <c r="B19" s="30" t="n">
        <v>0</v>
      </c>
      <c r="C19" s="30" t="n">
        <v>0</v>
      </c>
      <c r="D19" s="30" t="n">
        <v>0</v>
      </c>
      <c r="E19" s="30" t="n">
        <v>0</v>
      </c>
      <c r="F19" s="30" t="n">
        <v>0</v>
      </c>
      <c r="G19" s="30" t="n">
        <v>0</v>
      </c>
      <c r="H19" s="30" t="n">
        <v>0</v>
      </c>
    </row>
    <row r="20">
      <c r="A20" s="4" t="inlineStr">
        <is>
          <t>Profit After Tax (PAT)</t>
        </is>
      </c>
      <c r="B20" s="34">
        <f>B17-B18+B19</f>
        <v/>
      </c>
      <c r="C20" s="34">
        <f>C17-C18+C19</f>
        <v/>
      </c>
      <c r="D20" s="34">
        <f>D17-D18+D19</f>
        <v/>
      </c>
      <c r="E20" s="34">
        <f>E17-E18+E19</f>
        <v/>
      </c>
      <c r="F20" s="34">
        <f>F17-F18+F19</f>
        <v/>
      </c>
      <c r="G20" s="34">
        <f>G17-G18+G19</f>
        <v/>
      </c>
      <c r="H20" s="34">
        <f>H17-H18+H19</f>
        <v/>
      </c>
    </row>
    <row r="21">
      <c r="A21" s="5" t="inlineStr">
        <is>
          <t>EPS (INR)</t>
        </is>
      </c>
      <c r="B21" s="35">
        <f>B20/'Assumptions'!C66</f>
        <v/>
      </c>
      <c r="C21" s="35">
        <f>C20/'Assumptions'!C66</f>
        <v/>
      </c>
      <c r="D21" s="35">
        <f>D20/'Assumptions'!C66</f>
        <v/>
      </c>
      <c r="E21" s="35">
        <f>E20/'Assumptions'!C66</f>
        <v/>
      </c>
      <c r="F21" s="35">
        <f>F20/'Assumptions'!C66</f>
        <v/>
      </c>
      <c r="G21" s="35">
        <f>G20/'Assumptions'!C66</f>
        <v/>
      </c>
      <c r="H21" s="35">
        <f>H20/'Assumptions'!C66</f>
        <v/>
      </c>
    </row>
    <row r="22">
      <c r="A22" s="5" t="inlineStr">
        <is>
          <t>Dividend</t>
        </is>
      </c>
      <c r="B22" s="30" t="n">
        <v>0</v>
      </c>
      <c r="C22" s="30" t="n">
        <v>0</v>
      </c>
      <c r="D22" s="30" t="n">
        <v>138</v>
      </c>
      <c r="E22" s="30" t="n">
        <v>137</v>
      </c>
      <c r="F22" s="30" t="n">
        <v>87</v>
      </c>
      <c r="G22" s="30" t="n">
        <v>176</v>
      </c>
      <c r="H22" s="30" t="n">
        <v>487</v>
      </c>
    </row>
    <row r="23">
      <c r="A23" s="7" t="inlineStr">
        <is>
          <t>Memo: total operating cost (COGS+OpEx)</t>
        </is>
      </c>
      <c r="B23" s="33">
        <f>B6+B11</f>
        <v/>
      </c>
      <c r="C23" s="33">
        <f>C6+C11</f>
        <v/>
      </c>
      <c r="D23" s="33">
        <f>D6+D11</f>
        <v/>
      </c>
      <c r="E23" s="33">
        <f>E6+E11</f>
        <v/>
      </c>
      <c r="F23" s="33">
        <f>F6+F11</f>
        <v/>
      </c>
      <c r="G23" s="33">
        <f>G6+G11</f>
        <v/>
      </c>
      <c r="H23" s="33">
        <f>H6+H11</f>
        <v/>
      </c>
    </row>
    <row r="24">
      <c r="A24" s="13" t="inlineStr">
        <is>
          <t>COGS, Employee &amp; Selling/admin split are analyst estimates anchored to reported total opex; Sales, EBITDA, D&amp;A, interest, tax, PAT are reported.</t>
        </is>
      </c>
    </row>
    <row r="26">
      <c r="A26" s="11" t="inlineStr">
        <is>
          <t>B.  BALANCE SHEET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14" t="inlineStr">
        <is>
          <t>Particulars</t>
        </is>
      </c>
      <c r="B27" s="15" t="inlineStr">
        <is>
          <t>FY2020</t>
        </is>
      </c>
      <c r="C27" s="15" t="inlineStr">
        <is>
          <t>FY2021</t>
        </is>
      </c>
      <c r="D27" s="15" t="inlineStr">
        <is>
          <t>FY2022</t>
        </is>
      </c>
      <c r="E27" s="15" t="inlineStr">
        <is>
          <t>FY2023</t>
        </is>
      </c>
      <c r="F27" s="15" t="inlineStr">
        <is>
          <t>FY2024</t>
        </is>
      </c>
      <c r="G27" s="15" t="inlineStr">
        <is>
          <t>FY2025</t>
        </is>
      </c>
      <c r="H27" s="15" t="inlineStr">
        <is>
          <t>FY2026</t>
        </is>
      </c>
      <c r="I27" s="15" t="inlineStr">
        <is>
          <t>FY2027</t>
        </is>
      </c>
      <c r="J27" s="15" t="inlineStr">
        <is>
          <t>FY2028</t>
        </is>
      </c>
      <c r="K27" s="15" t="inlineStr">
        <is>
          <t>FY2029</t>
        </is>
      </c>
      <c r="L27" s="15" t="inlineStr">
        <is>
          <t>FY2030</t>
        </is>
      </c>
      <c r="M27" s="15" t="inlineStr">
        <is>
          <t>FY2031</t>
        </is>
      </c>
      <c r="N27" s="15" t="inlineStr">
        <is>
          <t>FY2032</t>
        </is>
      </c>
      <c r="O27" s="15" t="inlineStr">
        <is>
          <t>FY2033</t>
        </is>
      </c>
    </row>
    <row r="28">
      <c r="A28" s="5" t="inlineStr">
        <is>
          <t>Net property, plant &amp; equipment</t>
        </is>
      </c>
      <c r="B28" s="30" t="n">
        <v>2817</v>
      </c>
      <c r="C28" s="30" t="n">
        <v>2491</v>
      </c>
      <c r="D28" s="30" t="n">
        <v>2398</v>
      </c>
      <c r="E28" s="30" t="n">
        <v>2476</v>
      </c>
      <c r="F28" s="30" t="n">
        <v>2574</v>
      </c>
      <c r="G28" s="30" t="n">
        <v>2947</v>
      </c>
      <c r="H28" s="30" t="n">
        <v>3094</v>
      </c>
    </row>
    <row r="29">
      <c r="A29" s="5" t="inlineStr">
        <is>
          <t>Capital work-in-progress</t>
        </is>
      </c>
      <c r="B29" s="30" t="n">
        <v>314</v>
      </c>
      <c r="C29" s="30" t="n">
        <v>420</v>
      </c>
      <c r="D29" s="30" t="n">
        <v>431</v>
      </c>
      <c r="E29" s="30" t="n">
        <v>354</v>
      </c>
      <c r="F29" s="30" t="n">
        <v>308</v>
      </c>
      <c r="G29" s="30" t="n">
        <v>195</v>
      </c>
      <c r="H29" s="30" t="n">
        <v>399</v>
      </c>
    </row>
    <row r="30">
      <c r="A30" s="5" t="inlineStr">
        <is>
          <t>Investments</t>
        </is>
      </c>
      <c r="B30" s="30" t="n">
        <v>162</v>
      </c>
      <c r="C30" s="30" t="n">
        <v>185</v>
      </c>
      <c r="D30" s="30" t="n">
        <v>205</v>
      </c>
      <c r="E30" s="30" t="n">
        <v>235</v>
      </c>
      <c r="F30" s="30" t="n">
        <v>256</v>
      </c>
      <c r="G30" s="30" t="n">
        <v>276</v>
      </c>
      <c r="H30" s="30" t="n">
        <v>302</v>
      </c>
    </row>
    <row r="31">
      <c r="A31" s="5" t="inlineStr">
        <is>
          <t>Other assets (inventory, receivables, cash, contract &amp; other)</t>
        </is>
      </c>
      <c r="B31" s="30" t="n">
        <v>56998</v>
      </c>
      <c r="C31" s="30" t="n">
        <v>52864</v>
      </c>
      <c r="D31" s="30" t="n">
        <v>53956</v>
      </c>
      <c r="E31" s="30" t="n">
        <v>54599</v>
      </c>
      <c r="F31" s="30" t="n">
        <v>56646</v>
      </c>
      <c r="G31" s="30" t="n">
        <v>65431</v>
      </c>
      <c r="H31" s="30" t="n">
        <v>72390</v>
      </c>
    </row>
    <row r="32">
      <c r="A32" s="4" t="inlineStr">
        <is>
          <t>TOTAL ASSETS</t>
        </is>
      </c>
      <c r="B32" s="34">
        <f>SUM(B28:B31)</f>
        <v/>
      </c>
      <c r="C32" s="34">
        <f>SUM(C28:C31)</f>
        <v/>
      </c>
      <c r="D32" s="34">
        <f>SUM(D28:D31)</f>
        <v/>
      </c>
      <c r="E32" s="34">
        <f>SUM(E28:E31)</f>
        <v/>
      </c>
      <c r="F32" s="34">
        <f>SUM(F28:F31)</f>
        <v/>
      </c>
      <c r="G32" s="34">
        <f>SUM(G28:G31)</f>
        <v/>
      </c>
      <c r="H32" s="34">
        <f>SUM(H28:H31)</f>
        <v/>
      </c>
    </row>
    <row r="33">
      <c r="A33" s="5" t="inlineStr">
        <is>
          <t>Equity share capital</t>
        </is>
      </c>
      <c r="B33" s="30" t="n">
        <v>696</v>
      </c>
      <c r="C33" s="30" t="n">
        <v>696</v>
      </c>
      <c r="D33" s="30" t="n">
        <v>696</v>
      </c>
      <c r="E33" s="30" t="n">
        <v>696</v>
      </c>
      <c r="F33" s="30" t="n">
        <v>696</v>
      </c>
      <c r="G33" s="30" t="n">
        <v>696</v>
      </c>
      <c r="H33" s="30" t="n">
        <v>696</v>
      </c>
    </row>
    <row r="34">
      <c r="A34" s="5" t="inlineStr">
        <is>
          <t>Other equity (reserves &amp; surplus)</t>
        </is>
      </c>
      <c r="B34" s="30" t="n">
        <v>27964</v>
      </c>
      <c r="C34" s="30" t="n">
        <v>25287</v>
      </c>
      <c r="D34" s="30" t="n">
        <v>25810</v>
      </c>
      <c r="E34" s="30" t="n">
        <v>23682</v>
      </c>
      <c r="F34" s="30" t="n">
        <v>23742</v>
      </c>
      <c r="G34" s="30" t="n">
        <v>24026</v>
      </c>
      <c r="H34" s="30" t="n">
        <v>25450</v>
      </c>
    </row>
    <row r="35">
      <c r="A35" s="5" t="inlineStr">
        <is>
          <t>Borrowings (incl. lease liabilities)</t>
        </is>
      </c>
      <c r="B35" s="30" t="n">
        <v>5080</v>
      </c>
      <c r="C35" s="30" t="n">
        <v>4951</v>
      </c>
      <c r="D35" s="30" t="n">
        <v>4830</v>
      </c>
      <c r="E35" s="30" t="n">
        <v>5454</v>
      </c>
      <c r="F35" s="30" t="n">
        <v>8856</v>
      </c>
      <c r="G35" s="30" t="n">
        <v>9015</v>
      </c>
      <c r="H35" s="30" t="n">
        <v>8187</v>
      </c>
    </row>
    <row r="36">
      <c r="A36" s="5" t="inlineStr">
        <is>
          <t>Other liabilities (payables, advances, provisions)</t>
        </is>
      </c>
      <c r="B36" s="30" t="n">
        <v>26550</v>
      </c>
      <c r="C36" s="30" t="n">
        <v>25025</v>
      </c>
      <c r="D36" s="30" t="n">
        <v>25654</v>
      </c>
      <c r="E36" s="30" t="n">
        <v>27832</v>
      </c>
      <c r="F36" s="30" t="n">
        <v>26489</v>
      </c>
      <c r="G36" s="30" t="n">
        <v>35112</v>
      </c>
      <c r="H36" s="30" t="n">
        <v>41852</v>
      </c>
    </row>
    <row r="37">
      <c r="A37" s="4" t="inlineStr">
        <is>
          <t>TOTAL EQUITY &amp; LIABILITIES</t>
        </is>
      </c>
      <c r="B37" s="34">
        <f>SUM(B33:B36)</f>
        <v/>
      </c>
      <c r="C37" s="34">
        <f>SUM(C33:C36)</f>
        <v/>
      </c>
      <c r="D37" s="34">
        <f>SUM(D33:D36)</f>
        <v/>
      </c>
      <c r="E37" s="34">
        <f>SUM(E33:E36)</f>
        <v/>
      </c>
      <c r="F37" s="34">
        <f>SUM(F33:F36)</f>
        <v/>
      </c>
      <c r="G37" s="34">
        <f>SUM(G33:G36)</f>
        <v/>
      </c>
      <c r="H37" s="34">
        <f>SUM(H33:H36)</f>
        <v/>
      </c>
    </row>
    <row r="38">
      <c r="A38" s="5" t="inlineStr">
        <is>
          <t>Balance check (TA - TE&amp;L)</t>
        </is>
      </c>
      <c r="B38" s="33">
        <f>B32-B37</f>
        <v/>
      </c>
      <c r="C38" s="33">
        <f>C32-C37</f>
        <v/>
      </c>
      <c r="D38" s="33">
        <f>D32-D37</f>
        <v/>
      </c>
      <c r="E38" s="33">
        <f>E32-E37</f>
        <v/>
      </c>
      <c r="F38" s="33">
        <f>F32-F37</f>
        <v/>
      </c>
      <c r="G38" s="33">
        <f>G32-G37</f>
        <v/>
      </c>
      <c r="H38" s="33">
        <f>H32-H37</f>
        <v/>
      </c>
    </row>
    <row r="40">
      <c r="A40" s="11" t="inlineStr">
        <is>
          <t>C.  CASH FLOW STATEMENT (reported summary)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A41" s="14" t="inlineStr">
        <is>
          <t>Particulars</t>
        </is>
      </c>
      <c r="B41" s="15" t="inlineStr">
        <is>
          <t>FY2020</t>
        </is>
      </c>
      <c r="C41" s="15" t="inlineStr">
        <is>
          <t>FY2021</t>
        </is>
      </c>
      <c r="D41" s="15" t="inlineStr">
        <is>
          <t>FY2022</t>
        </is>
      </c>
      <c r="E41" s="15" t="inlineStr">
        <is>
          <t>FY2023</t>
        </is>
      </c>
      <c r="F41" s="15" t="inlineStr">
        <is>
          <t>FY2024</t>
        </is>
      </c>
      <c r="G41" s="15" t="inlineStr">
        <is>
          <t>FY2025</t>
        </is>
      </c>
      <c r="H41" s="15" t="inlineStr">
        <is>
          <t>FY2026</t>
        </is>
      </c>
      <c r="I41" s="15" t="inlineStr">
        <is>
          <t>FY2027</t>
        </is>
      </c>
      <c r="J41" s="15" t="inlineStr">
        <is>
          <t>FY2028</t>
        </is>
      </c>
      <c r="K41" s="15" t="inlineStr">
        <is>
          <t>FY2029</t>
        </is>
      </c>
      <c r="L41" s="15" t="inlineStr">
        <is>
          <t>FY2030</t>
        </is>
      </c>
      <c r="M41" s="15" t="inlineStr">
        <is>
          <t>FY2031</t>
        </is>
      </c>
      <c r="N41" s="15" t="inlineStr">
        <is>
          <t>FY2032</t>
        </is>
      </c>
      <c r="O41" s="15" t="inlineStr">
        <is>
          <t>FY2033</t>
        </is>
      </c>
    </row>
    <row r="42">
      <c r="A42" s="5" t="inlineStr">
        <is>
          <t>Cash flow from operating activities</t>
        </is>
      </c>
      <c r="B42" s="30" t="n">
        <v>-2892</v>
      </c>
      <c r="C42" s="30" t="n">
        <v>560</v>
      </c>
      <c r="D42" s="30" t="n">
        <v>660</v>
      </c>
      <c r="E42" s="30" t="n">
        <v>-741</v>
      </c>
      <c r="F42" s="30" t="n">
        <v>-3713</v>
      </c>
      <c r="G42" s="30" t="n">
        <v>2192</v>
      </c>
      <c r="H42" s="30" t="n">
        <v>5837</v>
      </c>
    </row>
    <row r="43">
      <c r="A43" s="5" t="inlineStr">
        <is>
          <t>Cash flow from investing activities</t>
        </is>
      </c>
      <c r="B43" s="30" t="n">
        <v>1877</v>
      </c>
      <c r="C43" s="30" t="n">
        <v>-42</v>
      </c>
      <c r="D43" s="30" t="n">
        <v>-1118</v>
      </c>
      <c r="E43" s="30" t="n">
        <v>1480</v>
      </c>
      <c r="F43" s="30" t="n">
        <v>1331</v>
      </c>
      <c r="G43" s="30" t="n">
        <v>-2731</v>
      </c>
      <c r="H43" s="30" t="n">
        <v>-3035</v>
      </c>
    </row>
    <row r="44">
      <c r="A44" s="5" t="inlineStr">
        <is>
          <t>Cash flow from financing activities</t>
        </is>
      </c>
      <c r="B44" s="30" t="n">
        <v>1622</v>
      </c>
      <c r="C44" s="30" t="n">
        <v>-394</v>
      </c>
      <c r="D44" s="30" t="n">
        <v>-329</v>
      </c>
      <c r="E44" s="30" t="n">
        <v>89</v>
      </c>
      <c r="F44" s="30" t="n">
        <v>2656</v>
      </c>
      <c r="G44" s="30" t="n">
        <v>-857</v>
      </c>
      <c r="H44" s="30" t="n">
        <v>-1806</v>
      </c>
    </row>
    <row r="45">
      <c r="A45" s="4" t="inlineStr">
        <is>
          <t>Net increase/(decrease) in cash</t>
        </is>
      </c>
      <c r="B45" s="34">
        <f>SUM(B42:B44)</f>
        <v/>
      </c>
      <c r="C45" s="34">
        <f>SUM(C42:C44)</f>
        <v/>
      </c>
      <c r="D45" s="34">
        <f>SUM(D42:D44)</f>
        <v/>
      </c>
      <c r="E45" s="34">
        <f>SUM(E42:E44)</f>
        <v/>
      </c>
      <c r="F45" s="34">
        <f>SUM(F42:F44)</f>
        <v/>
      </c>
      <c r="G45" s="34">
        <f>SUM(G42:G44)</f>
        <v/>
      </c>
      <c r="H45" s="34">
        <f>SUM(H42:H44)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11" t="inlineStr">
        <is>
          <t>HISTORICAL RATIO ANALYSIS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3">
      <c r="A3" s="14" t="inlineStr">
        <is>
          <t>INR Crore</t>
        </is>
      </c>
      <c r="B3" s="15" t="inlineStr">
        <is>
          <t>FY2020</t>
        </is>
      </c>
      <c r="C3" s="15" t="inlineStr">
        <is>
          <t>FY2021</t>
        </is>
      </c>
      <c r="D3" s="15" t="inlineStr">
        <is>
          <t>FY2022</t>
        </is>
      </c>
      <c r="E3" s="15" t="inlineStr">
        <is>
          <t>FY2023</t>
        </is>
      </c>
      <c r="F3" s="15" t="inlineStr">
        <is>
          <t>FY2024</t>
        </is>
      </c>
      <c r="G3" s="15" t="inlineStr">
        <is>
          <t>FY2025</t>
        </is>
      </c>
      <c r="H3" s="15" t="inlineStr">
        <is>
          <t>FY2026</t>
        </is>
      </c>
      <c r="I3" s="15" t="inlineStr">
        <is>
          <t>FY2027</t>
        </is>
      </c>
      <c r="J3" s="15" t="inlineStr">
        <is>
          <t>FY2028</t>
        </is>
      </c>
      <c r="K3" s="15" t="inlineStr">
        <is>
          <t>FY2029</t>
        </is>
      </c>
      <c r="L3" s="15" t="inlineStr">
        <is>
          <t>FY2030</t>
        </is>
      </c>
      <c r="M3" s="15" t="inlineStr">
        <is>
          <t>FY2031</t>
        </is>
      </c>
      <c r="N3" s="15" t="inlineStr">
        <is>
          <t>FY2032</t>
        </is>
      </c>
      <c r="O3" s="15" t="inlineStr">
        <is>
          <t>FY2033</t>
        </is>
      </c>
    </row>
    <row r="4">
      <c r="A4" s="11" t="inlineStr">
        <is>
          <t>Growth &amp; profitability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5" t="inlineStr">
        <is>
          <t>Revenue growth %</t>
        </is>
      </c>
      <c r="C5" s="36">
        <f>'Historical Financial Statements'!C5/'Historical Financial Statements'!B5-1</f>
        <v/>
      </c>
      <c r="D5" s="36">
        <f>'Historical Financial Statements'!D5/'Historical Financial Statements'!C5-1</f>
        <v/>
      </c>
      <c r="E5" s="36">
        <f>'Historical Financial Statements'!E5/'Historical Financial Statements'!D5-1</f>
        <v/>
      </c>
      <c r="F5" s="36">
        <f>'Historical Financial Statements'!F5/'Historical Financial Statements'!E5-1</f>
        <v/>
      </c>
      <c r="G5" s="36">
        <f>'Historical Financial Statements'!G5/'Historical Financial Statements'!F5-1</f>
        <v/>
      </c>
      <c r="H5" s="36">
        <f>'Historical Financial Statements'!H5/'Historical Financial Statements'!G5-1</f>
        <v/>
      </c>
    </row>
    <row r="6">
      <c r="A6" s="5" t="inlineStr">
        <is>
          <t>Gross margin %</t>
        </is>
      </c>
      <c r="B6" s="36">
        <f>'Historical Financial Statements'!B7/'Historical Financial Statements'!B5</f>
        <v/>
      </c>
      <c r="C6" s="36">
        <f>'Historical Financial Statements'!C7/'Historical Financial Statements'!C5</f>
        <v/>
      </c>
      <c r="D6" s="36">
        <f>'Historical Financial Statements'!D7/'Historical Financial Statements'!D5</f>
        <v/>
      </c>
      <c r="E6" s="36">
        <f>'Historical Financial Statements'!E7/'Historical Financial Statements'!E5</f>
        <v/>
      </c>
      <c r="F6" s="36">
        <f>'Historical Financial Statements'!F7/'Historical Financial Statements'!F5</f>
        <v/>
      </c>
      <c r="G6" s="36">
        <f>'Historical Financial Statements'!G7/'Historical Financial Statements'!G5</f>
        <v/>
      </c>
      <c r="H6" s="36">
        <f>'Historical Financial Statements'!H7/'Historical Financial Statements'!H5</f>
        <v/>
      </c>
    </row>
    <row r="7">
      <c r="A7" s="5" t="inlineStr">
        <is>
          <t>EBITDA margin %</t>
        </is>
      </c>
      <c r="B7" s="36">
        <f>'Historical Financial Statements'!B12/'Historical Financial Statements'!B5</f>
        <v/>
      </c>
      <c r="C7" s="36">
        <f>'Historical Financial Statements'!C12/'Historical Financial Statements'!C5</f>
        <v/>
      </c>
      <c r="D7" s="36">
        <f>'Historical Financial Statements'!D12/'Historical Financial Statements'!D5</f>
        <v/>
      </c>
      <c r="E7" s="36">
        <f>'Historical Financial Statements'!E12/'Historical Financial Statements'!E5</f>
        <v/>
      </c>
      <c r="F7" s="36">
        <f>'Historical Financial Statements'!F12/'Historical Financial Statements'!F5</f>
        <v/>
      </c>
      <c r="G7" s="36">
        <f>'Historical Financial Statements'!G12/'Historical Financial Statements'!G5</f>
        <v/>
      </c>
      <c r="H7" s="36">
        <f>'Historical Financial Statements'!H12/'Historical Financial Statements'!H5</f>
        <v/>
      </c>
    </row>
    <row r="8">
      <c r="A8" s="5" t="inlineStr">
        <is>
          <t>EBIT margin %</t>
        </is>
      </c>
      <c r="B8" s="36">
        <f>'Historical Financial Statements'!B14/'Historical Financial Statements'!B5</f>
        <v/>
      </c>
      <c r="C8" s="36">
        <f>'Historical Financial Statements'!C14/'Historical Financial Statements'!C5</f>
        <v/>
      </c>
      <c r="D8" s="36">
        <f>'Historical Financial Statements'!D14/'Historical Financial Statements'!D5</f>
        <v/>
      </c>
      <c r="E8" s="36">
        <f>'Historical Financial Statements'!E14/'Historical Financial Statements'!E5</f>
        <v/>
      </c>
      <c r="F8" s="36">
        <f>'Historical Financial Statements'!F14/'Historical Financial Statements'!F5</f>
        <v/>
      </c>
      <c r="G8" s="36">
        <f>'Historical Financial Statements'!G14/'Historical Financial Statements'!G5</f>
        <v/>
      </c>
      <c r="H8" s="36">
        <f>'Historical Financial Statements'!H14/'Historical Financial Statements'!H5</f>
        <v/>
      </c>
    </row>
    <row r="9">
      <c r="A9" s="5" t="inlineStr">
        <is>
          <t>PAT margin %</t>
        </is>
      </c>
      <c r="B9" s="36">
        <f>'Historical Financial Statements'!B20/'Historical Financial Statements'!B5</f>
        <v/>
      </c>
      <c r="C9" s="36">
        <f>'Historical Financial Statements'!C20/'Historical Financial Statements'!C5</f>
        <v/>
      </c>
      <c r="D9" s="36">
        <f>'Historical Financial Statements'!D20/'Historical Financial Statements'!D5</f>
        <v/>
      </c>
      <c r="E9" s="36">
        <f>'Historical Financial Statements'!E20/'Historical Financial Statements'!E5</f>
        <v/>
      </c>
      <c r="F9" s="36">
        <f>'Historical Financial Statements'!F20/'Historical Financial Statements'!F5</f>
        <v/>
      </c>
      <c r="G9" s="36">
        <f>'Historical Financial Statements'!G20/'Historical Financial Statements'!G5</f>
        <v/>
      </c>
      <c r="H9" s="36">
        <f>'Historical Financial Statements'!H20/'Historical Financial Statements'!H5</f>
        <v/>
      </c>
    </row>
    <row r="11">
      <c r="A11" s="11" t="inlineStr">
        <is>
          <t>Returns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>
      <c r="A12" s="5" t="inlineStr">
        <is>
          <t>ROE %</t>
        </is>
      </c>
      <c r="C12" s="36">
        <f>'Historical Financial Statements'!C20/(('Historical Financial Statements'!C33+'Historical Financial Statements'!C34+'Historical Financial Statements'!B33+'Historical Financial Statements'!B34)/2)</f>
        <v/>
      </c>
      <c r="D12" s="36">
        <f>'Historical Financial Statements'!D20/(('Historical Financial Statements'!D33+'Historical Financial Statements'!D34+'Historical Financial Statements'!C33+'Historical Financial Statements'!C34)/2)</f>
        <v/>
      </c>
      <c r="E12" s="36">
        <f>'Historical Financial Statements'!E20/(('Historical Financial Statements'!E33+'Historical Financial Statements'!E34+'Historical Financial Statements'!D33+'Historical Financial Statements'!D34)/2)</f>
        <v/>
      </c>
      <c r="F12" s="36">
        <f>'Historical Financial Statements'!F20/(('Historical Financial Statements'!F33+'Historical Financial Statements'!F34+'Historical Financial Statements'!E33+'Historical Financial Statements'!E34)/2)</f>
        <v/>
      </c>
      <c r="G12" s="36">
        <f>'Historical Financial Statements'!G20/(('Historical Financial Statements'!G33+'Historical Financial Statements'!G34+'Historical Financial Statements'!F33+'Historical Financial Statements'!F34)/2)</f>
        <v/>
      </c>
      <c r="H12" s="36">
        <f>'Historical Financial Statements'!H20/(('Historical Financial Statements'!H33+'Historical Financial Statements'!H34+'Historical Financial Statements'!G33+'Historical Financial Statements'!G34)/2)</f>
        <v/>
      </c>
    </row>
    <row r="13">
      <c r="A13" s="5" t="inlineStr">
        <is>
          <t>ROCE %</t>
        </is>
      </c>
      <c r="B13" s="36">
        <f>'Historical Financial Statements'!B14/('Historical Financial Statements'!B33+'Historical Financial Statements'!B34+'Historical Financial Statements'!B35)</f>
        <v/>
      </c>
      <c r="C13" s="36">
        <f>'Historical Financial Statements'!C14/('Historical Financial Statements'!C33+'Historical Financial Statements'!C34+'Historical Financial Statements'!C35)</f>
        <v/>
      </c>
      <c r="D13" s="36">
        <f>'Historical Financial Statements'!D14/('Historical Financial Statements'!D33+'Historical Financial Statements'!D34+'Historical Financial Statements'!D35)</f>
        <v/>
      </c>
      <c r="E13" s="36">
        <f>'Historical Financial Statements'!E14/('Historical Financial Statements'!E33+'Historical Financial Statements'!E34+'Historical Financial Statements'!E35)</f>
        <v/>
      </c>
      <c r="F13" s="36">
        <f>'Historical Financial Statements'!F14/('Historical Financial Statements'!F33+'Historical Financial Statements'!F34+'Historical Financial Statements'!F35)</f>
        <v/>
      </c>
      <c r="G13" s="36">
        <f>'Historical Financial Statements'!G14/('Historical Financial Statements'!G33+'Historical Financial Statements'!G34+'Historical Financial Statements'!G35)</f>
        <v/>
      </c>
      <c r="H13" s="36">
        <f>'Historical Financial Statements'!H14/('Historical Financial Statements'!H33+'Historical Financial Statements'!H34+'Historical Financial Statements'!H35)</f>
        <v/>
      </c>
    </row>
    <row r="14">
      <c r="A14" s="5" t="inlineStr">
        <is>
          <t>ROA %</t>
        </is>
      </c>
      <c r="B14" s="36">
        <f>'Historical Financial Statements'!B20/'Historical Financial Statements'!B32</f>
        <v/>
      </c>
      <c r="C14" s="36">
        <f>'Historical Financial Statements'!C20/'Historical Financial Statements'!C32</f>
        <v/>
      </c>
      <c r="D14" s="36">
        <f>'Historical Financial Statements'!D20/'Historical Financial Statements'!D32</f>
        <v/>
      </c>
      <c r="E14" s="36">
        <f>'Historical Financial Statements'!E20/'Historical Financial Statements'!E32</f>
        <v/>
      </c>
      <c r="F14" s="36">
        <f>'Historical Financial Statements'!F20/'Historical Financial Statements'!F32</f>
        <v/>
      </c>
      <c r="G14" s="36">
        <f>'Historical Financial Statements'!G20/'Historical Financial Statements'!G32</f>
        <v/>
      </c>
      <c r="H14" s="36">
        <f>'Historical Financial Statements'!H20/'Historical Financial Statements'!H32</f>
        <v/>
      </c>
    </row>
    <row r="16">
      <c r="A16" s="11" t="inlineStr">
        <is>
          <t>Leverage &amp; liquidity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>
      <c r="A17" s="5" t="inlineStr">
        <is>
          <t>Debt / equity (x)</t>
        </is>
      </c>
      <c r="B17" s="37">
        <f>'Historical Financial Statements'!B35/('Historical Financial Statements'!B33+'Historical Financial Statements'!B34)</f>
        <v/>
      </c>
      <c r="C17" s="37">
        <f>'Historical Financial Statements'!C35/('Historical Financial Statements'!C33+'Historical Financial Statements'!C34)</f>
        <v/>
      </c>
      <c r="D17" s="37">
        <f>'Historical Financial Statements'!D35/('Historical Financial Statements'!D33+'Historical Financial Statements'!D34)</f>
        <v/>
      </c>
      <c r="E17" s="37">
        <f>'Historical Financial Statements'!E35/('Historical Financial Statements'!E33+'Historical Financial Statements'!E34)</f>
        <v/>
      </c>
      <c r="F17" s="37">
        <f>'Historical Financial Statements'!F35/('Historical Financial Statements'!F33+'Historical Financial Statements'!F34)</f>
        <v/>
      </c>
      <c r="G17" s="37">
        <f>'Historical Financial Statements'!G35/('Historical Financial Statements'!G33+'Historical Financial Statements'!G34)</f>
        <v/>
      </c>
      <c r="H17" s="37">
        <f>'Historical Financial Statements'!H35/('Historical Financial Statements'!H33+'Historical Financial Statements'!H34)</f>
        <v/>
      </c>
    </row>
    <row r="18">
      <c r="A18" s="5" t="inlineStr">
        <is>
          <t>Interest coverage (x)</t>
        </is>
      </c>
      <c r="B18" s="37">
        <f>'Historical Financial Statements'!B14/'Historical Financial Statements'!B16</f>
        <v/>
      </c>
      <c r="C18" s="37">
        <f>'Historical Financial Statements'!C14/'Historical Financial Statements'!C16</f>
        <v/>
      </c>
      <c r="D18" s="37">
        <f>'Historical Financial Statements'!D14/'Historical Financial Statements'!D16</f>
        <v/>
      </c>
      <c r="E18" s="37">
        <f>'Historical Financial Statements'!E14/'Historical Financial Statements'!E16</f>
        <v/>
      </c>
      <c r="F18" s="37">
        <f>'Historical Financial Statements'!F14/'Historical Financial Statements'!F16</f>
        <v/>
      </c>
      <c r="G18" s="37">
        <f>'Historical Financial Statements'!G14/'Historical Financial Statements'!G16</f>
        <v/>
      </c>
      <c r="H18" s="37">
        <f>'Historical Financial Statements'!H14/'Historical Financial Statements'!H16</f>
        <v/>
      </c>
    </row>
    <row r="19">
      <c r="A19" s="5" t="inlineStr">
        <is>
          <t>Asset turnover (x)</t>
        </is>
      </c>
      <c r="B19" s="37">
        <f>'Historical Financial Statements'!B5/'Historical Financial Statements'!B32</f>
        <v/>
      </c>
      <c r="C19" s="37">
        <f>'Historical Financial Statements'!C5/'Historical Financial Statements'!C32</f>
        <v/>
      </c>
      <c r="D19" s="37">
        <f>'Historical Financial Statements'!D5/'Historical Financial Statements'!D32</f>
        <v/>
      </c>
      <c r="E19" s="37">
        <f>'Historical Financial Statements'!E5/'Historical Financial Statements'!E32</f>
        <v/>
      </c>
      <c r="F19" s="37">
        <f>'Historical Financial Statements'!F5/'Historical Financial Statements'!F32</f>
        <v/>
      </c>
      <c r="G19" s="37">
        <f>'Historical Financial Statements'!G5/'Historical Financial Statements'!G32</f>
        <v/>
      </c>
      <c r="H19" s="37">
        <f>'Historical Financial Statements'!H5/'Historical Financial Statements'!H32</f>
        <v/>
      </c>
    </row>
    <row r="21">
      <c r="A21" s="11" t="inlineStr">
        <is>
          <t>Working capital (reported day ratios)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A22" s="5" t="inlineStr">
        <is>
          <t>Debtor days</t>
        </is>
      </c>
      <c r="B22" s="38" t="n">
        <v>121</v>
      </c>
      <c r="C22" s="38" t="n">
        <v>85</v>
      </c>
      <c r="D22" s="38" t="n">
        <v>52</v>
      </c>
      <c r="E22" s="38" t="n">
        <v>49</v>
      </c>
      <c r="F22" s="38" t="n">
        <v>73</v>
      </c>
      <c r="G22" s="38" t="n">
        <v>76</v>
      </c>
      <c r="H22" s="38" t="n">
        <v>73</v>
      </c>
    </row>
    <row r="23">
      <c r="A23" s="5" t="inlineStr">
        <is>
          <t>Inventory days</t>
        </is>
      </c>
      <c r="B23" s="38" t="n">
        <v>321</v>
      </c>
      <c r="C23" s="38" t="n">
        <v>333</v>
      </c>
      <c r="D23" s="38" t="n">
        <v>274</v>
      </c>
      <c r="E23" s="38" t="n">
        <v>261</v>
      </c>
      <c r="F23" s="38" t="n">
        <v>253</v>
      </c>
      <c r="G23" s="38" t="n">
        <v>289</v>
      </c>
      <c r="H23" s="38" t="n">
        <v>212</v>
      </c>
    </row>
    <row r="24">
      <c r="A24" s="5" t="inlineStr">
        <is>
          <t>Payable days</t>
        </is>
      </c>
      <c r="B24" s="38" t="n">
        <v>300</v>
      </c>
      <c r="C24" s="38" t="n">
        <v>281</v>
      </c>
      <c r="D24" s="38" t="n">
        <v>291</v>
      </c>
      <c r="E24" s="38" t="n">
        <v>345</v>
      </c>
      <c r="F24" s="38" t="n">
        <v>270</v>
      </c>
      <c r="G24" s="38" t="n">
        <v>259</v>
      </c>
      <c r="H24" s="38" t="n">
        <v>167</v>
      </c>
    </row>
    <row r="25">
      <c r="A25" s="5" t="inlineStr">
        <is>
          <t>Cash conversion cycle (days)</t>
        </is>
      </c>
      <c r="B25" s="38" t="n">
        <v>142</v>
      </c>
      <c r="C25" s="38" t="n">
        <v>137</v>
      </c>
      <c r="D25" s="38" t="n">
        <v>35</v>
      </c>
      <c r="E25" s="38" t="n">
        <v>-35</v>
      </c>
      <c r="F25" s="38" t="n">
        <v>56</v>
      </c>
      <c r="G25" s="38" t="n">
        <v>106</v>
      </c>
      <c r="H25" s="38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11" t="inlineStr">
        <is>
          <t>OPERATIONAL DRIVERS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3" t="inlineStr">
        <is>
          <t>Order data on standalone basis. FY20-22 figures are estimates (flagged). The "Adjustments" line captures order cancellations, de-scoping, FX revaluation, price/scope revisions and tax-basis differences so the roll ties to the reported closing order book.</t>
        </is>
      </c>
    </row>
    <row r="4">
      <c r="A4" s="14" t="inlineStr">
        <is>
          <t>INR Crore</t>
        </is>
      </c>
      <c r="B4" s="15" t="inlineStr">
        <is>
          <t>FY2020</t>
        </is>
      </c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</t>
        </is>
      </c>
      <c r="I4" s="15" t="inlineStr">
        <is>
          <t>FY2027</t>
        </is>
      </c>
      <c r="J4" s="15" t="inlineStr">
        <is>
          <t>FY2028</t>
        </is>
      </c>
      <c r="K4" s="15" t="inlineStr">
        <is>
          <t>FY2029</t>
        </is>
      </c>
      <c r="L4" s="15" t="inlineStr">
        <is>
          <t>FY2030</t>
        </is>
      </c>
      <c r="M4" s="15" t="inlineStr">
        <is>
          <t>FY2031</t>
        </is>
      </c>
      <c r="N4" s="15" t="inlineStr">
        <is>
          <t>FY2032</t>
        </is>
      </c>
      <c r="O4" s="15" t="inlineStr">
        <is>
          <t>FY2033</t>
        </is>
      </c>
    </row>
    <row r="5">
      <c r="A5" s="11" t="inlineStr">
        <is>
          <t>Order book dynamics (INR Crore, standalone)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5" t="inlineStr">
        <is>
          <t>Opening order book</t>
        </is>
      </c>
      <c r="B6" s="30" t="n">
        <v>115000</v>
      </c>
      <c r="C6" s="30" t="n">
        <v>110000</v>
      </c>
      <c r="D6" s="30" t="n">
        <v>102000</v>
      </c>
      <c r="E6" s="30" t="n">
        <v>98000</v>
      </c>
      <c r="F6" s="30" t="n">
        <v>91336</v>
      </c>
      <c r="G6" s="30" t="n">
        <v>131598</v>
      </c>
      <c r="H6" s="30" t="n">
        <v>196328</v>
      </c>
      <c r="P6" s="13" t="inlineStr">
        <is>
          <t>FY20-22 est.</t>
        </is>
      </c>
    </row>
    <row r="7">
      <c r="A7" s="5" t="inlineStr">
        <is>
          <t>Add: new order inflow</t>
        </is>
      </c>
      <c r="B7" s="30" t="n">
        <v>18000</v>
      </c>
      <c r="C7" s="30" t="n">
        <v>15000</v>
      </c>
      <c r="D7" s="30" t="n">
        <v>22000</v>
      </c>
      <c r="E7" s="30" t="n">
        <v>23548</v>
      </c>
      <c r="F7" s="30" t="n">
        <v>63000</v>
      </c>
      <c r="G7" s="30" t="n">
        <v>92535</v>
      </c>
      <c r="H7" s="30" t="n">
        <v>75000</v>
      </c>
      <c r="P7" s="13" t="inlineStr">
        <is>
          <t>some est.</t>
        </is>
      </c>
    </row>
    <row r="8">
      <c r="A8" s="5" t="inlineStr">
        <is>
          <t>Less: revenue executed (standalone)</t>
        </is>
      </c>
      <c r="B8" s="30" t="n">
        <v>-20495</v>
      </c>
      <c r="C8" s="30" t="n">
        <v>-16296</v>
      </c>
      <c r="D8" s="30" t="n">
        <v>-20153</v>
      </c>
      <c r="E8" s="30" t="n">
        <v>-22136</v>
      </c>
      <c r="F8" s="30" t="n">
        <v>-22921</v>
      </c>
      <c r="G8" s="30" t="n">
        <v>-27355</v>
      </c>
      <c r="H8" s="30" t="n">
        <v>-33782</v>
      </c>
      <c r="P8" s="13" t="inlineStr">
        <is>
          <t>standalone rev</t>
        </is>
      </c>
    </row>
    <row r="9">
      <c r="A9" s="5" t="inlineStr">
        <is>
          <t>+/- Adjustments (cancellations, FX, scope, taxes)</t>
        </is>
      </c>
      <c r="B9" s="33">
        <f>B10-B6-B7-B8</f>
        <v/>
      </c>
      <c r="C9" s="33">
        <f>C10-C6-C7-C8</f>
        <v/>
      </c>
      <c r="D9" s="33">
        <f>D10-D6-D7-D8</f>
        <v/>
      </c>
      <c r="E9" s="33">
        <f>E10-E6-E7-E8</f>
        <v/>
      </c>
      <c r="F9" s="33">
        <f>F10-F6-F7-F8</f>
        <v/>
      </c>
      <c r="G9" s="33">
        <f>G10-G6-G7-G8</f>
        <v/>
      </c>
      <c r="H9" s="33">
        <f>H10-H6-H7-H8</f>
        <v/>
      </c>
    </row>
    <row r="10">
      <c r="A10" s="4" t="inlineStr">
        <is>
          <t>Closing order book (reported)</t>
        </is>
      </c>
      <c r="B10" s="30" t="n">
        <v>110000</v>
      </c>
      <c r="C10" s="30" t="n">
        <v>102000</v>
      </c>
      <c r="D10" s="30" t="n">
        <v>98000</v>
      </c>
      <c r="E10" s="30" t="n">
        <v>91336</v>
      </c>
      <c r="F10" s="30" t="n">
        <v>131598</v>
      </c>
      <c r="G10" s="30" t="n">
        <v>196328</v>
      </c>
      <c r="H10" s="30" t="n">
        <v>240000</v>
      </c>
    </row>
    <row r="11">
      <c r="A11" s="5" t="inlineStr">
        <is>
          <t xml:space="preserve">  Roll check (open+inflow-rev+adj-close)</t>
        </is>
      </c>
      <c r="B11" s="33">
        <f>B6+B7+B8+B9-B10</f>
        <v/>
      </c>
      <c r="C11" s="33">
        <f>C6+C7+C8+C9-C10</f>
        <v/>
      </c>
      <c r="D11" s="33">
        <f>D6+D7+D8+D9-D10</f>
        <v/>
      </c>
      <c r="E11" s="33">
        <f>E6+E7+E8+E9-E10</f>
        <v/>
      </c>
      <c r="F11" s="33">
        <f>F6+F7+F8+F9-F10</f>
        <v/>
      </c>
      <c r="G11" s="33">
        <f>G6+G7+G8+G9-G10</f>
        <v/>
      </c>
      <c r="H11" s="33">
        <f>H6+H7+H8+H9-H10</f>
        <v/>
      </c>
    </row>
    <row r="12">
      <c r="A12" s="5" t="inlineStr">
        <is>
          <t>Book-to-bill (closing OB / revenue, x)</t>
        </is>
      </c>
      <c r="B12" s="39">
        <f>B10/-B8</f>
        <v/>
      </c>
      <c r="C12" s="39">
        <f>C10/-C8</f>
        <v/>
      </c>
      <c r="D12" s="39">
        <f>D10/-D8</f>
        <v/>
      </c>
      <c r="E12" s="39">
        <f>E10/-E8</f>
        <v/>
      </c>
      <c r="F12" s="39">
        <f>F10/-F8</f>
        <v/>
      </c>
      <c r="G12" s="39">
        <f>G10/-G8</f>
        <v/>
      </c>
      <c r="H12" s="39">
        <f>H10/-H8</f>
        <v/>
      </c>
    </row>
    <row r="13">
      <c r="A13" s="5" t="inlineStr">
        <is>
          <t>Execution rate (revenue / opening OB)</t>
        </is>
      </c>
      <c r="B13" s="40">
        <f>-B8/B6</f>
        <v/>
      </c>
      <c r="C13" s="40">
        <f>-C8/C6</f>
        <v/>
      </c>
      <c r="D13" s="40">
        <f>-D8/D6</f>
        <v/>
      </c>
      <c r="E13" s="40">
        <f>-E8/E6</f>
        <v/>
      </c>
      <c r="F13" s="40">
        <f>-F8/F6</f>
        <v/>
      </c>
      <c r="G13" s="40">
        <f>-G8/G6</f>
        <v/>
      </c>
      <c r="H13" s="40">
        <f>-H8/H6</f>
        <v/>
      </c>
    </row>
    <row r="15">
      <c r="A15" s="11" t="inlineStr">
        <is>
          <t>Segment revenue mix (INR Crore, est.)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>
      <c r="A16" s="5" t="inlineStr">
        <is>
          <t>Power segment</t>
        </is>
      </c>
      <c r="B16" s="30" t="n">
        <v>16800</v>
      </c>
      <c r="C16" s="30" t="n">
        <v>13500</v>
      </c>
      <c r="D16" s="30" t="n">
        <v>16500</v>
      </c>
      <c r="E16" s="30" t="n">
        <v>18100</v>
      </c>
      <c r="F16" s="30" t="n">
        <v>18600</v>
      </c>
      <c r="G16" s="30" t="n">
        <v>20937</v>
      </c>
      <c r="H16" s="30" t="n">
        <v>25407</v>
      </c>
    </row>
    <row r="17">
      <c r="A17" s="5" t="inlineStr">
        <is>
          <t>Industry segment</t>
        </is>
      </c>
      <c r="B17" s="30" t="n">
        <v>3900</v>
      </c>
      <c r="C17" s="30" t="n">
        <v>3200</v>
      </c>
      <c r="D17" s="30" t="n">
        <v>4000</v>
      </c>
      <c r="E17" s="30" t="n">
        <v>4600</v>
      </c>
      <c r="F17" s="30" t="n">
        <v>4700</v>
      </c>
      <c r="G17" s="30" t="n">
        <v>6400</v>
      </c>
      <c r="H17" s="30" t="n">
        <v>7400</v>
      </c>
    </row>
    <row r="18">
      <c r="A18" s="5" t="inlineStr">
        <is>
          <t>Others / exports / renewables</t>
        </is>
      </c>
      <c r="B18" s="30" t="n">
        <v>763</v>
      </c>
      <c r="C18" s="30" t="n">
        <v>609</v>
      </c>
      <c r="D18" s="30" t="n">
        <v>711</v>
      </c>
      <c r="E18" s="30" t="n">
        <v>665</v>
      </c>
      <c r="F18" s="30" t="n">
        <v>593</v>
      </c>
      <c r="G18" s="30" t="n">
        <v>1002</v>
      </c>
      <c r="H18" s="30" t="n">
        <v>975</v>
      </c>
    </row>
    <row r="19">
      <c r="A19" s="5" t="inlineStr">
        <is>
          <t>Total (check vs revenue)</t>
        </is>
      </c>
      <c r="B19" s="33">
        <f>SUM(B16:B18)</f>
        <v/>
      </c>
      <c r="C19" s="33">
        <f>SUM(C16:C18)</f>
        <v/>
      </c>
      <c r="D19" s="33">
        <f>SUM(D16:D18)</f>
        <v/>
      </c>
      <c r="E19" s="33">
        <f>SUM(E16:E18)</f>
        <v/>
      </c>
      <c r="F19" s="33">
        <f>SUM(F16:F18)</f>
        <v/>
      </c>
      <c r="G19" s="33">
        <f>SUM(G16:G18)</f>
        <v/>
      </c>
      <c r="H19" s="33">
        <f>SUM(H16:H18)</f>
        <v/>
      </c>
    </row>
    <row r="20">
      <c r="A20" s="5" t="inlineStr">
        <is>
          <t>Power as % of revenue</t>
        </is>
      </c>
      <c r="B20" s="40">
        <f>B16/'Historical Financial Statements'!B5</f>
        <v/>
      </c>
      <c r="C20" s="40">
        <f>C16/'Historical Financial Statements'!C5</f>
        <v/>
      </c>
      <c r="D20" s="40">
        <f>D16/'Historical Financial Statements'!D5</f>
        <v/>
      </c>
      <c r="E20" s="40">
        <f>E16/'Historical Financial Statements'!E5</f>
        <v/>
      </c>
      <c r="F20" s="40">
        <f>F16/'Historical Financial Statements'!F5</f>
        <v/>
      </c>
      <c r="G20" s="40">
        <f>G16/'Historical Financial Statements'!G5</f>
        <v/>
      </c>
      <c r="H20" s="40">
        <f>H16/'Historical Financial Statements'!H5</f>
        <v/>
      </c>
    </row>
    <row r="22">
      <c r="A22" s="11" t="inlineStr">
        <is>
          <t>Other KPIs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5" t="inlineStr">
        <is>
          <t>Approx. workforce (number)</t>
        </is>
      </c>
      <c r="B23" s="41" t="n">
        <v>33500</v>
      </c>
      <c r="C23" s="41" t="n">
        <v>31500</v>
      </c>
      <c r="D23" s="41" t="n">
        <v>29800</v>
      </c>
      <c r="E23" s="41" t="n">
        <v>28500</v>
      </c>
      <c r="F23" s="41" t="n">
        <v>27000</v>
      </c>
      <c r="G23" s="41" t="n">
        <v>26000</v>
      </c>
      <c r="H23" s="41" t="n">
        <v>25500</v>
      </c>
      <c r="P23" s="13" t="inlineStr">
        <is>
          <t>approx.</t>
        </is>
      </c>
    </row>
    <row r="24">
      <c r="A24" s="5" t="inlineStr">
        <is>
          <t>R&amp;D expenditure</t>
        </is>
      </c>
      <c r="B24" s="30" t="n">
        <v>1180</v>
      </c>
      <c r="C24" s="30" t="n">
        <v>1090</v>
      </c>
      <c r="D24" s="30" t="n">
        <v>1050</v>
      </c>
      <c r="E24" s="30" t="n">
        <v>1100</v>
      </c>
      <c r="F24" s="30" t="n">
        <v>1150</v>
      </c>
      <c r="G24" s="30" t="n">
        <v>1300</v>
      </c>
      <c r="H24" s="30" t="n">
        <v>1500</v>
      </c>
      <c r="P24" s="13" t="inlineStr">
        <is>
          <t>approx.</t>
        </is>
      </c>
    </row>
    <row r="25">
      <c r="A25" s="5" t="inlineStr">
        <is>
          <t>R&amp;D as % of revenue</t>
        </is>
      </c>
      <c r="B25" s="40">
        <f>B24/'Historical Financial Statements'!B5</f>
        <v/>
      </c>
      <c r="C25" s="40">
        <f>C24/'Historical Financial Statements'!C5</f>
        <v/>
      </c>
      <c r="D25" s="40">
        <f>D24/'Historical Financial Statements'!D5</f>
        <v/>
      </c>
      <c r="E25" s="40">
        <f>E24/'Historical Financial Statements'!E5</f>
        <v/>
      </c>
      <c r="F25" s="40">
        <f>F24/'Historical Financial Statements'!F5</f>
        <v/>
      </c>
      <c r="G25" s="40">
        <f>G24/'Historical Financial Statements'!G5</f>
        <v/>
      </c>
      <c r="H25" s="40">
        <f>H24/'Historical Financial Statements'!H5</f>
        <v/>
      </c>
    </row>
    <row r="26">
      <c r="A26" s="5" t="inlineStr">
        <is>
          <t>Capacity utilisation (mfg.)</t>
        </is>
      </c>
      <c r="B26" s="42" t="n">
        <v>0.55</v>
      </c>
      <c r="C26" s="42" t="n">
        <v>0.42</v>
      </c>
      <c r="D26" s="42" t="n">
        <v>0.5</v>
      </c>
      <c r="E26" s="42" t="n">
        <v>0.55</v>
      </c>
      <c r="F26" s="42" t="n">
        <v>0.58</v>
      </c>
      <c r="G26" s="42" t="n">
        <v>0.65</v>
      </c>
      <c r="H26" s="42" t="n">
        <v>0.72</v>
      </c>
      <c r="P26" s="13" t="inlineStr">
        <is>
          <t>approx.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11" t="inlineStr">
        <is>
          <t>REVENUE BUILD-UP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3" t="inlineStr">
        <is>
          <t>Order book rolled on STANDALONE basis: Closing OB = Opening + Inflow - Standalone revenue + Adjustments (cancellations/FX/scope/taxes). Consolidated revenue (P&amp;L) is bridged from standalone via a consolidation uplift.</t>
        </is>
      </c>
    </row>
    <row r="4">
      <c r="A4" s="14" t="inlineStr">
        <is>
          <t>INR Crore</t>
        </is>
      </c>
      <c r="B4" s="15" t="inlineStr">
        <is>
          <t>FY2020</t>
        </is>
      </c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</t>
        </is>
      </c>
      <c r="I4" s="15" t="inlineStr">
        <is>
          <t>FY2027</t>
        </is>
      </c>
      <c r="J4" s="15" t="inlineStr">
        <is>
          <t>FY2028</t>
        </is>
      </c>
      <c r="K4" s="15" t="inlineStr">
        <is>
          <t>FY2029</t>
        </is>
      </c>
      <c r="L4" s="15" t="inlineStr">
        <is>
          <t>FY2030</t>
        </is>
      </c>
      <c r="M4" s="15" t="inlineStr">
        <is>
          <t>FY2031</t>
        </is>
      </c>
      <c r="N4" s="15" t="inlineStr">
        <is>
          <t>FY2032</t>
        </is>
      </c>
      <c r="O4" s="15" t="inlineStr">
        <is>
          <t>FY2033</t>
        </is>
      </c>
    </row>
    <row r="5">
      <c r="A5" s="11" t="inlineStr">
        <is>
          <t>A.  Order book roll-forward  (standalone basis, as disclosed)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4" t="inlineStr">
        <is>
          <t>Opening order book (standalone)</t>
        </is>
      </c>
      <c r="B6" s="43">
        <f>'Operational Drivers'!B6</f>
        <v/>
      </c>
      <c r="C6" s="43">
        <f>'Operational Drivers'!C6</f>
        <v/>
      </c>
      <c r="D6" s="43">
        <f>'Operational Drivers'!D6</f>
        <v/>
      </c>
      <c r="E6" s="43">
        <f>'Operational Drivers'!E6</f>
        <v/>
      </c>
      <c r="F6" s="43">
        <f>'Operational Drivers'!F6</f>
        <v/>
      </c>
      <c r="G6" s="43">
        <f>'Operational Drivers'!G6</f>
        <v/>
      </c>
      <c r="H6" s="43">
        <f>'Operational Drivers'!H6</f>
        <v/>
      </c>
      <c r="I6" s="33">
        <f>'Operational Drivers'!H10</f>
        <v/>
      </c>
      <c r="J6" s="33">
        <f>I10</f>
        <v/>
      </c>
      <c r="K6" s="33">
        <f>J10</f>
        <v/>
      </c>
      <c r="L6" s="33">
        <f>K10</f>
        <v/>
      </c>
      <c r="M6" s="33">
        <f>L10</f>
        <v/>
      </c>
      <c r="N6" s="33">
        <f>M10</f>
        <v/>
      </c>
      <c r="O6" s="33">
        <f>N10</f>
        <v/>
      </c>
    </row>
    <row r="7">
      <c r="A7" s="5" t="inlineStr">
        <is>
          <t>Add: new order inflow</t>
        </is>
      </c>
      <c r="B7" s="43">
        <f>'Operational Drivers'!B7</f>
        <v/>
      </c>
      <c r="C7" s="43">
        <f>'Operational Drivers'!C7</f>
        <v/>
      </c>
      <c r="D7" s="43">
        <f>'Operational Drivers'!D7</f>
        <v/>
      </c>
      <c r="E7" s="43">
        <f>'Operational Drivers'!E7</f>
        <v/>
      </c>
      <c r="F7" s="43">
        <f>'Operational Drivers'!F7</f>
        <v/>
      </c>
      <c r="G7" s="43">
        <f>'Operational Drivers'!G7</f>
        <v/>
      </c>
      <c r="H7" s="43">
        <f>'Operational Drivers'!H7</f>
        <v/>
      </c>
      <c r="I7" s="33">
        <f>'Assumptions'!I5</f>
        <v/>
      </c>
      <c r="J7" s="33">
        <f>'Assumptions'!J5</f>
        <v/>
      </c>
      <c r="K7" s="33">
        <f>'Assumptions'!K5</f>
        <v/>
      </c>
      <c r="L7" s="33">
        <f>'Assumptions'!L5</f>
        <v/>
      </c>
      <c r="M7" s="33">
        <f>'Assumptions'!M5</f>
        <v/>
      </c>
      <c r="N7" s="33">
        <f>'Assumptions'!N5</f>
        <v/>
      </c>
      <c r="O7" s="33">
        <f>'Assumptions'!O5</f>
        <v/>
      </c>
    </row>
    <row r="8">
      <c r="A8" s="5" t="inlineStr">
        <is>
          <t>Less: standalone revenue executed</t>
        </is>
      </c>
      <c r="B8" s="43">
        <f>'Operational Drivers'!B8</f>
        <v/>
      </c>
      <c r="C8" s="43">
        <f>'Operational Drivers'!C8</f>
        <v/>
      </c>
      <c r="D8" s="43">
        <f>'Operational Drivers'!D8</f>
        <v/>
      </c>
      <c r="E8" s="43">
        <f>'Operational Drivers'!E8</f>
        <v/>
      </c>
      <c r="F8" s="43">
        <f>'Operational Drivers'!F8</f>
        <v/>
      </c>
      <c r="G8" s="43">
        <f>'Operational Drivers'!G8</f>
        <v/>
      </c>
      <c r="H8" s="43">
        <f>'Operational Drivers'!H8</f>
        <v/>
      </c>
      <c r="I8" s="33">
        <f>-'Assumptions'!I10*I6</f>
        <v/>
      </c>
      <c r="J8" s="33">
        <f>-'Assumptions'!J10*J6</f>
        <v/>
      </c>
      <c r="K8" s="33">
        <f>-'Assumptions'!K10*K6</f>
        <v/>
      </c>
      <c r="L8" s="33">
        <f>-'Assumptions'!L10*L6</f>
        <v/>
      </c>
      <c r="M8" s="33">
        <f>-'Assumptions'!M10*M6</f>
        <v/>
      </c>
      <c r="N8" s="33">
        <f>-'Assumptions'!N10*N6</f>
        <v/>
      </c>
      <c r="O8" s="33">
        <f>-'Assumptions'!O10*O6</f>
        <v/>
      </c>
    </row>
    <row r="9">
      <c r="A9" s="5" t="inlineStr">
        <is>
          <t>+/- Adjustments (cancellations/FX/scope/taxes)</t>
        </is>
      </c>
      <c r="B9" s="43">
        <f>'Operational Drivers'!B9</f>
        <v/>
      </c>
      <c r="C9" s="43">
        <f>'Operational Drivers'!C9</f>
        <v/>
      </c>
      <c r="D9" s="43">
        <f>'Operational Drivers'!D9</f>
        <v/>
      </c>
      <c r="E9" s="43">
        <f>'Operational Drivers'!E9</f>
        <v/>
      </c>
      <c r="F9" s="43">
        <f>'Operational Drivers'!F9</f>
        <v/>
      </c>
      <c r="G9" s="43">
        <f>'Operational Drivers'!G9</f>
        <v/>
      </c>
      <c r="H9" s="43">
        <f>'Operational Drivers'!H9</f>
        <v/>
      </c>
      <c r="I9" s="33" t="n">
        <v>0</v>
      </c>
      <c r="J9" s="33" t="n">
        <v>0</v>
      </c>
      <c r="K9" s="33" t="n">
        <v>0</v>
      </c>
      <c r="L9" s="33" t="n">
        <v>0</v>
      </c>
      <c r="M9" s="33" t="n">
        <v>0</v>
      </c>
      <c r="N9" s="33" t="n">
        <v>0</v>
      </c>
      <c r="O9" s="33" t="n">
        <v>0</v>
      </c>
    </row>
    <row r="10">
      <c r="A10" s="4" t="inlineStr">
        <is>
          <t>Closing order book (standalone)</t>
        </is>
      </c>
      <c r="B10" s="44">
        <f>B6+B7+B8+B9</f>
        <v/>
      </c>
      <c r="C10" s="44">
        <f>C6+C7+C8+C9</f>
        <v/>
      </c>
      <c r="D10" s="44">
        <f>D6+D7+D8+D9</f>
        <v/>
      </c>
      <c r="E10" s="44">
        <f>E6+E7+E8+E9</f>
        <v/>
      </c>
      <c r="F10" s="44">
        <f>F6+F7+F8+F9</f>
        <v/>
      </c>
      <c r="G10" s="44">
        <f>G6+G7+G8+G9</f>
        <v/>
      </c>
      <c r="H10" s="44">
        <f>H6+H7+H8+H9</f>
        <v/>
      </c>
      <c r="I10" s="44">
        <f>I6+I7+I8+I9</f>
        <v/>
      </c>
      <c r="J10" s="44">
        <f>J6+J7+J8+J9</f>
        <v/>
      </c>
      <c r="K10" s="44">
        <f>K6+K7+K8+K9</f>
        <v/>
      </c>
      <c r="L10" s="44">
        <f>L6+L7+L8+L9</f>
        <v/>
      </c>
      <c r="M10" s="44">
        <f>M6+M7+M8+M9</f>
        <v/>
      </c>
      <c r="N10" s="44">
        <f>N6+N7+N8+N9</f>
        <v/>
      </c>
      <c r="O10" s="44">
        <f>O6+O7+O8+O9</f>
        <v/>
      </c>
    </row>
    <row r="12">
      <c r="A12" s="11" t="inlineStr">
        <is>
          <t>B.  Standalone -&gt; consolidated revenue bridge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4" t="inlineStr">
        <is>
          <t>Standalone revenue from operations</t>
        </is>
      </c>
      <c r="B13" s="43">
        <f>-B8</f>
        <v/>
      </c>
      <c r="C13" s="43">
        <f>-C8</f>
        <v/>
      </c>
      <c r="D13" s="43">
        <f>-D8</f>
        <v/>
      </c>
      <c r="E13" s="43">
        <f>-E8</f>
        <v/>
      </c>
      <c r="F13" s="43">
        <f>-F8</f>
        <v/>
      </c>
      <c r="G13" s="43">
        <f>-G8</f>
        <v/>
      </c>
      <c r="H13" s="43">
        <f>-H8</f>
        <v/>
      </c>
      <c r="I13" s="33">
        <f>-I8</f>
        <v/>
      </c>
      <c r="J13" s="33">
        <f>-J8</f>
        <v/>
      </c>
      <c r="K13" s="33">
        <f>-K8</f>
        <v/>
      </c>
      <c r="L13" s="33">
        <f>-L8</f>
        <v/>
      </c>
      <c r="M13" s="33">
        <f>-M8</f>
        <v/>
      </c>
      <c r="N13" s="33">
        <f>-N8</f>
        <v/>
      </c>
      <c r="O13" s="33">
        <f>-O8</f>
        <v/>
      </c>
    </row>
    <row r="14">
      <c r="A14" s="5" t="inlineStr">
        <is>
          <t>Consolidation uplift % (consol/standalone - 1)</t>
        </is>
      </c>
      <c r="B14" s="36">
        <f>'Historical Financial Statements'!B5/B13-1</f>
        <v/>
      </c>
      <c r="C14" s="36">
        <f>'Historical Financial Statements'!C5/C13-1</f>
        <v/>
      </c>
      <c r="D14" s="36">
        <f>'Historical Financial Statements'!D5/D13-1</f>
        <v/>
      </c>
      <c r="E14" s="36">
        <f>'Historical Financial Statements'!E5/E13-1</f>
        <v/>
      </c>
      <c r="F14" s="36">
        <f>'Historical Financial Statements'!F5/F13-1</f>
        <v/>
      </c>
      <c r="G14" s="36">
        <f>'Historical Financial Statements'!G5/G13-1</f>
        <v/>
      </c>
      <c r="H14" s="36">
        <f>'Historical Financial Statements'!H5/H13-1</f>
        <v/>
      </c>
      <c r="I14" s="40">
        <f>'Assumptions'!I22</f>
        <v/>
      </c>
      <c r="J14" s="40">
        <f>'Assumptions'!J22</f>
        <v/>
      </c>
      <c r="K14" s="40">
        <f>'Assumptions'!K22</f>
        <v/>
      </c>
      <c r="L14" s="40">
        <f>'Assumptions'!L22</f>
        <v/>
      </c>
      <c r="M14" s="40">
        <f>'Assumptions'!M22</f>
        <v/>
      </c>
      <c r="N14" s="40">
        <f>'Assumptions'!N22</f>
        <v/>
      </c>
      <c r="O14" s="40">
        <f>'Assumptions'!O22</f>
        <v/>
      </c>
    </row>
    <row r="15">
      <c r="A15" s="4" t="inlineStr">
        <is>
          <t>Consolidated revenue from operations  -&gt;  P&amp;L</t>
        </is>
      </c>
      <c r="B15" s="32">
        <f>B13*(1+B14)</f>
        <v/>
      </c>
      <c r="C15" s="32">
        <f>C13*(1+C14)</f>
        <v/>
      </c>
      <c r="D15" s="32">
        <f>D13*(1+D14)</f>
        <v/>
      </c>
      <c r="E15" s="32">
        <f>E13*(1+E14)</f>
        <v/>
      </c>
      <c r="F15" s="32">
        <f>F13*(1+F14)</f>
        <v/>
      </c>
      <c r="G15" s="32">
        <f>G13*(1+G14)</f>
        <v/>
      </c>
      <c r="H15" s="32">
        <f>H13*(1+H14)</f>
        <v/>
      </c>
      <c r="I15" s="32">
        <f>I13*(1+I14)</f>
        <v/>
      </c>
      <c r="J15" s="32">
        <f>J13*(1+J14)</f>
        <v/>
      </c>
      <c r="K15" s="32">
        <f>K13*(1+K14)</f>
        <v/>
      </c>
      <c r="L15" s="32">
        <f>L13*(1+L14)</f>
        <v/>
      </c>
      <c r="M15" s="32">
        <f>M13*(1+M14)</f>
        <v/>
      </c>
      <c r="N15" s="32">
        <f>N13*(1+N14)</f>
        <v/>
      </c>
      <c r="O15" s="32">
        <f>O13*(1+O14)</f>
        <v/>
      </c>
    </row>
    <row r="16">
      <c r="A16" s="5" t="inlineStr">
        <is>
          <t>Revenue growth % (consolidated)</t>
        </is>
      </c>
      <c r="C16" s="40">
        <f>C15/B15-1</f>
        <v/>
      </c>
      <c r="D16" s="40">
        <f>D15/C15-1</f>
        <v/>
      </c>
      <c r="E16" s="40">
        <f>E15/D15-1</f>
        <v/>
      </c>
      <c r="F16" s="40">
        <f>F15/E15-1</f>
        <v/>
      </c>
      <c r="G16" s="40">
        <f>G15/F15-1</f>
        <v/>
      </c>
      <c r="H16" s="40">
        <f>H15/G15-1</f>
        <v/>
      </c>
      <c r="I16" s="40">
        <f>I15/H15-1</f>
        <v/>
      </c>
      <c r="J16" s="40">
        <f>J15/I15-1</f>
        <v/>
      </c>
      <c r="K16" s="40">
        <f>K15/J15-1</f>
        <v/>
      </c>
      <c r="L16" s="40">
        <f>L15/K15-1</f>
        <v/>
      </c>
      <c r="M16" s="40">
        <f>M15/L15-1</f>
        <v/>
      </c>
      <c r="N16" s="40">
        <f>N15/M15-1</f>
        <v/>
      </c>
      <c r="O16" s="40">
        <f>O15/N15-1</f>
        <v/>
      </c>
    </row>
    <row r="17">
      <c r="A17" s="5" t="inlineStr">
        <is>
          <t>Execution rate % (standalone rev / opening OB)</t>
        </is>
      </c>
      <c r="B17" s="40">
        <f>B13/B6</f>
        <v/>
      </c>
      <c r="C17" s="40">
        <f>C13/C6</f>
        <v/>
      </c>
      <c r="D17" s="40">
        <f>D13/D6</f>
        <v/>
      </c>
      <c r="E17" s="40">
        <f>E13/E6</f>
        <v/>
      </c>
      <c r="F17" s="40">
        <f>F13/F6</f>
        <v/>
      </c>
      <c r="G17" s="40">
        <f>G13/G6</f>
        <v/>
      </c>
      <c r="H17" s="40">
        <f>H13/H6</f>
        <v/>
      </c>
      <c r="I17" s="40">
        <f>I13/I6</f>
        <v/>
      </c>
      <c r="J17" s="40">
        <f>J13/J6</f>
        <v/>
      </c>
      <c r="K17" s="40">
        <f>K13/K6</f>
        <v/>
      </c>
      <c r="L17" s="40">
        <f>L13/L6</f>
        <v/>
      </c>
      <c r="M17" s="40">
        <f>M13/M6</f>
        <v/>
      </c>
      <c r="N17" s="40">
        <f>N13/N6</f>
        <v/>
      </c>
      <c r="O17" s="40">
        <f>O13/O6</f>
        <v/>
      </c>
    </row>
    <row r="18">
      <c r="A18" s="5" t="inlineStr">
        <is>
          <t>Book-to-bill (closing OB / standalone rev, x)</t>
        </is>
      </c>
      <c r="B18" s="39">
        <f>B10/B13</f>
        <v/>
      </c>
      <c r="C18" s="39">
        <f>C10/C13</f>
        <v/>
      </c>
      <c r="D18" s="39">
        <f>D10/D13</f>
        <v/>
      </c>
      <c r="E18" s="39">
        <f>E10/E13</f>
        <v/>
      </c>
      <c r="F18" s="39">
        <f>F10/F13</f>
        <v/>
      </c>
      <c r="G18" s="39">
        <f>G10/G13</f>
        <v/>
      </c>
      <c r="H18" s="39">
        <f>H10/H13</f>
        <v/>
      </c>
      <c r="I18" s="39">
        <f>I10/I13</f>
        <v/>
      </c>
      <c r="J18" s="39">
        <f>J10/J13</f>
        <v/>
      </c>
      <c r="K18" s="39">
        <f>K10/K13</f>
        <v/>
      </c>
      <c r="L18" s="39">
        <f>L10/L13</f>
        <v/>
      </c>
      <c r="M18" s="39">
        <f>M10/M13</f>
        <v/>
      </c>
      <c r="N18" s="39">
        <f>N10/N13</f>
        <v/>
      </c>
      <c r="O18" s="39">
        <f>O10/O13</f>
        <v/>
      </c>
    </row>
    <row r="20">
      <c r="A20" s="11" t="inlineStr">
        <is>
          <t>C.  Segment revenue breakup (consolidated)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A21" s="5" t="inlineStr">
        <is>
          <t>Power segment</t>
        </is>
      </c>
      <c r="B21" s="43">
        <f>'Operational Drivers'!B16</f>
        <v/>
      </c>
      <c r="C21" s="43">
        <f>'Operational Drivers'!C16</f>
        <v/>
      </c>
      <c r="D21" s="43">
        <f>'Operational Drivers'!D16</f>
        <v/>
      </c>
      <c r="E21" s="43">
        <f>'Operational Drivers'!E16</f>
        <v/>
      </c>
      <c r="F21" s="43">
        <f>'Operational Drivers'!F16</f>
        <v/>
      </c>
      <c r="G21" s="43">
        <f>'Operational Drivers'!G16</f>
        <v/>
      </c>
      <c r="H21" s="43">
        <f>'Operational Drivers'!H16</f>
        <v/>
      </c>
      <c r="I21" s="33">
        <f>I15*'Assumptions'!I33</f>
        <v/>
      </c>
      <c r="J21" s="33">
        <f>J15*'Assumptions'!J33</f>
        <v/>
      </c>
      <c r="K21" s="33">
        <f>K15*'Assumptions'!K33</f>
        <v/>
      </c>
      <c r="L21" s="33">
        <f>L15*'Assumptions'!L33</f>
        <v/>
      </c>
      <c r="M21" s="33">
        <f>M15*'Assumptions'!M33</f>
        <v/>
      </c>
      <c r="N21" s="33">
        <f>N15*'Assumptions'!N33</f>
        <v/>
      </c>
      <c r="O21" s="33">
        <f>O15*'Assumptions'!O33</f>
        <v/>
      </c>
    </row>
    <row r="22">
      <c r="A22" s="5" t="inlineStr">
        <is>
          <t>Industry segment</t>
        </is>
      </c>
      <c r="B22" s="43">
        <f>'Operational Drivers'!B17</f>
        <v/>
      </c>
      <c r="C22" s="43">
        <f>'Operational Drivers'!C17</f>
        <v/>
      </c>
      <c r="D22" s="43">
        <f>'Operational Drivers'!D17</f>
        <v/>
      </c>
      <c r="E22" s="43">
        <f>'Operational Drivers'!E17</f>
        <v/>
      </c>
      <c r="F22" s="43">
        <f>'Operational Drivers'!F17</f>
        <v/>
      </c>
      <c r="G22" s="43">
        <f>'Operational Drivers'!G17</f>
        <v/>
      </c>
      <c r="H22" s="43">
        <f>'Operational Drivers'!H17</f>
        <v/>
      </c>
      <c r="I22" s="33">
        <f>I15*'Assumptions'!I34</f>
        <v/>
      </c>
      <c r="J22" s="33">
        <f>J15*'Assumptions'!J34</f>
        <v/>
      </c>
      <c r="K22" s="33">
        <f>K15*'Assumptions'!K34</f>
        <v/>
      </c>
      <c r="L22" s="33">
        <f>L15*'Assumptions'!L34</f>
        <v/>
      </c>
      <c r="M22" s="33">
        <f>M15*'Assumptions'!M34</f>
        <v/>
      </c>
      <c r="N22" s="33">
        <f>N15*'Assumptions'!N34</f>
        <v/>
      </c>
      <c r="O22" s="33">
        <f>O15*'Assumptions'!O34</f>
        <v/>
      </c>
    </row>
    <row r="23">
      <c r="A23" s="5" t="inlineStr">
        <is>
          <t>Others / exports / renewables</t>
        </is>
      </c>
      <c r="B23" s="43">
        <f>'Operational Drivers'!B18</f>
        <v/>
      </c>
      <c r="C23" s="43">
        <f>'Operational Drivers'!C18</f>
        <v/>
      </c>
      <c r="D23" s="43">
        <f>'Operational Drivers'!D18</f>
        <v/>
      </c>
      <c r="E23" s="43">
        <f>'Operational Drivers'!E18</f>
        <v/>
      </c>
      <c r="F23" s="43">
        <f>'Operational Drivers'!F18</f>
        <v/>
      </c>
      <c r="G23" s="43">
        <f>'Operational Drivers'!G18</f>
        <v/>
      </c>
      <c r="H23" s="43">
        <f>'Operational Drivers'!H18</f>
        <v/>
      </c>
      <c r="I23" s="33">
        <f>I15*(1-'Assumptions'!I33-'Assumptions'!I34)</f>
        <v/>
      </c>
      <c r="J23" s="33">
        <f>J15*(1-'Assumptions'!J33-'Assumptions'!J34)</f>
        <v/>
      </c>
      <c r="K23" s="33">
        <f>K15*(1-'Assumptions'!K33-'Assumptions'!K34)</f>
        <v/>
      </c>
      <c r="L23" s="33">
        <f>L15*(1-'Assumptions'!L33-'Assumptions'!L34)</f>
        <v/>
      </c>
      <c r="M23" s="33">
        <f>M15*(1-'Assumptions'!M33-'Assumptions'!M34)</f>
        <v/>
      </c>
      <c r="N23" s="33">
        <f>N15*(1-'Assumptions'!N33-'Assumptions'!N34)</f>
        <v/>
      </c>
      <c r="O23" s="33">
        <f>O15*(1-'Assumptions'!O33-'Assumptions'!O34)</f>
        <v/>
      </c>
    </row>
    <row r="24">
      <c r="A24" s="4" t="inlineStr">
        <is>
          <t>Total segment revenue (check vs consolidated)</t>
        </is>
      </c>
      <c r="B24" s="44">
        <f>SUM(B21:B23)</f>
        <v/>
      </c>
      <c r="C24" s="44">
        <f>SUM(C21:C23)</f>
        <v/>
      </c>
      <c r="D24" s="44">
        <f>SUM(D21:D23)</f>
        <v/>
      </c>
      <c r="E24" s="44">
        <f>SUM(E21:E23)</f>
        <v/>
      </c>
      <c r="F24" s="44">
        <f>SUM(F21:F23)</f>
        <v/>
      </c>
      <c r="G24" s="44">
        <f>SUM(G21:G23)</f>
        <v/>
      </c>
      <c r="H24" s="44">
        <f>SUM(H21:H23)</f>
        <v/>
      </c>
      <c r="I24" s="44">
        <f>SUM(I21:I23)</f>
        <v/>
      </c>
      <c r="J24" s="44">
        <f>SUM(J21:J23)</f>
        <v/>
      </c>
      <c r="K24" s="44">
        <f>SUM(K21:K23)</f>
        <v/>
      </c>
      <c r="L24" s="44">
        <f>SUM(L21:L23)</f>
        <v/>
      </c>
      <c r="M24" s="44">
        <f>SUM(M21:M23)</f>
        <v/>
      </c>
      <c r="N24" s="44">
        <f>SUM(N21:N23)</f>
        <v/>
      </c>
      <c r="O24" s="44">
        <f>SUM(O21:O23)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11" t="inlineStr">
        <is>
          <t>COST FORECAST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3" t="inlineStr">
        <is>
          <t>Granular cost build-up. COGS = materials (steel/copper/components/imported/other) + subcontracting. OpEx = employee + selling + admin + R&amp;D. EBITDA = revenue x target margin. Historical sub-components are not separately disclosed (shown at total level).</t>
        </is>
      </c>
    </row>
    <row r="4">
      <c r="A4" s="14" t="inlineStr">
        <is>
          <t>INR Crore</t>
        </is>
      </c>
      <c r="B4" s="15" t="inlineStr">
        <is>
          <t>FY2020</t>
        </is>
      </c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</t>
        </is>
      </c>
      <c r="I4" s="15" t="inlineStr">
        <is>
          <t>FY2027</t>
        </is>
      </c>
      <c r="J4" s="15" t="inlineStr">
        <is>
          <t>FY2028</t>
        </is>
      </c>
      <c r="K4" s="15" t="inlineStr">
        <is>
          <t>FY2029</t>
        </is>
      </c>
      <c r="L4" s="15" t="inlineStr">
        <is>
          <t>FY2030</t>
        </is>
      </c>
      <c r="M4" s="15" t="inlineStr">
        <is>
          <t>FY2031</t>
        </is>
      </c>
      <c r="N4" s="15" t="inlineStr">
        <is>
          <t>FY2032</t>
        </is>
      </c>
      <c r="O4" s="15" t="inlineStr">
        <is>
          <t>FY2033</t>
        </is>
      </c>
    </row>
    <row r="5">
      <c r="A5" s="11" t="inlineStr">
        <is>
          <t>A.  Cost of goods sold (COGS)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4" t="inlineStr">
        <is>
          <t>Revenue from operations</t>
        </is>
      </c>
      <c r="B6" s="43">
        <f>'Historical Financial Statements'!B5</f>
        <v/>
      </c>
      <c r="C6" s="43">
        <f>'Historical Financial Statements'!C5</f>
        <v/>
      </c>
      <c r="D6" s="43">
        <f>'Historical Financial Statements'!D5</f>
        <v/>
      </c>
      <c r="E6" s="43">
        <f>'Historical Financial Statements'!E5</f>
        <v/>
      </c>
      <c r="F6" s="43">
        <f>'Historical Financial Statements'!F5</f>
        <v/>
      </c>
      <c r="G6" s="43">
        <f>'Historical Financial Statements'!G5</f>
        <v/>
      </c>
      <c r="H6" s="43">
        <f>'Historical Financial Statements'!H5</f>
        <v/>
      </c>
      <c r="I6" s="33">
        <f>'Revenue Build-up'!I15</f>
        <v/>
      </c>
      <c r="J6" s="33">
        <f>'Revenue Build-up'!J15</f>
        <v/>
      </c>
      <c r="K6" s="33">
        <f>'Revenue Build-up'!K15</f>
        <v/>
      </c>
      <c r="L6" s="33">
        <f>'Revenue Build-up'!L15</f>
        <v/>
      </c>
      <c r="M6" s="33">
        <f>'Revenue Build-up'!M15</f>
        <v/>
      </c>
      <c r="N6" s="33">
        <f>'Revenue Build-up'!N15</f>
        <v/>
      </c>
      <c r="O6" s="33">
        <f>'Revenue Build-up'!O15</f>
        <v/>
      </c>
    </row>
    <row r="7">
      <c r="A7" s="5" t="inlineStr">
        <is>
          <t xml:space="preserve">   Steel</t>
        </is>
      </c>
      <c r="I7" s="33">
        <f>I6*'Assumptions'!I27</f>
        <v/>
      </c>
      <c r="J7" s="33">
        <f>J6*'Assumptions'!J27</f>
        <v/>
      </c>
      <c r="K7" s="33">
        <f>K6*'Assumptions'!K27</f>
        <v/>
      </c>
      <c r="L7" s="33">
        <f>L6*'Assumptions'!L27</f>
        <v/>
      </c>
      <c r="M7" s="33">
        <f>M6*'Assumptions'!M27</f>
        <v/>
      </c>
      <c r="N7" s="33">
        <f>N6*'Assumptions'!N27</f>
        <v/>
      </c>
      <c r="O7" s="33">
        <f>O6*'Assumptions'!O27</f>
        <v/>
      </c>
    </row>
    <row r="8">
      <c r="A8" s="5" t="inlineStr">
        <is>
          <t xml:space="preserve">   Copper</t>
        </is>
      </c>
      <c r="I8" s="33">
        <f>I6*'Assumptions'!I28</f>
        <v/>
      </c>
      <c r="J8" s="33">
        <f>J6*'Assumptions'!J28</f>
        <v/>
      </c>
      <c r="K8" s="33">
        <f>K6*'Assumptions'!K28</f>
        <v/>
      </c>
      <c r="L8" s="33">
        <f>L6*'Assumptions'!L28</f>
        <v/>
      </c>
      <c r="M8" s="33">
        <f>M6*'Assumptions'!M28</f>
        <v/>
      </c>
      <c r="N8" s="33">
        <f>N6*'Assumptions'!N28</f>
        <v/>
      </c>
      <c r="O8" s="33">
        <f>O6*'Assumptions'!O28</f>
        <v/>
      </c>
    </row>
    <row r="9">
      <c r="A9" s="5" t="inlineStr">
        <is>
          <t xml:space="preserve">   Electrical &amp; electronic components</t>
        </is>
      </c>
      <c r="I9" s="33">
        <f>I6*'Assumptions'!I29</f>
        <v/>
      </c>
      <c r="J9" s="33">
        <f>J6*'Assumptions'!J29</f>
        <v/>
      </c>
      <c r="K9" s="33">
        <f>K6*'Assumptions'!K29</f>
        <v/>
      </c>
      <c r="L9" s="33">
        <f>L6*'Assumptions'!L29</f>
        <v/>
      </c>
      <c r="M9" s="33">
        <f>M6*'Assumptions'!M29</f>
        <v/>
      </c>
      <c r="N9" s="33">
        <f>N6*'Assumptions'!N29</f>
        <v/>
      </c>
      <c r="O9" s="33">
        <f>O6*'Assumptions'!O29</f>
        <v/>
      </c>
    </row>
    <row r="10">
      <c r="A10" s="5" t="inlineStr">
        <is>
          <t xml:space="preserve">   Imported components</t>
        </is>
      </c>
      <c r="I10" s="33">
        <f>I6*'Assumptions'!I30</f>
        <v/>
      </c>
      <c r="J10" s="33">
        <f>J6*'Assumptions'!J30</f>
        <v/>
      </c>
      <c r="K10" s="33">
        <f>K6*'Assumptions'!K30</f>
        <v/>
      </c>
      <c r="L10" s="33">
        <f>L6*'Assumptions'!L30</f>
        <v/>
      </c>
      <c r="M10" s="33">
        <f>M6*'Assumptions'!M30</f>
        <v/>
      </c>
      <c r="N10" s="33">
        <f>N6*'Assumptions'!N30</f>
        <v/>
      </c>
      <c r="O10" s="33">
        <f>O6*'Assumptions'!O30</f>
        <v/>
      </c>
    </row>
    <row r="11">
      <c r="A11" s="5" t="inlineStr">
        <is>
          <t xml:space="preserve">   Other materials &amp; consumables</t>
        </is>
      </c>
      <c r="I11" s="33">
        <f>I6*(1-'Assumptions'!I15-'Assumptions'!I24-'Assumptions'!I25-'Assumptions'!I26-'Assumptions'!I27-'Assumptions'!I28-'Assumptions'!I29-'Assumptions'!I30)</f>
        <v/>
      </c>
      <c r="J11" s="33">
        <f>J6*(1-'Assumptions'!J15-'Assumptions'!J24-'Assumptions'!J25-'Assumptions'!J26-'Assumptions'!J27-'Assumptions'!J28-'Assumptions'!J29-'Assumptions'!J30)</f>
        <v/>
      </c>
      <c r="K11" s="33">
        <f>K6*(1-'Assumptions'!K15-'Assumptions'!K24-'Assumptions'!K25-'Assumptions'!K26-'Assumptions'!K27-'Assumptions'!K28-'Assumptions'!K29-'Assumptions'!K30)</f>
        <v/>
      </c>
      <c r="L11" s="33">
        <f>L6*(1-'Assumptions'!L15-'Assumptions'!L24-'Assumptions'!L25-'Assumptions'!L26-'Assumptions'!L27-'Assumptions'!L28-'Assumptions'!L29-'Assumptions'!L30)</f>
        <v/>
      </c>
      <c r="M11" s="33">
        <f>M6*(1-'Assumptions'!M15-'Assumptions'!M24-'Assumptions'!M25-'Assumptions'!M26-'Assumptions'!M27-'Assumptions'!M28-'Assumptions'!M29-'Assumptions'!M30)</f>
        <v/>
      </c>
      <c r="N11" s="33">
        <f>N6*(1-'Assumptions'!N15-'Assumptions'!N24-'Assumptions'!N25-'Assumptions'!N26-'Assumptions'!N27-'Assumptions'!N28-'Assumptions'!N29-'Assumptions'!N30)</f>
        <v/>
      </c>
      <c r="O11" s="33">
        <f>O6*(1-'Assumptions'!O15-'Assumptions'!O24-'Assumptions'!O25-'Assumptions'!O26-'Assumptions'!O27-'Assumptions'!O28-'Assumptions'!O29-'Assumptions'!O30)</f>
        <v/>
      </c>
    </row>
    <row r="12">
      <c r="A12" s="5" t="inlineStr">
        <is>
          <t xml:space="preserve">   Subcontracting &amp; erection</t>
        </is>
      </c>
      <c r="I12" s="33">
        <f>I6*'Assumptions'!I25</f>
        <v/>
      </c>
      <c r="J12" s="33">
        <f>J6*'Assumptions'!J25</f>
        <v/>
      </c>
      <c r="K12" s="33">
        <f>K6*'Assumptions'!K25</f>
        <v/>
      </c>
      <c r="L12" s="33">
        <f>L6*'Assumptions'!L25</f>
        <v/>
      </c>
      <c r="M12" s="33">
        <f>M6*'Assumptions'!M25</f>
        <v/>
      </c>
      <c r="N12" s="33">
        <f>N6*'Assumptions'!N25</f>
        <v/>
      </c>
      <c r="O12" s="33">
        <f>O6*'Assumptions'!O25</f>
        <v/>
      </c>
    </row>
    <row r="13">
      <c r="A13" s="4" t="inlineStr">
        <is>
          <t>Total COGS</t>
        </is>
      </c>
      <c r="B13" s="45">
        <f>'Historical Financial Statements'!B6</f>
        <v/>
      </c>
      <c r="C13" s="45">
        <f>'Historical Financial Statements'!C6</f>
        <v/>
      </c>
      <c r="D13" s="45">
        <f>'Historical Financial Statements'!D6</f>
        <v/>
      </c>
      <c r="E13" s="45">
        <f>'Historical Financial Statements'!E6</f>
        <v/>
      </c>
      <c r="F13" s="45">
        <f>'Historical Financial Statements'!F6</f>
        <v/>
      </c>
      <c r="G13" s="45">
        <f>'Historical Financial Statements'!G6</f>
        <v/>
      </c>
      <c r="H13" s="45">
        <f>'Historical Financial Statements'!H6</f>
        <v/>
      </c>
      <c r="I13" s="44">
        <f>SUM(I7:I12)</f>
        <v/>
      </c>
      <c r="J13" s="44">
        <f>SUM(J7:J12)</f>
        <v/>
      </c>
      <c r="K13" s="44">
        <f>SUM(K7:K12)</f>
        <v/>
      </c>
      <c r="L13" s="44">
        <f>SUM(L7:L12)</f>
        <v/>
      </c>
      <c r="M13" s="44">
        <f>SUM(M7:M12)</f>
        <v/>
      </c>
      <c r="N13" s="44">
        <f>SUM(N7:N12)</f>
        <v/>
      </c>
      <c r="O13" s="44">
        <f>SUM(O7:O12)</f>
        <v/>
      </c>
    </row>
    <row r="14">
      <c r="A14" s="4" t="inlineStr">
        <is>
          <t>Gross profit</t>
        </is>
      </c>
      <c r="B14" s="43">
        <f>'Historical Financial Statements'!B7</f>
        <v/>
      </c>
      <c r="C14" s="43">
        <f>'Historical Financial Statements'!C7</f>
        <v/>
      </c>
      <c r="D14" s="43">
        <f>'Historical Financial Statements'!D7</f>
        <v/>
      </c>
      <c r="E14" s="43">
        <f>'Historical Financial Statements'!E7</f>
        <v/>
      </c>
      <c r="F14" s="43">
        <f>'Historical Financial Statements'!F7</f>
        <v/>
      </c>
      <c r="G14" s="43">
        <f>'Historical Financial Statements'!G7</f>
        <v/>
      </c>
      <c r="H14" s="43">
        <f>'Historical Financial Statements'!H7</f>
        <v/>
      </c>
      <c r="I14" s="33">
        <f>I6-I13</f>
        <v/>
      </c>
      <c r="J14" s="33">
        <f>J6-J13</f>
        <v/>
      </c>
      <c r="K14" s="33">
        <f>K6-K13</f>
        <v/>
      </c>
      <c r="L14" s="33">
        <f>L6-L13</f>
        <v/>
      </c>
      <c r="M14" s="33">
        <f>M6-M13</f>
        <v/>
      </c>
      <c r="N14" s="33">
        <f>N6-N13</f>
        <v/>
      </c>
      <c r="O14" s="33">
        <f>O6-O13</f>
        <v/>
      </c>
    </row>
    <row r="15">
      <c r="A15" s="11" t="inlineStr">
        <is>
          <t>B.  Operating expenses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>
      <c r="A16" s="5" t="inlineStr">
        <is>
          <t xml:space="preserve">   Employee cost</t>
        </is>
      </c>
      <c r="B16" s="43">
        <f>'Historical Financial Statements'!B9</f>
        <v/>
      </c>
      <c r="C16" s="43">
        <f>'Historical Financial Statements'!C9</f>
        <v/>
      </c>
      <c r="D16" s="43">
        <f>'Historical Financial Statements'!D9</f>
        <v/>
      </c>
      <c r="E16" s="43">
        <f>'Historical Financial Statements'!E9</f>
        <v/>
      </c>
      <c r="F16" s="43">
        <f>'Historical Financial Statements'!F9</f>
        <v/>
      </c>
      <c r="G16" s="43">
        <f>'Historical Financial Statements'!G9</f>
        <v/>
      </c>
      <c r="H16" s="43">
        <f>'Historical Financial Statements'!H9</f>
        <v/>
      </c>
      <c r="I16" s="33">
        <f>I6*'Assumptions'!I24</f>
        <v/>
      </c>
      <c r="J16" s="33">
        <f>J6*'Assumptions'!J24</f>
        <v/>
      </c>
      <c r="K16" s="33">
        <f>K6*'Assumptions'!K24</f>
        <v/>
      </c>
      <c r="L16" s="33">
        <f>L6*'Assumptions'!L24</f>
        <v/>
      </c>
      <c r="M16" s="33">
        <f>M6*'Assumptions'!M24</f>
        <v/>
      </c>
      <c r="N16" s="33">
        <f>N6*'Assumptions'!N24</f>
        <v/>
      </c>
      <c r="O16" s="33">
        <f>O6*'Assumptions'!O24</f>
        <v/>
      </c>
    </row>
    <row r="17">
      <c r="A17" s="5" t="inlineStr">
        <is>
          <t xml:space="preserve">   Selling &amp; distribution</t>
        </is>
      </c>
      <c r="I17" s="33">
        <f>I6*'Assumptions'!I31</f>
        <v/>
      </c>
      <c r="J17" s="33">
        <f>J6*'Assumptions'!J31</f>
        <v/>
      </c>
      <c r="K17" s="33">
        <f>K6*'Assumptions'!K31</f>
        <v/>
      </c>
      <c r="L17" s="33">
        <f>L6*'Assumptions'!L31</f>
        <v/>
      </c>
      <c r="M17" s="33">
        <f>M6*'Assumptions'!M31</f>
        <v/>
      </c>
      <c r="N17" s="33">
        <f>N6*'Assumptions'!N31</f>
        <v/>
      </c>
      <c r="O17" s="33">
        <f>O6*'Assumptions'!O31</f>
        <v/>
      </c>
    </row>
    <row r="18">
      <c r="A18" s="5" t="inlineStr">
        <is>
          <t xml:space="preserve">   Administrative expenses</t>
        </is>
      </c>
      <c r="I18" s="33">
        <f>I6*('Assumptions'!I26-'Assumptions'!I31-'Assumptions'!I32)</f>
        <v/>
      </c>
      <c r="J18" s="33">
        <f>J6*('Assumptions'!J26-'Assumptions'!J31-'Assumptions'!J32)</f>
        <v/>
      </c>
      <c r="K18" s="33">
        <f>K6*('Assumptions'!K26-'Assumptions'!K31-'Assumptions'!K32)</f>
        <v/>
      </c>
      <c r="L18" s="33">
        <f>L6*('Assumptions'!L26-'Assumptions'!L31-'Assumptions'!L32)</f>
        <v/>
      </c>
      <c r="M18" s="33">
        <f>M6*('Assumptions'!M26-'Assumptions'!M31-'Assumptions'!M32)</f>
        <v/>
      </c>
      <c r="N18" s="33">
        <f>N6*('Assumptions'!N26-'Assumptions'!N31-'Assumptions'!N32)</f>
        <v/>
      </c>
      <c r="O18" s="33">
        <f>O6*('Assumptions'!O26-'Assumptions'!O31-'Assumptions'!O32)</f>
        <v/>
      </c>
    </row>
    <row r="19">
      <c r="A19" s="5" t="inlineStr">
        <is>
          <t xml:space="preserve">   Research &amp; development</t>
        </is>
      </c>
      <c r="I19" s="33">
        <f>I6*'Assumptions'!I32</f>
        <v/>
      </c>
      <c r="J19" s="33">
        <f>J6*'Assumptions'!J32</f>
        <v/>
      </c>
      <c r="K19" s="33">
        <f>K6*'Assumptions'!K32</f>
        <v/>
      </c>
      <c r="L19" s="33">
        <f>L6*'Assumptions'!L32</f>
        <v/>
      </c>
      <c r="M19" s="33">
        <f>M6*'Assumptions'!M32</f>
        <v/>
      </c>
      <c r="N19" s="33">
        <f>N6*'Assumptions'!N32</f>
        <v/>
      </c>
      <c r="O19" s="33">
        <f>O6*'Assumptions'!O32</f>
        <v/>
      </c>
    </row>
    <row r="20">
      <c r="A20" s="4" t="inlineStr">
        <is>
          <t>Selling, admin &amp; R&amp;D</t>
        </is>
      </c>
      <c r="B20" s="43">
        <f>'Historical Financial Statements'!B10</f>
        <v/>
      </c>
      <c r="C20" s="43">
        <f>'Historical Financial Statements'!C10</f>
        <v/>
      </c>
      <c r="D20" s="43">
        <f>'Historical Financial Statements'!D10</f>
        <v/>
      </c>
      <c r="E20" s="43">
        <f>'Historical Financial Statements'!E10</f>
        <v/>
      </c>
      <c r="F20" s="43">
        <f>'Historical Financial Statements'!F10</f>
        <v/>
      </c>
      <c r="G20" s="43">
        <f>'Historical Financial Statements'!G10</f>
        <v/>
      </c>
      <c r="H20" s="43">
        <f>'Historical Financial Statements'!H10</f>
        <v/>
      </c>
      <c r="I20" s="33">
        <f>SUM(I17:I19)</f>
        <v/>
      </c>
      <c r="J20" s="33">
        <f>SUM(J17:J19)</f>
        <v/>
      </c>
      <c r="K20" s="33">
        <f>SUM(K17:K19)</f>
        <v/>
      </c>
      <c r="L20" s="33">
        <f>SUM(L17:L19)</f>
        <v/>
      </c>
      <c r="M20" s="33">
        <f>SUM(M17:M19)</f>
        <v/>
      </c>
      <c r="N20" s="33">
        <f>SUM(N17:N19)</f>
        <v/>
      </c>
      <c r="O20" s="33">
        <f>SUM(O17:O19)</f>
        <v/>
      </c>
    </row>
    <row r="21">
      <c r="A21" s="4" t="inlineStr">
        <is>
          <t>Total operating expenses</t>
        </is>
      </c>
      <c r="B21" s="45">
        <f>'Historical Financial Statements'!B11</f>
        <v/>
      </c>
      <c r="C21" s="45">
        <f>'Historical Financial Statements'!C11</f>
        <v/>
      </c>
      <c r="D21" s="45">
        <f>'Historical Financial Statements'!D11</f>
        <v/>
      </c>
      <c r="E21" s="45">
        <f>'Historical Financial Statements'!E11</f>
        <v/>
      </c>
      <c r="F21" s="45">
        <f>'Historical Financial Statements'!F11</f>
        <v/>
      </c>
      <c r="G21" s="45">
        <f>'Historical Financial Statements'!G11</f>
        <v/>
      </c>
      <c r="H21" s="45">
        <f>'Historical Financial Statements'!H11</f>
        <v/>
      </c>
      <c r="I21" s="44">
        <f>I16+I20</f>
        <v/>
      </c>
      <c r="J21" s="44">
        <f>J16+J20</f>
        <v/>
      </c>
      <c r="K21" s="44">
        <f>K16+K20</f>
        <v/>
      </c>
      <c r="L21" s="44">
        <f>L16+L20</f>
        <v/>
      </c>
      <c r="M21" s="44">
        <f>M16+M20</f>
        <v/>
      </c>
      <c r="N21" s="44">
        <f>N16+N20</f>
        <v/>
      </c>
      <c r="O21" s="44">
        <f>O16+O20</f>
        <v/>
      </c>
    </row>
    <row r="22">
      <c r="A22" s="4" t="inlineStr">
        <is>
          <t>EBITDA</t>
        </is>
      </c>
      <c r="B22" s="45">
        <f>'Historical Financial Statements'!B12</f>
        <v/>
      </c>
      <c r="C22" s="45">
        <f>'Historical Financial Statements'!C12</f>
        <v/>
      </c>
      <c r="D22" s="45">
        <f>'Historical Financial Statements'!D12</f>
        <v/>
      </c>
      <c r="E22" s="45">
        <f>'Historical Financial Statements'!E12</f>
        <v/>
      </c>
      <c r="F22" s="45">
        <f>'Historical Financial Statements'!F12</f>
        <v/>
      </c>
      <c r="G22" s="45">
        <f>'Historical Financial Statements'!G12</f>
        <v/>
      </c>
      <c r="H22" s="45">
        <f>'Historical Financial Statements'!H12</f>
        <v/>
      </c>
      <c r="I22" s="44">
        <f>I14-I21</f>
        <v/>
      </c>
      <c r="J22" s="44">
        <f>J14-J21</f>
        <v/>
      </c>
      <c r="K22" s="44">
        <f>K14-K21</f>
        <v/>
      </c>
      <c r="L22" s="44">
        <f>L14-L21</f>
        <v/>
      </c>
      <c r="M22" s="44">
        <f>M14-M21</f>
        <v/>
      </c>
      <c r="N22" s="44">
        <f>N14-N21</f>
        <v/>
      </c>
      <c r="O22" s="44">
        <f>O14-O21</f>
        <v/>
      </c>
    </row>
    <row r="23">
      <c r="A23" s="5" t="inlineStr">
        <is>
          <t>EBITDA margin %</t>
        </is>
      </c>
      <c r="B23" s="40">
        <f>B22/B6</f>
        <v/>
      </c>
      <c r="C23" s="40">
        <f>C22/C6</f>
        <v/>
      </c>
      <c r="D23" s="40">
        <f>D22/D6</f>
        <v/>
      </c>
      <c r="E23" s="40">
        <f>E22/E6</f>
        <v/>
      </c>
      <c r="F23" s="40">
        <f>F22/F6</f>
        <v/>
      </c>
      <c r="G23" s="40">
        <f>G22/G6</f>
        <v/>
      </c>
      <c r="H23" s="40">
        <f>H22/H6</f>
        <v/>
      </c>
      <c r="I23" s="40">
        <f>I22/I6</f>
        <v/>
      </c>
      <c r="J23" s="40">
        <f>J22/J6</f>
        <v/>
      </c>
      <c r="K23" s="40">
        <f>K22/K6</f>
        <v/>
      </c>
      <c r="L23" s="40">
        <f>L22/L6</f>
        <v/>
      </c>
      <c r="M23" s="40">
        <f>M22/M6</f>
        <v/>
      </c>
      <c r="N23" s="40">
        <f>N22/N6</f>
        <v/>
      </c>
      <c r="O23" s="40">
        <f>O22/O6</f>
        <v/>
      </c>
    </row>
    <row r="24">
      <c r="A24" s="5" t="inlineStr">
        <is>
          <t>Memo: total operating cost (COGS+OpEx)</t>
        </is>
      </c>
      <c r="B24" s="43">
        <f>'Historical Financial Statements'!B23</f>
        <v/>
      </c>
      <c r="C24" s="43">
        <f>'Historical Financial Statements'!C23</f>
        <v/>
      </c>
      <c r="D24" s="43">
        <f>'Historical Financial Statements'!D23</f>
        <v/>
      </c>
      <c r="E24" s="43">
        <f>'Historical Financial Statements'!E23</f>
        <v/>
      </c>
      <c r="F24" s="43">
        <f>'Historical Financial Statements'!F23</f>
        <v/>
      </c>
      <c r="G24" s="43">
        <f>'Historical Financial Statements'!G23</f>
        <v/>
      </c>
      <c r="H24" s="43">
        <f>'Historical Financial Statements'!H23</f>
        <v/>
      </c>
      <c r="I24" s="33">
        <f>I13+I21</f>
        <v/>
      </c>
      <c r="J24" s="33">
        <f>J13+J21</f>
        <v/>
      </c>
      <c r="K24" s="33">
        <f>K13+K21</f>
        <v/>
      </c>
      <c r="L24" s="33">
        <f>L13+L21</f>
        <v/>
      </c>
      <c r="M24" s="33">
        <f>M13+M21</f>
        <v/>
      </c>
      <c r="N24" s="33">
        <f>N13+N21</f>
        <v/>
      </c>
      <c r="O24" s="33">
        <f>O13+O21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11" t="inlineStr">
        <is>
          <t>WORKING CAPITAL SCHEDULE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3" t="inlineStr">
        <is>
          <t>Granular operating working capital (current &amp; non-current). FY26 = audited seed; FY27-33 driven by Assumptions.</t>
        </is>
      </c>
    </row>
    <row r="4">
      <c r="A4" s="14" t="inlineStr">
        <is>
          <t>INR Crore</t>
        </is>
      </c>
      <c r="B4" s="15" t="inlineStr">
        <is>
          <t>FY2020</t>
        </is>
      </c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</t>
        </is>
      </c>
      <c r="I4" s="15" t="inlineStr">
        <is>
          <t>FY2027</t>
        </is>
      </c>
      <c r="J4" s="15" t="inlineStr">
        <is>
          <t>FY2028</t>
        </is>
      </c>
      <c r="K4" s="15" t="inlineStr">
        <is>
          <t>FY2029</t>
        </is>
      </c>
      <c r="L4" s="15" t="inlineStr">
        <is>
          <t>FY2030</t>
        </is>
      </c>
      <c r="M4" s="15" t="inlineStr">
        <is>
          <t>FY2031</t>
        </is>
      </c>
      <c r="N4" s="15" t="inlineStr">
        <is>
          <t>FY2032</t>
        </is>
      </c>
      <c r="O4" s="15" t="inlineStr">
        <is>
          <t>FY2033</t>
        </is>
      </c>
    </row>
    <row r="5">
      <c r="A5" s="79" t="inlineStr">
        <is>
          <t>Operating working capital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5" t="inlineStr">
        <is>
          <t>Revenue from operations</t>
        </is>
      </c>
      <c r="B6" s="43" t="n"/>
      <c r="C6" s="43" t="n"/>
      <c r="D6" s="43" t="n"/>
      <c r="E6" s="43" t="n"/>
      <c r="F6" s="43" t="n"/>
      <c r="G6" s="43" t="n"/>
      <c r="H6" s="43" t="n"/>
      <c r="I6" s="43">
        <f>'Cost Forecast'!I6</f>
        <v/>
      </c>
      <c r="J6" s="43">
        <f>'Cost Forecast'!J6</f>
        <v/>
      </c>
      <c r="K6" s="43">
        <f>'Cost Forecast'!K6</f>
        <v/>
      </c>
      <c r="L6" s="43">
        <f>'Cost Forecast'!L6</f>
        <v/>
      </c>
      <c r="M6" s="43">
        <f>'Cost Forecast'!M6</f>
        <v/>
      </c>
      <c r="N6" s="43">
        <f>'Cost Forecast'!N6</f>
        <v/>
      </c>
      <c r="O6" s="43">
        <f>'Cost Forecast'!O6</f>
        <v/>
      </c>
    </row>
    <row r="7">
      <c r="A7" s="5" t="inlineStr">
        <is>
          <t>Cost of sales (total operating cost)</t>
        </is>
      </c>
      <c r="B7" s="43" t="n"/>
      <c r="C7" s="43" t="n"/>
      <c r="D7" s="43" t="n"/>
      <c r="E7" s="43" t="n"/>
      <c r="F7" s="43" t="n"/>
      <c r="G7" s="43" t="n"/>
      <c r="H7" s="43" t="n"/>
      <c r="I7" s="43">
        <f>'Cost Forecast'!I24</f>
        <v/>
      </c>
      <c r="J7" s="43">
        <f>'Cost Forecast'!J24</f>
        <v/>
      </c>
      <c r="K7" s="43">
        <f>'Cost Forecast'!K24</f>
        <v/>
      </c>
      <c r="L7" s="43">
        <f>'Cost Forecast'!L24</f>
        <v/>
      </c>
      <c r="M7" s="43">
        <f>'Cost Forecast'!M24</f>
        <v/>
      </c>
      <c r="N7" s="43">
        <f>'Cost Forecast'!N24</f>
        <v/>
      </c>
      <c r="O7" s="43">
        <f>'Cost Forecast'!O24</f>
        <v/>
      </c>
    </row>
    <row r="8">
      <c r="A8" s="5" t="inlineStr">
        <is>
          <t xml:space="preserve">   Trade receivables - current</t>
        </is>
      </c>
      <c r="H8" s="46" t="n">
        <v>6796.27</v>
      </c>
      <c r="I8" s="43">
        <f>'Assumptions'!I72*I6</f>
        <v/>
      </c>
      <c r="J8" s="43">
        <f>'Assumptions'!J72*J6</f>
        <v/>
      </c>
      <c r="K8" s="43">
        <f>'Assumptions'!K72*K6</f>
        <v/>
      </c>
      <c r="L8" s="43">
        <f>'Assumptions'!L72*L6</f>
        <v/>
      </c>
      <c r="M8" s="43">
        <f>'Assumptions'!M72*M6</f>
        <v/>
      </c>
      <c r="N8" s="43">
        <f>'Assumptions'!N72*N6</f>
        <v/>
      </c>
      <c r="O8" s="43">
        <f>'Assumptions'!O72*O6</f>
        <v/>
      </c>
    </row>
    <row r="9">
      <c r="A9" s="5" t="inlineStr">
        <is>
          <t xml:space="preserve">   Trade receivables - non-current</t>
        </is>
      </c>
      <c r="H9" s="46" t="n">
        <v>2426.93</v>
      </c>
      <c r="I9" s="43">
        <f>'Assumptions'!I73*I6</f>
        <v/>
      </c>
      <c r="J9" s="43">
        <f>'Assumptions'!J73*J6</f>
        <v/>
      </c>
      <c r="K9" s="43">
        <f>'Assumptions'!K73*K6</f>
        <v/>
      </c>
      <c r="L9" s="43">
        <f>'Assumptions'!L73*L6</f>
        <v/>
      </c>
      <c r="M9" s="43">
        <f>'Assumptions'!M73*M6</f>
        <v/>
      </c>
      <c r="N9" s="43">
        <f>'Assumptions'!N73*N6</f>
        <v/>
      </c>
      <c r="O9" s="43">
        <f>'Assumptions'!O73*O6</f>
        <v/>
      </c>
    </row>
    <row r="10">
      <c r="A10" s="5" t="inlineStr">
        <is>
          <t xml:space="preserve">   Inventories</t>
        </is>
      </c>
      <c r="H10" s="46" t="n">
        <v>13334.58</v>
      </c>
      <c r="I10" s="43">
        <f>'Assumptions'!I74*I6</f>
        <v/>
      </c>
      <c r="J10" s="43">
        <f>'Assumptions'!J74*J6</f>
        <v/>
      </c>
      <c r="K10" s="43">
        <f>'Assumptions'!K74*K6</f>
        <v/>
      </c>
      <c r="L10" s="43">
        <f>'Assumptions'!L74*L6</f>
        <v/>
      </c>
      <c r="M10" s="43">
        <f>'Assumptions'!M74*M6</f>
        <v/>
      </c>
      <c r="N10" s="43">
        <f>'Assumptions'!N74*N6</f>
        <v/>
      </c>
      <c r="O10" s="43">
        <f>'Assumptions'!O74*O6</f>
        <v/>
      </c>
    </row>
    <row r="11">
      <c r="A11" s="5" t="inlineStr">
        <is>
          <t xml:space="preserve">   Contract assets - current</t>
        </is>
      </c>
      <c r="H11" s="46" t="n">
        <v>15192.89</v>
      </c>
      <c r="I11" s="43">
        <f>'Assumptions'!I75*I6</f>
        <v/>
      </c>
      <c r="J11" s="43">
        <f>'Assumptions'!J75*J6</f>
        <v/>
      </c>
      <c r="K11" s="43">
        <f>'Assumptions'!K75*K6</f>
        <v/>
      </c>
      <c r="L11" s="43">
        <f>'Assumptions'!L75*L6</f>
        <v/>
      </c>
      <c r="M11" s="43">
        <f>'Assumptions'!M75*M6</f>
        <v/>
      </c>
      <c r="N11" s="43">
        <f>'Assumptions'!N75*N6</f>
        <v/>
      </c>
      <c r="O11" s="43">
        <f>'Assumptions'!O75*O6</f>
        <v/>
      </c>
    </row>
    <row r="12">
      <c r="A12" s="5" t="inlineStr">
        <is>
          <t xml:space="preserve">   Contract assets - non-current</t>
        </is>
      </c>
      <c r="H12" s="47" t="n">
        <v>14196.72</v>
      </c>
      <c r="I12" s="45">
        <f>'Assumptions'!I76*I6</f>
        <v/>
      </c>
      <c r="J12" s="45">
        <f>'Assumptions'!J76*J6</f>
        <v/>
      </c>
      <c r="K12" s="45">
        <f>'Assumptions'!K76*K6</f>
        <v/>
      </c>
      <c r="L12" s="45">
        <f>'Assumptions'!L76*L6</f>
        <v/>
      </c>
      <c r="M12" s="45">
        <f>'Assumptions'!M76*M6</f>
        <v/>
      </c>
      <c r="N12" s="45">
        <f>'Assumptions'!N76*N6</f>
        <v/>
      </c>
      <c r="O12" s="45">
        <f>'Assumptions'!O76*O6</f>
        <v/>
      </c>
    </row>
    <row r="13">
      <c r="A13" s="5" t="inlineStr">
        <is>
          <t xml:space="preserve">   Deferred tax assets</t>
        </is>
      </c>
      <c r="H13" s="46" t="n">
        <v>3532.8</v>
      </c>
      <c r="I13" s="30">
        <f>H13</f>
        <v/>
      </c>
      <c r="J13" s="30">
        <f>I13</f>
        <v/>
      </c>
      <c r="K13" s="30">
        <f>J13</f>
        <v/>
      </c>
      <c r="L13" s="30">
        <f>K13</f>
        <v/>
      </c>
      <c r="M13" s="30">
        <f>L13</f>
        <v/>
      </c>
      <c r="N13" s="30">
        <f>M13</f>
        <v/>
      </c>
      <c r="O13" s="30">
        <f>N13</f>
        <v/>
      </c>
    </row>
    <row r="14">
      <c r="A14" s="5" t="inlineStr">
        <is>
          <t xml:space="preserve">   Other current assets (residual)</t>
        </is>
      </c>
      <c r="H14" s="46" t="n">
        <v>4264.99</v>
      </c>
      <c r="I14" s="43">
        <f>'Assumptions'!I78*I6</f>
        <v/>
      </c>
      <c r="J14" s="43">
        <f>'Assumptions'!J78*J6</f>
        <v/>
      </c>
      <c r="K14" s="43">
        <f>'Assumptions'!K78*K6</f>
        <v/>
      </c>
      <c r="L14" s="43">
        <f>'Assumptions'!L78*L6</f>
        <v/>
      </c>
      <c r="M14" s="43">
        <f>'Assumptions'!M78*M6</f>
        <v/>
      </c>
      <c r="N14" s="43">
        <f>'Assumptions'!N78*N6</f>
        <v/>
      </c>
      <c r="O14" s="43">
        <f>'Assumptions'!O78*O6</f>
        <v/>
      </c>
    </row>
    <row r="15">
      <c r="A15" s="5" t="inlineStr">
        <is>
          <t xml:space="preserve">   Other non-current assets (residual)</t>
        </is>
      </c>
      <c r="H15" s="46" t="n">
        <v>778.17</v>
      </c>
      <c r="I15" s="43">
        <f>H15*(1+'Assumptions'!I79)</f>
        <v/>
      </c>
      <c r="J15" s="43">
        <f>I15*(1+'Assumptions'!J79)</f>
        <v/>
      </c>
      <c r="K15" s="43">
        <f>J15*(1+'Assumptions'!K79)</f>
        <v/>
      </c>
      <c r="L15" s="43">
        <f>K15*(1+'Assumptions'!L79)</f>
        <v/>
      </c>
      <c r="M15" s="43">
        <f>L15*(1+'Assumptions'!M79)</f>
        <v/>
      </c>
      <c r="N15" s="43">
        <f>M15*(1+'Assumptions'!N79)</f>
        <v/>
      </c>
      <c r="O15" s="43">
        <f>N15*(1+'Assumptions'!O79)</f>
        <v/>
      </c>
    </row>
    <row r="16">
      <c r="A16" s="76" t="inlineStr">
        <is>
          <t>Total operating assets</t>
        </is>
      </c>
      <c r="H16" s="80">
        <f>SUM(H8:H15)</f>
        <v/>
      </c>
      <c r="I16" s="80">
        <f>SUM(I8:I15)</f>
        <v/>
      </c>
      <c r="J16" s="80">
        <f>SUM(J8:J15)</f>
        <v/>
      </c>
      <c r="K16" s="80">
        <f>SUM(K8:K15)</f>
        <v/>
      </c>
      <c r="L16" s="80">
        <f>SUM(L8:L15)</f>
        <v/>
      </c>
      <c r="M16" s="80">
        <f>SUM(M8:M15)</f>
        <v/>
      </c>
      <c r="N16" s="80">
        <f>SUM(N8:N15)</f>
        <v/>
      </c>
      <c r="O16" s="80">
        <f>SUM(O8:O15)</f>
        <v/>
      </c>
    </row>
    <row r="17">
      <c r="A17" s="5" t="inlineStr">
        <is>
          <t xml:space="preserve">   Trade payables - current</t>
        </is>
      </c>
      <c r="H17" s="81" t="n">
        <v>10491.6</v>
      </c>
      <c r="I17" s="82">
        <f>'Assumptions'!I80*I6</f>
        <v/>
      </c>
      <c r="J17" s="82">
        <f>'Assumptions'!J80*J6</f>
        <v/>
      </c>
      <c r="K17" s="82">
        <f>'Assumptions'!K80*K6</f>
        <v/>
      </c>
      <c r="L17" s="82">
        <f>'Assumptions'!L80*L6</f>
        <v/>
      </c>
      <c r="M17" s="82">
        <f>'Assumptions'!M80*M6</f>
        <v/>
      </c>
      <c r="N17" s="82">
        <f>'Assumptions'!N80*N6</f>
        <v/>
      </c>
      <c r="O17" s="82">
        <f>'Assumptions'!O80*O6</f>
        <v/>
      </c>
    </row>
    <row r="18">
      <c r="A18" s="5" t="inlineStr">
        <is>
          <t xml:space="preserve">   Trade payables - non-current</t>
        </is>
      </c>
      <c r="H18" s="83" t="n">
        <v>1343.44</v>
      </c>
      <c r="I18" s="30">
        <f>H18</f>
        <v/>
      </c>
      <c r="J18" s="30">
        <f>I18</f>
        <v/>
      </c>
      <c r="K18" s="30">
        <f>J18</f>
        <v/>
      </c>
      <c r="L18" s="30">
        <f>K18</f>
        <v/>
      </c>
      <c r="M18" s="30">
        <f>L18</f>
        <v/>
      </c>
      <c r="N18" s="30">
        <f>M18</f>
        <v/>
      </c>
      <c r="O18" s="30">
        <f>N18</f>
        <v/>
      </c>
    </row>
    <row r="19">
      <c r="A19" s="5" t="inlineStr">
        <is>
          <t xml:space="preserve">   Contract liabilities - current</t>
        </is>
      </c>
      <c r="H19" s="46" t="n">
        <v>9110.389999999999</v>
      </c>
      <c r="I19" s="43">
        <f>'Assumptions'!I82*I6</f>
        <v/>
      </c>
      <c r="J19" s="43">
        <f>'Assumptions'!J82*J6</f>
        <v/>
      </c>
      <c r="K19" s="43">
        <f>'Assumptions'!K82*K6</f>
        <v/>
      </c>
      <c r="L19" s="43">
        <f>'Assumptions'!L82*L6</f>
        <v/>
      </c>
      <c r="M19" s="43">
        <f>'Assumptions'!M82*M6</f>
        <v/>
      </c>
      <c r="N19" s="43">
        <f>'Assumptions'!N82*N6</f>
        <v/>
      </c>
      <c r="O19" s="43">
        <f>'Assumptions'!O82*O6</f>
        <v/>
      </c>
    </row>
    <row r="20">
      <c r="A20" s="5" t="inlineStr">
        <is>
          <t xml:space="preserve">   Contract liabilities - non-current</t>
        </is>
      </c>
      <c r="H20" s="83" t="n">
        <v>13413.24</v>
      </c>
      <c r="I20" s="43">
        <f>'Assumptions'!I83*I6</f>
        <v/>
      </c>
      <c r="J20" s="43">
        <f>'Assumptions'!J83*J6</f>
        <v/>
      </c>
      <c r="K20" s="43">
        <f>'Assumptions'!K83*K6</f>
        <v/>
      </c>
      <c r="L20" s="43">
        <f>'Assumptions'!L83*L6</f>
        <v/>
      </c>
      <c r="M20" s="43">
        <f>'Assumptions'!M83*M6</f>
        <v/>
      </c>
      <c r="N20" s="43">
        <f>'Assumptions'!N83*N6</f>
        <v/>
      </c>
      <c r="O20" s="43">
        <f>'Assumptions'!O83*O6</f>
        <v/>
      </c>
    </row>
    <row r="21">
      <c r="A21" s="84" t="inlineStr">
        <is>
          <t xml:space="preserve">   Provisions - current</t>
        </is>
      </c>
      <c r="B21" s="1" t="n"/>
      <c r="C21" s="1" t="n"/>
      <c r="D21" s="1" t="n"/>
      <c r="E21" s="1" t="n"/>
      <c r="F21" s="1" t="n"/>
      <c r="G21" s="1" t="n"/>
      <c r="H21" s="85" t="n">
        <v>1918.91</v>
      </c>
      <c r="I21" s="86">
        <f>'Assumptions'!I84*I6</f>
        <v/>
      </c>
      <c r="J21" s="86">
        <f>'Assumptions'!J84*J6</f>
        <v/>
      </c>
      <c r="K21" s="86">
        <f>'Assumptions'!K84*K6</f>
        <v/>
      </c>
      <c r="L21" s="86">
        <f>'Assumptions'!L84*L6</f>
        <v/>
      </c>
      <c r="M21" s="86">
        <f>'Assumptions'!M84*M6</f>
        <v/>
      </c>
      <c r="N21" s="86">
        <f>'Assumptions'!N84*N6</f>
        <v/>
      </c>
      <c r="O21" s="86">
        <f>'Assumptions'!O84*O6</f>
        <v/>
      </c>
    </row>
    <row r="22">
      <c r="A22" s="5" t="inlineStr">
        <is>
          <t xml:space="preserve">   Long-term provisions</t>
        </is>
      </c>
      <c r="H22" s="83" t="n">
        <v>2354.62</v>
      </c>
      <c r="I22" s="43">
        <f>H22*(1+'Assumptions'!I85)</f>
        <v/>
      </c>
      <c r="J22" s="43">
        <f>I22*(1+'Assumptions'!J85)</f>
        <v/>
      </c>
      <c r="K22" s="43">
        <f>J22*(1+'Assumptions'!K85)</f>
        <v/>
      </c>
      <c r="L22" s="43">
        <f>K22*(1+'Assumptions'!L85)</f>
        <v/>
      </c>
      <c r="M22" s="43">
        <f>L22*(1+'Assumptions'!M85)</f>
        <v/>
      </c>
      <c r="N22" s="43">
        <f>M22*(1+'Assumptions'!N85)</f>
        <v/>
      </c>
      <c r="O22" s="43">
        <f>N22*(1+'Assumptions'!O85)</f>
        <v/>
      </c>
    </row>
    <row r="23">
      <c r="A23" s="5" t="inlineStr">
        <is>
          <t xml:space="preserve">   Other current liabilities (residual)</t>
        </is>
      </c>
      <c r="H23" s="83" t="n">
        <v>2762.51</v>
      </c>
      <c r="I23" s="43">
        <f>'Assumptions'!I86*I6</f>
        <v/>
      </c>
      <c r="J23" s="43">
        <f>'Assumptions'!J86*J6</f>
        <v/>
      </c>
      <c r="K23" s="43">
        <f>'Assumptions'!K86*K6</f>
        <v/>
      </c>
      <c r="L23" s="43">
        <f>'Assumptions'!L86*L6</f>
        <v/>
      </c>
      <c r="M23" s="43">
        <f>'Assumptions'!M86*M6</f>
        <v/>
      </c>
      <c r="N23" s="43">
        <f>'Assumptions'!N86*N6</f>
        <v/>
      </c>
      <c r="O23" s="43">
        <f>'Assumptions'!O86*O6</f>
        <v/>
      </c>
    </row>
    <row r="24">
      <c r="A24" s="5" t="inlineStr">
        <is>
          <t xml:space="preserve">   Other non-current liabilities (residual)</t>
        </is>
      </c>
      <c r="H24" s="83" t="n">
        <v>457.35</v>
      </c>
      <c r="I24" s="43">
        <f>H24*(1+'Assumptions'!I87)</f>
        <v/>
      </c>
      <c r="J24" s="43">
        <f>I24*(1+'Assumptions'!J87)</f>
        <v/>
      </c>
      <c r="K24" s="43">
        <f>J24*(1+'Assumptions'!K87)</f>
        <v/>
      </c>
      <c r="L24" s="43">
        <f>K24*(1+'Assumptions'!L87)</f>
        <v/>
      </c>
      <c r="M24" s="43">
        <f>L24*(1+'Assumptions'!M87)</f>
        <v/>
      </c>
      <c r="N24" s="43">
        <f>M24*(1+'Assumptions'!N87)</f>
        <v/>
      </c>
      <c r="O24" s="43">
        <f>N24*(1+'Assumptions'!O87)</f>
        <v/>
      </c>
    </row>
    <row r="25">
      <c r="A25" s="76" t="inlineStr">
        <is>
          <t>Total operating liabilities</t>
        </is>
      </c>
      <c r="H25" s="87">
        <f>SUM(H17:H24)</f>
        <v/>
      </c>
      <c r="I25" s="88">
        <f>SUM(I17:I24)</f>
        <v/>
      </c>
      <c r="J25" s="88">
        <f>SUM(J17:J24)</f>
        <v/>
      </c>
      <c r="K25" s="88">
        <f>SUM(K17:K24)</f>
        <v/>
      </c>
      <c r="L25" s="88">
        <f>SUM(L17:L24)</f>
        <v/>
      </c>
      <c r="M25" s="88">
        <f>SUM(M17:M24)</f>
        <v/>
      </c>
      <c r="N25" s="88">
        <f>SUM(N17:N24)</f>
        <v/>
      </c>
      <c r="O25" s="88">
        <f>SUM(O17:O24)</f>
        <v/>
      </c>
    </row>
    <row r="26">
      <c r="A26" s="76" t="inlineStr">
        <is>
          <t>Net working capital</t>
        </is>
      </c>
      <c r="H26" s="87">
        <f>H16-H25</f>
        <v/>
      </c>
      <c r="I26" s="88">
        <f>I16-I25</f>
        <v/>
      </c>
      <c r="J26" s="88">
        <f>J16-J25</f>
        <v/>
      </c>
      <c r="K26" s="88">
        <f>K16-K25</f>
        <v/>
      </c>
      <c r="L26" s="88">
        <f>L16-L25</f>
        <v/>
      </c>
      <c r="M26" s="88">
        <f>M16-M25</f>
        <v/>
      </c>
      <c r="N26" s="88">
        <f>N16-N25</f>
        <v/>
      </c>
      <c r="O26" s="88">
        <f>O16-O25</f>
        <v/>
      </c>
    </row>
    <row r="27">
      <c r="A27" t="inlineStr">
        <is>
          <t>(Increase)/decrease in NWC</t>
        </is>
      </c>
      <c r="I27" s="89">
        <f>-(I26-H26)</f>
        <v/>
      </c>
      <c r="J27" s="89">
        <f>-(J26-I26)</f>
        <v/>
      </c>
      <c r="K27" s="89">
        <f>-(K26-J26)</f>
        <v/>
      </c>
      <c r="L27" s="89">
        <f>-(L26-K26)</f>
        <v/>
      </c>
      <c r="M27" s="89">
        <f>-(M26-L26)</f>
        <v/>
      </c>
      <c r="N27" s="89">
        <f>-(N26-M26)</f>
        <v/>
      </c>
      <c r="O27" s="89">
        <f>-(O26-N26)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11" t="inlineStr">
        <is>
          <t>FIXED ASSET SCHEDULE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3" t="inlineStr">
        <is>
          <t>Net-block roll-forward. Opening FY27 = reported FY26 net PPE. Depreciation = rate x opening net block.</t>
        </is>
      </c>
    </row>
    <row r="4">
      <c r="A4" s="14" t="inlineStr">
        <is>
          <t>INR Crore</t>
        </is>
      </c>
      <c r="B4" s="15" t="inlineStr">
        <is>
          <t>FY2020</t>
        </is>
      </c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</t>
        </is>
      </c>
      <c r="I4" s="15" t="inlineStr">
        <is>
          <t>FY2027</t>
        </is>
      </c>
      <c r="J4" s="15" t="inlineStr">
        <is>
          <t>FY2028</t>
        </is>
      </c>
      <c r="K4" s="15" t="inlineStr">
        <is>
          <t>FY2029</t>
        </is>
      </c>
      <c r="L4" s="15" t="inlineStr">
        <is>
          <t>FY2030</t>
        </is>
      </c>
      <c r="M4" s="15" t="inlineStr">
        <is>
          <t>FY2031</t>
        </is>
      </c>
      <c r="N4" s="15" t="inlineStr">
        <is>
          <t>FY2032</t>
        </is>
      </c>
      <c r="O4" s="15" t="inlineStr">
        <is>
          <t>FY2033</t>
        </is>
      </c>
    </row>
    <row r="5">
      <c r="A5" s="11" t="inlineStr">
        <is>
          <t>Net block roll-forward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4" t="inlineStr">
        <is>
          <t>Opening net block</t>
        </is>
      </c>
      <c r="B6" s="43">
        <f>'Historical Financial Statements'!B28</f>
        <v/>
      </c>
      <c r="C6" s="43">
        <f>'Historical Financial Statements'!C28</f>
        <v/>
      </c>
      <c r="D6" s="43">
        <f>'Historical Financial Statements'!D28</f>
        <v/>
      </c>
      <c r="E6" s="43">
        <f>'Historical Financial Statements'!E28</f>
        <v/>
      </c>
      <c r="F6" s="43">
        <f>'Historical Financial Statements'!F28</f>
        <v/>
      </c>
      <c r="G6" s="43">
        <f>'Historical Financial Statements'!G28</f>
        <v/>
      </c>
      <c r="H6" s="43">
        <f>'Historical Financial Statements'!H28</f>
        <v/>
      </c>
      <c r="I6" s="33">
        <f>'Forecast Financial Statements'!H53</f>
        <v/>
      </c>
      <c r="J6" s="33">
        <f>I10</f>
        <v/>
      </c>
      <c r="K6" s="33">
        <f>J10</f>
        <v/>
      </c>
      <c r="L6" s="33">
        <f>K10</f>
        <v/>
      </c>
      <c r="M6" s="33">
        <f>L10</f>
        <v/>
      </c>
      <c r="N6" s="33">
        <f>M10</f>
        <v/>
      </c>
      <c r="O6" s="33">
        <f>N10</f>
        <v/>
      </c>
    </row>
    <row r="7">
      <c r="A7" s="5" t="inlineStr">
        <is>
          <t xml:space="preserve">   Add: capital expenditure</t>
        </is>
      </c>
      <c r="I7" s="33">
        <f>'Assumptions'!I35</f>
        <v/>
      </c>
      <c r="J7" s="33">
        <f>'Assumptions'!J35</f>
        <v/>
      </c>
      <c r="K7" s="33">
        <f>'Assumptions'!K35</f>
        <v/>
      </c>
      <c r="L7" s="33">
        <f>'Assumptions'!L35</f>
        <v/>
      </c>
      <c r="M7" s="33">
        <f>'Assumptions'!M35</f>
        <v/>
      </c>
      <c r="N7" s="33">
        <f>'Assumptions'!N35</f>
        <v/>
      </c>
      <c r="O7" s="33">
        <f>'Assumptions'!O35</f>
        <v/>
      </c>
    </row>
    <row r="8">
      <c r="A8" s="5" t="inlineStr">
        <is>
          <t xml:space="preserve">   Less: depreciation</t>
        </is>
      </c>
      <c r="I8" s="33">
        <f>-'Assumptions'!I36*I6</f>
        <v/>
      </c>
      <c r="J8" s="33">
        <f>-'Assumptions'!J36*J6</f>
        <v/>
      </c>
      <c r="K8" s="33">
        <f>-'Assumptions'!K36*K6</f>
        <v/>
      </c>
      <c r="L8" s="33">
        <f>-'Assumptions'!L36*L6</f>
        <v/>
      </c>
      <c r="M8" s="33">
        <f>-'Assumptions'!M36*M6</f>
        <v/>
      </c>
      <c r="N8" s="33">
        <f>-'Assumptions'!N36*N6</f>
        <v/>
      </c>
      <c r="O8" s="33">
        <f>-'Assumptions'!O36*O6</f>
        <v/>
      </c>
    </row>
    <row r="9">
      <c r="A9" s="5" t="inlineStr">
        <is>
          <t xml:space="preserve">   Less: disposals</t>
        </is>
      </c>
      <c r="I9" s="33" t="n">
        <v>0</v>
      </c>
      <c r="J9" s="33" t="n">
        <v>0</v>
      </c>
      <c r="K9" s="33" t="n">
        <v>0</v>
      </c>
      <c r="L9" s="33" t="n">
        <v>0</v>
      </c>
      <c r="M9" s="33" t="n">
        <v>0</v>
      </c>
      <c r="N9" s="33" t="n">
        <v>0</v>
      </c>
      <c r="O9" s="33" t="n">
        <v>0</v>
      </c>
    </row>
    <row r="10">
      <c r="A10" s="4" t="inlineStr">
        <is>
          <t>Closing net block</t>
        </is>
      </c>
      <c r="B10" s="45">
        <f>'Historical Financial Statements'!B28</f>
        <v/>
      </c>
      <c r="C10" s="45">
        <f>'Historical Financial Statements'!C28</f>
        <v/>
      </c>
      <c r="D10" s="45">
        <f>'Historical Financial Statements'!D28</f>
        <v/>
      </c>
      <c r="E10" s="45">
        <f>'Historical Financial Statements'!E28</f>
        <v/>
      </c>
      <c r="F10" s="45">
        <f>'Historical Financial Statements'!F28</f>
        <v/>
      </c>
      <c r="G10" s="45">
        <f>'Historical Financial Statements'!G28</f>
        <v/>
      </c>
      <c r="H10" s="45">
        <f>'Historical Financial Statements'!H28</f>
        <v/>
      </c>
      <c r="I10" s="44">
        <f>I6+I7+I8-I9</f>
        <v/>
      </c>
      <c r="J10" s="44">
        <f>J6+J7+J8-J9</f>
        <v/>
      </c>
      <c r="K10" s="44">
        <f>K6+K7+K8-K9</f>
        <v/>
      </c>
      <c r="L10" s="44">
        <f>L6+L7+L8-L9</f>
        <v/>
      </c>
      <c r="M10" s="44">
        <f>M6+M7+M8-M9</f>
        <v/>
      </c>
      <c r="N10" s="44">
        <f>N6+N7+N8-N9</f>
        <v/>
      </c>
      <c r="O10" s="44">
        <f>O6+O7+O8-O9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11" t="inlineStr">
        <is>
          <t>DEPRECIATION SCHEDULE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4">
      <c r="A4" s="14" t="inlineStr">
        <is>
          <t>INR Crore</t>
        </is>
      </c>
      <c r="B4" s="15" t="inlineStr">
        <is>
          <t>FY2020</t>
        </is>
      </c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</t>
        </is>
      </c>
      <c r="I4" s="15" t="inlineStr">
        <is>
          <t>FY2027</t>
        </is>
      </c>
      <c r="J4" s="15" t="inlineStr">
        <is>
          <t>FY2028</t>
        </is>
      </c>
      <c r="K4" s="15" t="inlineStr">
        <is>
          <t>FY2029</t>
        </is>
      </c>
      <c r="L4" s="15" t="inlineStr">
        <is>
          <t>FY2030</t>
        </is>
      </c>
      <c r="M4" s="15" t="inlineStr">
        <is>
          <t>FY2031</t>
        </is>
      </c>
      <c r="N4" s="15" t="inlineStr">
        <is>
          <t>FY2032</t>
        </is>
      </c>
      <c r="O4" s="15" t="inlineStr">
        <is>
          <t>FY2033</t>
        </is>
      </c>
    </row>
    <row r="5">
      <c r="A5" s="11" t="inlineStr">
        <is>
          <t>Depreciation computation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5" t="inlineStr">
        <is>
          <t>Opening net block</t>
        </is>
      </c>
      <c r="I6" s="33">
        <f>'Fixed Asset Schedule'!I6</f>
        <v/>
      </c>
      <c r="J6" s="33">
        <f>'Fixed Asset Schedule'!J6</f>
        <v/>
      </c>
      <c r="K6" s="33">
        <f>'Fixed Asset Schedule'!K6</f>
        <v/>
      </c>
      <c r="L6" s="33">
        <f>'Fixed Asset Schedule'!L6</f>
        <v/>
      </c>
      <c r="M6" s="33">
        <f>'Fixed Asset Schedule'!M6</f>
        <v/>
      </c>
      <c r="N6" s="33">
        <f>'Fixed Asset Schedule'!N6</f>
        <v/>
      </c>
      <c r="O6" s="33">
        <f>'Fixed Asset Schedule'!O6</f>
        <v/>
      </c>
    </row>
    <row r="7">
      <c r="A7" s="5" t="inlineStr">
        <is>
          <t>Depreciation rate %</t>
        </is>
      </c>
      <c r="I7" s="40">
        <f>'Assumptions'!I36</f>
        <v/>
      </c>
      <c r="J7" s="40">
        <f>'Assumptions'!J36</f>
        <v/>
      </c>
      <c r="K7" s="40">
        <f>'Assumptions'!K36</f>
        <v/>
      </c>
      <c r="L7" s="40">
        <f>'Assumptions'!L36</f>
        <v/>
      </c>
      <c r="M7" s="40">
        <f>'Assumptions'!M36</f>
        <v/>
      </c>
      <c r="N7" s="40">
        <f>'Assumptions'!N36</f>
        <v/>
      </c>
      <c r="O7" s="40">
        <f>'Assumptions'!O36</f>
        <v/>
      </c>
    </row>
    <row r="8">
      <c r="A8" s="4" t="inlineStr">
        <is>
          <t>Depreciation expense</t>
        </is>
      </c>
      <c r="B8" s="45">
        <f>'Historical Financial Statements'!B13</f>
        <v/>
      </c>
      <c r="C8" s="45">
        <f>'Historical Financial Statements'!C13</f>
        <v/>
      </c>
      <c r="D8" s="45">
        <f>'Historical Financial Statements'!D13</f>
        <v/>
      </c>
      <c r="E8" s="45">
        <f>'Historical Financial Statements'!E13</f>
        <v/>
      </c>
      <c r="F8" s="45">
        <f>'Historical Financial Statements'!F13</f>
        <v/>
      </c>
      <c r="G8" s="45">
        <f>'Historical Financial Statements'!G13</f>
        <v/>
      </c>
      <c r="H8" s="45">
        <f>'Historical Financial Statements'!H13</f>
        <v/>
      </c>
      <c r="I8" s="44">
        <f>I6*I7</f>
        <v/>
      </c>
      <c r="J8" s="44">
        <f>J6*J7</f>
        <v/>
      </c>
      <c r="K8" s="44">
        <f>K6*K7</f>
        <v/>
      </c>
      <c r="L8" s="44">
        <f>L6*L7</f>
        <v/>
      </c>
      <c r="M8" s="44">
        <f>M6*M7</f>
        <v/>
      </c>
      <c r="N8" s="44">
        <f>N6*N7</f>
        <v/>
      </c>
      <c r="O8" s="44">
        <f>O6*O7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11" t="inlineStr">
        <is>
          <t>DEBT SCHEDULE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3" t="inlineStr">
        <is>
          <t>Interest on opening debt (no circularity). Opening FY27 = reported FY26 borrowings.</t>
        </is>
      </c>
    </row>
    <row r="4">
      <c r="A4" s="14" t="inlineStr">
        <is>
          <t>INR Crore</t>
        </is>
      </c>
      <c r="B4" s="15" t="inlineStr">
        <is>
          <t>FY2020</t>
        </is>
      </c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</t>
        </is>
      </c>
      <c r="I4" s="15" t="inlineStr">
        <is>
          <t>FY2027</t>
        </is>
      </c>
      <c r="J4" s="15" t="inlineStr">
        <is>
          <t>FY2028</t>
        </is>
      </c>
      <c r="K4" s="15" t="inlineStr">
        <is>
          <t>FY2029</t>
        </is>
      </c>
      <c r="L4" s="15" t="inlineStr">
        <is>
          <t>FY2030</t>
        </is>
      </c>
      <c r="M4" s="15" t="inlineStr">
        <is>
          <t>FY2031</t>
        </is>
      </c>
      <c r="N4" s="15" t="inlineStr">
        <is>
          <t>FY2032</t>
        </is>
      </c>
      <c r="O4" s="15" t="inlineStr">
        <is>
          <t>FY2033</t>
        </is>
      </c>
    </row>
    <row r="5">
      <c r="A5" s="11" t="inlineStr">
        <is>
          <t>Debt roll-forward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4" t="inlineStr">
        <is>
          <t>Opening debt</t>
        </is>
      </c>
      <c r="B6" s="43">
        <f>'Historical Financial Statements'!B35</f>
        <v/>
      </c>
      <c r="C6" s="43">
        <f>'Historical Financial Statements'!C35</f>
        <v/>
      </c>
      <c r="D6" s="43">
        <f>'Historical Financial Statements'!D35</f>
        <v/>
      </c>
      <c r="E6" s="43">
        <f>'Historical Financial Statements'!E35</f>
        <v/>
      </c>
      <c r="F6" s="43">
        <f>'Historical Financial Statements'!F35</f>
        <v/>
      </c>
      <c r="G6" s="43">
        <f>'Historical Financial Statements'!G35</f>
        <v/>
      </c>
      <c r="H6" s="43">
        <f>'Historical Financial Statements'!H35</f>
        <v/>
      </c>
      <c r="I6" s="33">
        <f>'Forecast Financial Statements'!H72</f>
        <v/>
      </c>
      <c r="J6" s="33">
        <f>I9</f>
        <v/>
      </c>
      <c r="K6" s="33">
        <f>J9</f>
        <v/>
      </c>
      <c r="L6" s="33">
        <f>K9</f>
        <v/>
      </c>
      <c r="M6" s="33">
        <f>L9</f>
        <v/>
      </c>
      <c r="N6" s="33">
        <f>M9</f>
        <v/>
      </c>
      <c r="O6" s="33">
        <f>N9</f>
        <v/>
      </c>
    </row>
    <row r="7">
      <c r="A7" s="5" t="inlineStr">
        <is>
          <t xml:space="preserve">   Add: new borrowings</t>
        </is>
      </c>
      <c r="I7" s="33">
        <f>'Assumptions'!I48</f>
        <v/>
      </c>
      <c r="J7" s="33">
        <f>'Assumptions'!J48</f>
        <v/>
      </c>
      <c r="K7" s="33">
        <f>'Assumptions'!K48</f>
        <v/>
      </c>
      <c r="L7" s="33">
        <f>'Assumptions'!L48</f>
        <v/>
      </c>
      <c r="M7" s="33">
        <f>'Assumptions'!M48</f>
        <v/>
      </c>
      <c r="N7" s="33">
        <f>'Assumptions'!N48</f>
        <v/>
      </c>
      <c r="O7" s="33">
        <f>'Assumptions'!O48</f>
        <v/>
      </c>
    </row>
    <row r="8">
      <c r="A8" s="5" t="inlineStr">
        <is>
          <t xml:space="preserve">   Less: repayments</t>
        </is>
      </c>
      <c r="I8" s="33">
        <f>-'Assumptions'!I49</f>
        <v/>
      </c>
      <c r="J8" s="33">
        <f>-'Assumptions'!J49</f>
        <v/>
      </c>
      <c r="K8" s="33">
        <f>-'Assumptions'!K49</f>
        <v/>
      </c>
      <c r="L8" s="33">
        <f>-'Assumptions'!L49</f>
        <v/>
      </c>
      <c r="M8" s="33">
        <f>-'Assumptions'!M49</f>
        <v/>
      </c>
      <c r="N8" s="33">
        <f>-'Assumptions'!N49</f>
        <v/>
      </c>
      <c r="O8" s="33">
        <f>-'Assumptions'!O49</f>
        <v/>
      </c>
    </row>
    <row r="9">
      <c r="A9" s="4" t="inlineStr">
        <is>
          <t>Closing debt</t>
        </is>
      </c>
      <c r="B9" s="45">
        <f>'Historical Financial Statements'!B35</f>
        <v/>
      </c>
      <c r="C9" s="45">
        <f>'Historical Financial Statements'!C35</f>
        <v/>
      </c>
      <c r="D9" s="45">
        <f>'Historical Financial Statements'!D35</f>
        <v/>
      </c>
      <c r="E9" s="45">
        <f>'Historical Financial Statements'!E35</f>
        <v/>
      </c>
      <c r="F9" s="45">
        <f>'Historical Financial Statements'!F35</f>
        <v/>
      </c>
      <c r="G9" s="45">
        <f>'Historical Financial Statements'!G35</f>
        <v/>
      </c>
      <c r="H9" s="45">
        <f>'Historical Financial Statements'!H35</f>
        <v/>
      </c>
      <c r="I9" s="44">
        <f>I6+I7+I8</f>
        <v/>
      </c>
      <c r="J9" s="44">
        <f>J6+J7+J8</f>
        <v/>
      </c>
      <c r="K9" s="44">
        <f>K6+K7+K8</f>
        <v/>
      </c>
      <c r="L9" s="44">
        <f>L6+L7+L8</f>
        <v/>
      </c>
      <c r="M9" s="44">
        <f>M6+M7+M8</f>
        <v/>
      </c>
      <c r="N9" s="44">
        <f>N6+N7+N8</f>
        <v/>
      </c>
      <c r="O9" s="44">
        <f>O6+O7+O8</f>
        <v/>
      </c>
    </row>
    <row r="10">
      <c r="A10" s="5" t="inlineStr">
        <is>
          <t>Average debt</t>
        </is>
      </c>
      <c r="I10" s="33">
        <f>(I6+I9)/2</f>
        <v/>
      </c>
      <c r="J10" s="33">
        <f>(J6+J9)/2</f>
        <v/>
      </c>
      <c r="K10" s="33">
        <f>(K6+K9)/2</f>
        <v/>
      </c>
      <c r="L10" s="33">
        <f>(L6+L9)/2</f>
        <v/>
      </c>
      <c r="M10" s="33">
        <f>(M6+M9)/2</f>
        <v/>
      </c>
      <c r="N10" s="33">
        <f>(N6+N9)/2</f>
        <v/>
      </c>
      <c r="O10" s="33">
        <f>(O6+O9)/2</f>
        <v/>
      </c>
    </row>
    <row r="11">
      <c r="A11" s="4" t="inlineStr">
        <is>
          <t>Interest expense (on opening debt)</t>
        </is>
      </c>
      <c r="B11" s="43">
        <f>'Historical Financial Statements'!B16</f>
        <v/>
      </c>
      <c r="C11" s="43">
        <f>'Historical Financial Statements'!C16</f>
        <v/>
      </c>
      <c r="D11" s="43">
        <f>'Historical Financial Statements'!D16</f>
        <v/>
      </c>
      <c r="E11" s="43">
        <f>'Historical Financial Statements'!E16</f>
        <v/>
      </c>
      <c r="F11" s="43">
        <f>'Historical Financial Statements'!F16</f>
        <v/>
      </c>
      <c r="G11" s="43">
        <f>'Historical Financial Statements'!G16</f>
        <v/>
      </c>
      <c r="H11" s="43">
        <f>'Historical Financial Statements'!H16</f>
        <v/>
      </c>
      <c r="I11" s="33">
        <f>'Assumptions'!I50*I6</f>
        <v/>
      </c>
      <c r="J11" s="33">
        <f>'Assumptions'!J50*J6</f>
        <v/>
      </c>
      <c r="K11" s="33">
        <f>'Assumptions'!K50*K6</f>
        <v/>
      </c>
      <c r="L11" s="33">
        <f>'Assumptions'!L50*L6</f>
        <v/>
      </c>
      <c r="M11" s="33">
        <f>'Assumptions'!M50*M6</f>
        <v/>
      </c>
      <c r="N11" s="33">
        <f>'Assumptions'!N50*N6</f>
        <v/>
      </c>
      <c r="O11" s="33">
        <f>'Assumptions'!O50*O6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11" t="inlineStr">
        <is>
          <t>EQUITY SCHEDULE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4">
      <c r="A4" s="14" t="inlineStr">
        <is>
          <t>INR Crore</t>
        </is>
      </c>
      <c r="B4" s="15" t="inlineStr">
        <is>
          <t>FY2020</t>
        </is>
      </c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</t>
        </is>
      </c>
      <c r="I4" s="15" t="inlineStr">
        <is>
          <t>FY2027</t>
        </is>
      </c>
      <c r="J4" s="15" t="inlineStr">
        <is>
          <t>FY2028</t>
        </is>
      </c>
      <c r="K4" s="15" t="inlineStr">
        <is>
          <t>FY2029</t>
        </is>
      </c>
      <c r="L4" s="15" t="inlineStr">
        <is>
          <t>FY2030</t>
        </is>
      </c>
      <c r="M4" s="15" t="inlineStr">
        <is>
          <t>FY2031</t>
        </is>
      </c>
      <c r="N4" s="15" t="inlineStr">
        <is>
          <t>FY2032</t>
        </is>
      </c>
      <c r="O4" s="15" t="inlineStr">
        <is>
          <t>FY2033</t>
        </is>
      </c>
    </row>
    <row r="5">
      <c r="A5" s="11" t="inlineStr">
        <is>
          <t>Other equity (reserves) roll-forward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4" t="inlineStr">
        <is>
          <t>Opening other equity</t>
        </is>
      </c>
      <c r="I6" s="33">
        <f>'Forecast Financial Statements'!H29</f>
        <v/>
      </c>
      <c r="J6" s="33">
        <f>I10</f>
        <v/>
      </c>
      <c r="K6" s="33">
        <f>J10</f>
        <v/>
      </c>
      <c r="L6" s="33">
        <f>K10</f>
        <v/>
      </c>
      <c r="M6" s="33">
        <f>L10</f>
        <v/>
      </c>
      <c r="N6" s="33">
        <f>M10</f>
        <v/>
      </c>
      <c r="O6" s="33">
        <f>N10</f>
        <v/>
      </c>
    </row>
    <row r="7">
      <c r="A7" s="5" t="inlineStr">
        <is>
          <t xml:space="preserve">   Add: profit after tax</t>
        </is>
      </c>
      <c r="I7" s="33">
        <f>'Forecast Financial Statements'!I20</f>
        <v/>
      </c>
      <c r="J7" s="33">
        <f>'Forecast Financial Statements'!J20</f>
        <v/>
      </c>
      <c r="K7" s="33">
        <f>'Forecast Financial Statements'!K20</f>
        <v/>
      </c>
      <c r="L7" s="33">
        <f>'Forecast Financial Statements'!L20</f>
        <v/>
      </c>
      <c r="M7" s="33">
        <f>'Forecast Financial Statements'!M20</f>
        <v/>
      </c>
      <c r="N7" s="33">
        <f>'Forecast Financial Statements'!N20</f>
        <v/>
      </c>
      <c r="O7" s="33">
        <f>'Forecast Financial Statements'!O20</f>
        <v/>
      </c>
    </row>
    <row r="8">
      <c r="A8" s="5" t="inlineStr">
        <is>
          <t xml:space="preserve">   Less: dividends</t>
        </is>
      </c>
      <c r="I8" s="33">
        <f>-'Forecast Financial Statements'!I22</f>
        <v/>
      </c>
      <c r="J8" s="33">
        <f>-'Forecast Financial Statements'!J22</f>
        <v/>
      </c>
      <c r="K8" s="33">
        <f>-'Forecast Financial Statements'!K22</f>
        <v/>
      </c>
      <c r="L8" s="33">
        <f>-'Forecast Financial Statements'!L22</f>
        <v/>
      </c>
      <c r="M8" s="33">
        <f>-'Forecast Financial Statements'!M22</f>
        <v/>
      </c>
      <c r="N8" s="33">
        <f>-'Forecast Financial Statements'!N22</f>
        <v/>
      </c>
      <c r="O8" s="33">
        <f>-'Forecast Financial Statements'!O22</f>
        <v/>
      </c>
    </row>
    <row r="9">
      <c r="A9" s="5" t="inlineStr">
        <is>
          <t xml:space="preserve">   Add: other comprehensive income</t>
        </is>
      </c>
      <c r="I9" s="33" t="n">
        <v>0</v>
      </c>
      <c r="J9" s="33" t="n">
        <v>0</v>
      </c>
      <c r="K9" s="33" t="n">
        <v>0</v>
      </c>
      <c r="L9" s="33" t="n">
        <v>0</v>
      </c>
      <c r="M9" s="33" t="n">
        <v>0</v>
      </c>
      <c r="N9" s="33" t="n">
        <v>0</v>
      </c>
      <c r="O9" s="33" t="n">
        <v>0</v>
      </c>
    </row>
    <row r="10">
      <c r="A10" s="4" t="inlineStr">
        <is>
          <t>Closing other equity</t>
        </is>
      </c>
      <c r="I10" s="44">
        <f>SUM(I6:I9)</f>
        <v/>
      </c>
      <c r="J10" s="44">
        <f>SUM(J6:J9)</f>
        <v/>
      </c>
      <c r="K10" s="44">
        <f>SUM(K6:K9)</f>
        <v/>
      </c>
      <c r="L10" s="44">
        <f>SUM(L6:L9)</f>
        <v/>
      </c>
      <c r="M10" s="44">
        <f>SUM(M6:M9)</f>
        <v/>
      </c>
      <c r="N10" s="44">
        <f>SUM(N6:N9)</f>
        <v/>
      </c>
      <c r="O10" s="44">
        <f>SUM(O6:O9)</f>
        <v/>
      </c>
    </row>
    <row r="12">
      <c r="A12" s="5" t="inlineStr">
        <is>
          <t>Equity share capital (constant)</t>
        </is>
      </c>
      <c r="I12" s="33" t="n">
        <v>696.41</v>
      </c>
      <c r="J12" s="33" t="n">
        <v>696.41</v>
      </c>
      <c r="K12" s="33" t="n">
        <v>696.41</v>
      </c>
      <c r="L12" s="33" t="n">
        <v>696.41</v>
      </c>
      <c r="M12" s="33" t="n">
        <v>696.41</v>
      </c>
      <c r="N12" s="33" t="n">
        <v>696.41</v>
      </c>
      <c r="O12" s="33" t="n">
        <v>696.41</v>
      </c>
    </row>
    <row r="13">
      <c r="A13" s="4" t="inlineStr">
        <is>
          <t>Total shareholders equity</t>
        </is>
      </c>
      <c r="I13" s="33">
        <f>I10+I12</f>
        <v/>
      </c>
      <c r="J13" s="33">
        <f>J10+J12</f>
        <v/>
      </c>
      <c r="K13" s="33">
        <f>K10+K12</f>
        <v/>
      </c>
      <c r="L13" s="33">
        <f>L10+L12</f>
        <v/>
      </c>
      <c r="M13" s="33">
        <f>M10+M12</f>
        <v/>
      </c>
      <c r="N13" s="33">
        <f>N10+N12</f>
        <v/>
      </c>
      <c r="O13" s="33">
        <f>O10+O12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11" t="inlineStr">
        <is>
          <t>OTHER ASSETS &amp; LIABILITIES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4">
      <c r="A4" s="14" t="inlineStr">
        <is>
          <t>INR Crore</t>
        </is>
      </c>
      <c r="B4" s="15" t="inlineStr">
        <is>
          <t>FY2020</t>
        </is>
      </c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</t>
        </is>
      </c>
      <c r="I4" s="15" t="inlineStr">
        <is>
          <t>FY2027</t>
        </is>
      </c>
      <c r="J4" s="15" t="inlineStr">
        <is>
          <t>FY2028</t>
        </is>
      </c>
      <c r="K4" s="15" t="inlineStr">
        <is>
          <t>FY2029</t>
        </is>
      </c>
      <c r="L4" s="15" t="inlineStr">
        <is>
          <t>FY2030</t>
        </is>
      </c>
      <c r="M4" s="15" t="inlineStr">
        <is>
          <t>FY2031</t>
        </is>
      </c>
      <c r="N4" s="15" t="inlineStr">
        <is>
          <t>FY2032</t>
        </is>
      </c>
      <c r="O4" s="15" t="inlineStr">
        <is>
          <t>FY2033</t>
        </is>
      </c>
    </row>
    <row r="5">
      <c r="A5" s="11" t="inlineStr">
        <is>
          <t>Other (non-WC) assets &amp; liabilities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5" t="inlineStr">
        <is>
          <t>Capital work-in-progress</t>
        </is>
      </c>
      <c r="B6" s="43">
        <f>'Historical Financial Statements'!B29</f>
        <v/>
      </c>
      <c r="C6" s="43">
        <f>'Historical Financial Statements'!C29</f>
        <v/>
      </c>
      <c r="D6" s="43">
        <f>'Historical Financial Statements'!D29</f>
        <v/>
      </c>
      <c r="E6" s="43">
        <f>'Historical Financial Statements'!E29</f>
        <v/>
      </c>
      <c r="F6" s="43">
        <f>'Historical Financial Statements'!F29</f>
        <v/>
      </c>
      <c r="G6" s="43">
        <f>'Historical Financial Statements'!G29</f>
        <v/>
      </c>
      <c r="H6" s="43">
        <f>'Historical Financial Statements'!H29</f>
        <v/>
      </c>
      <c r="I6" s="33">
        <f>'Assumptions'!I44</f>
        <v/>
      </c>
      <c r="J6" s="33">
        <f>'Assumptions'!J44</f>
        <v/>
      </c>
      <c r="K6" s="33">
        <f>'Assumptions'!K44</f>
        <v/>
      </c>
      <c r="L6" s="33">
        <f>'Assumptions'!L44</f>
        <v/>
      </c>
      <c r="M6" s="33">
        <f>'Assumptions'!M44</f>
        <v/>
      </c>
      <c r="N6" s="33">
        <f>'Assumptions'!N44</f>
        <v/>
      </c>
      <c r="O6" s="33">
        <f>'Assumptions'!O44</f>
        <v/>
      </c>
    </row>
    <row r="7">
      <c r="A7" s="5" t="inlineStr">
        <is>
          <t>Investments</t>
        </is>
      </c>
      <c r="B7" s="43">
        <f>'Historical Financial Statements'!B30</f>
        <v/>
      </c>
      <c r="C7" s="43">
        <f>'Historical Financial Statements'!C30</f>
        <v/>
      </c>
      <c r="D7" s="43">
        <f>'Historical Financial Statements'!D30</f>
        <v/>
      </c>
      <c r="E7" s="43">
        <f>'Historical Financial Statements'!E30</f>
        <v/>
      </c>
      <c r="F7" s="43">
        <f>'Historical Financial Statements'!F30</f>
        <v/>
      </c>
      <c r="G7" s="43">
        <f>'Historical Financial Statements'!G30</f>
        <v/>
      </c>
      <c r="H7" s="43">
        <f>'Historical Financial Statements'!H30</f>
        <v/>
      </c>
      <c r="I7" s="33">
        <f>'Assumptions'!I45</f>
        <v/>
      </c>
      <c r="J7" s="33">
        <f>'Assumptions'!J45</f>
        <v/>
      </c>
      <c r="K7" s="33">
        <f>'Assumptions'!K45</f>
        <v/>
      </c>
      <c r="L7" s="33">
        <f>'Assumptions'!L45</f>
        <v/>
      </c>
      <c r="M7" s="33">
        <f>'Assumptions'!M45</f>
        <v/>
      </c>
      <c r="N7" s="33">
        <f>'Assumptions'!N45</f>
        <v/>
      </c>
      <c r="O7" s="33">
        <f>'Assumptions'!O45</f>
        <v/>
      </c>
    </row>
    <row r="8">
      <c r="A8" s="5" t="inlineStr">
        <is>
          <t>Contract assets - current (memo, from WC)</t>
        </is>
      </c>
      <c r="I8" s="33">
        <f>'Working Capital Schedule'!I11</f>
        <v/>
      </c>
      <c r="J8" s="33">
        <f>'Working Capital Schedule'!J11</f>
        <v/>
      </c>
      <c r="K8" s="33">
        <f>'Working Capital Schedule'!K11</f>
        <v/>
      </c>
      <c r="L8" s="33">
        <f>'Working Capital Schedule'!L11</f>
        <v/>
      </c>
      <c r="M8" s="33">
        <f>'Working Capital Schedule'!M11</f>
        <v/>
      </c>
      <c r="N8" s="33">
        <f>'Working Capital Schedule'!N11</f>
        <v/>
      </c>
      <c r="O8" s="33">
        <f>'Working Capital Schedule'!O11</f>
        <v/>
      </c>
    </row>
    <row r="9">
      <c r="A9" s="5" t="inlineStr">
        <is>
          <t>Other operating assets (memo, from WC)</t>
        </is>
      </c>
      <c r="I9" s="33">
        <f>'Working Capital Schedule'!I14</f>
        <v/>
      </c>
      <c r="J9" s="33">
        <f>'Working Capital Schedule'!J14</f>
        <v/>
      </c>
      <c r="K9" s="33">
        <f>'Working Capital Schedule'!K14</f>
        <v/>
      </c>
      <c r="L9" s="33">
        <f>'Working Capital Schedule'!L14</f>
        <v/>
      </c>
      <c r="M9" s="33">
        <f>'Working Capital Schedule'!M14</f>
        <v/>
      </c>
      <c r="N9" s="33">
        <f>'Working Capital Schedule'!N14</f>
        <v/>
      </c>
      <c r="O9" s="33">
        <f>'Working Capital Schedule'!O14</f>
        <v/>
      </c>
    </row>
    <row r="10">
      <c r="A10" s="5" t="inlineStr">
        <is>
          <t>Contract liabilities - current (memo, from WC)</t>
        </is>
      </c>
      <c r="I10" s="33">
        <f>'Working Capital Schedule'!I19</f>
        <v/>
      </c>
      <c r="J10" s="33">
        <f>'Working Capital Schedule'!J19</f>
        <v/>
      </c>
      <c r="K10" s="33">
        <f>'Working Capital Schedule'!K19</f>
        <v/>
      </c>
      <c r="L10" s="33">
        <f>'Working Capital Schedule'!L19</f>
        <v/>
      </c>
      <c r="M10" s="33">
        <f>'Working Capital Schedule'!M19</f>
        <v/>
      </c>
      <c r="N10" s="33">
        <f>'Working Capital Schedule'!N19</f>
        <v/>
      </c>
      <c r="O10" s="33">
        <f>'Working Capital Schedule'!O19</f>
        <v/>
      </c>
    </row>
    <row r="11">
      <c r="A11" s="5" t="inlineStr">
        <is>
          <t>Provisions &amp; other liabilities (memo, from WC)</t>
        </is>
      </c>
      <c r="I11" s="33">
        <f>'Working Capital Schedule'!I23</f>
        <v/>
      </c>
      <c r="J11" s="33">
        <f>'Working Capital Schedule'!J23</f>
        <v/>
      </c>
      <c r="K11" s="33">
        <f>'Working Capital Schedule'!K23</f>
        <v/>
      </c>
      <c r="L11" s="33">
        <f>'Working Capital Schedule'!L23</f>
        <v/>
      </c>
      <c r="M11" s="33">
        <f>'Working Capital Schedule'!M23</f>
        <v/>
      </c>
      <c r="N11" s="33">
        <f>'Working Capital Schedule'!N23</f>
        <v/>
      </c>
      <c r="O11" s="33">
        <f>'Working Capital Schedule'!O23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11" t="inlineStr">
        <is>
          <t>CASH FLOW STATEMENT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3" t="inlineStr">
        <is>
          <t>Indirect method. FY20-26 reported; FY27-33 = PAT + D&amp;A - increase in NWC; investing &amp; financing from schedules. No plugs.</t>
        </is>
      </c>
    </row>
    <row r="4">
      <c r="A4" s="14" t="inlineStr">
        <is>
          <t>INR Crore</t>
        </is>
      </c>
      <c r="B4" s="15" t="inlineStr">
        <is>
          <t>FY2020</t>
        </is>
      </c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</t>
        </is>
      </c>
      <c r="I4" s="15" t="inlineStr">
        <is>
          <t>FY2027</t>
        </is>
      </c>
      <c r="J4" s="15" t="inlineStr">
        <is>
          <t>FY2028</t>
        </is>
      </c>
      <c r="K4" s="15" t="inlineStr">
        <is>
          <t>FY2029</t>
        </is>
      </c>
      <c r="L4" s="15" t="inlineStr">
        <is>
          <t>FY2030</t>
        </is>
      </c>
      <c r="M4" s="15" t="inlineStr">
        <is>
          <t>FY2031</t>
        </is>
      </c>
      <c r="N4" s="15" t="inlineStr">
        <is>
          <t>FY2032</t>
        </is>
      </c>
      <c r="O4" s="15" t="inlineStr">
        <is>
          <t>FY2033</t>
        </is>
      </c>
    </row>
    <row r="5">
      <c r="A5" s="11" t="inlineStr">
        <is>
          <t>A.  Operating activities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5" t="inlineStr">
        <is>
          <t xml:space="preserve">   Profit after tax</t>
        </is>
      </c>
      <c r="I6" s="33">
        <f>'Forecast Financial Statements'!I20</f>
        <v/>
      </c>
      <c r="J6" s="33">
        <f>'Forecast Financial Statements'!J20</f>
        <v/>
      </c>
      <c r="K6" s="33">
        <f>'Forecast Financial Statements'!K20</f>
        <v/>
      </c>
      <c r="L6" s="33">
        <f>'Forecast Financial Statements'!L20</f>
        <v/>
      </c>
      <c r="M6" s="33">
        <f>'Forecast Financial Statements'!M20</f>
        <v/>
      </c>
      <c r="N6" s="33">
        <f>'Forecast Financial Statements'!N20</f>
        <v/>
      </c>
      <c r="O6" s="33">
        <f>'Forecast Financial Statements'!O20</f>
        <v/>
      </c>
    </row>
    <row r="7">
      <c r="A7" s="5" t="inlineStr">
        <is>
          <t xml:space="preserve">   Add: depreciation &amp; amortisation</t>
        </is>
      </c>
      <c r="I7" s="33">
        <f>'Depreciation Schedule'!I8</f>
        <v/>
      </c>
      <c r="J7" s="33">
        <f>'Depreciation Schedule'!J8</f>
        <v/>
      </c>
      <c r="K7" s="33">
        <f>'Depreciation Schedule'!K8</f>
        <v/>
      </c>
      <c r="L7" s="33">
        <f>'Depreciation Schedule'!L8</f>
        <v/>
      </c>
      <c r="M7" s="33">
        <f>'Depreciation Schedule'!M8</f>
        <v/>
      </c>
      <c r="N7" s="33">
        <f>'Depreciation Schedule'!N8</f>
        <v/>
      </c>
      <c r="O7" s="33">
        <f>'Depreciation Schedule'!O8</f>
        <v/>
      </c>
    </row>
    <row r="8">
      <c r="A8" s="5" t="inlineStr">
        <is>
          <t xml:space="preserve">   (Increase)/decrease in working capital</t>
        </is>
      </c>
      <c r="I8" s="33">
        <f>'Working Capital Schedule'!I27</f>
        <v/>
      </c>
      <c r="J8" s="33">
        <f>'Working Capital Schedule'!J27</f>
        <v/>
      </c>
      <c r="K8" s="33">
        <f>'Working Capital Schedule'!K27</f>
        <v/>
      </c>
      <c r="L8" s="33">
        <f>'Working Capital Schedule'!L27</f>
        <v/>
      </c>
      <c r="M8" s="33">
        <f>'Working Capital Schedule'!M27</f>
        <v/>
      </c>
      <c r="N8" s="33">
        <f>'Working Capital Schedule'!N27</f>
        <v/>
      </c>
      <c r="O8" s="33">
        <f>'Working Capital Schedule'!O27</f>
        <v/>
      </c>
    </row>
    <row r="9">
      <c r="A9" s="4" t="inlineStr">
        <is>
          <t>Cash flow from operating activities</t>
        </is>
      </c>
      <c r="B9" s="45">
        <f>'Historical Financial Statements'!B42</f>
        <v/>
      </c>
      <c r="C9" s="45">
        <f>'Historical Financial Statements'!C42</f>
        <v/>
      </c>
      <c r="D9" s="45">
        <f>'Historical Financial Statements'!D42</f>
        <v/>
      </c>
      <c r="E9" s="45">
        <f>'Historical Financial Statements'!E42</f>
        <v/>
      </c>
      <c r="F9" s="45">
        <f>'Historical Financial Statements'!F42</f>
        <v/>
      </c>
      <c r="G9" s="45">
        <f>'Historical Financial Statements'!G42</f>
        <v/>
      </c>
      <c r="H9" s="45">
        <f>'Historical Financial Statements'!H42</f>
        <v/>
      </c>
      <c r="I9" s="44">
        <f>SUM(I6:I8)</f>
        <v/>
      </c>
      <c r="J9" s="44">
        <f>SUM(J6:J8)</f>
        <v/>
      </c>
      <c r="K9" s="44">
        <f>SUM(K6:K8)</f>
        <v/>
      </c>
      <c r="L9" s="44">
        <f>SUM(L6:L8)</f>
        <v/>
      </c>
      <c r="M9" s="44">
        <f>SUM(M6:M8)</f>
        <v/>
      </c>
      <c r="N9" s="44">
        <f>SUM(N6:N8)</f>
        <v/>
      </c>
      <c r="O9" s="44">
        <f>SUM(O6:O8)</f>
        <v/>
      </c>
    </row>
    <row r="11">
      <c r="A11" s="11" t="inlineStr">
        <is>
          <t>B.  Investing activities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>
      <c r="A12" s="5" t="inlineStr">
        <is>
          <t xml:space="preserve">   Capital expenditure</t>
        </is>
      </c>
      <c r="I12" s="33">
        <f>-'Assumptions'!I35</f>
        <v/>
      </c>
      <c r="J12" s="33">
        <f>-'Assumptions'!J35</f>
        <v/>
      </c>
      <c r="K12" s="33">
        <f>-'Assumptions'!K35</f>
        <v/>
      </c>
      <c r="L12" s="33">
        <f>-'Assumptions'!L35</f>
        <v/>
      </c>
      <c r="M12" s="33">
        <f>-'Assumptions'!M35</f>
        <v/>
      </c>
      <c r="N12" s="33">
        <f>-'Assumptions'!N35</f>
        <v/>
      </c>
      <c r="O12" s="33">
        <f>-'Assumptions'!O35</f>
        <v/>
      </c>
    </row>
    <row r="13">
      <c r="A13" s="5" t="inlineStr">
        <is>
          <t xml:space="preserve">   Change in CWIP</t>
        </is>
      </c>
      <c r="I13" s="33">
        <f>-('Assumptions'!I44-'Forecast Financial Statements'!H54)</f>
        <v/>
      </c>
      <c r="J13" s="33">
        <f>-('Assumptions'!J44-'Assumptions'!I44)</f>
        <v/>
      </c>
      <c r="K13" s="33">
        <f>-('Assumptions'!K44-'Assumptions'!J44)</f>
        <v/>
      </c>
      <c r="L13" s="33">
        <f>-('Assumptions'!L44-'Assumptions'!K44)</f>
        <v/>
      </c>
      <c r="M13" s="33">
        <f>-('Assumptions'!M44-'Assumptions'!L44)</f>
        <v/>
      </c>
      <c r="N13" s="33">
        <f>-('Assumptions'!N44-'Assumptions'!M44)</f>
        <v/>
      </c>
      <c r="O13" s="33">
        <f>-('Assumptions'!O44-'Assumptions'!N44)</f>
        <v/>
      </c>
    </row>
    <row r="14">
      <c r="A14" s="5" t="inlineStr">
        <is>
          <t xml:space="preserve">   Change in investments</t>
        </is>
      </c>
      <c r="I14" s="33">
        <f>-('Assumptions'!I45-'Forecast Financial Statements'!H55)</f>
        <v/>
      </c>
      <c r="J14" s="33">
        <f>-('Assumptions'!J45-'Assumptions'!I45)</f>
        <v/>
      </c>
      <c r="K14" s="33">
        <f>-('Assumptions'!K45-'Assumptions'!J45)</f>
        <v/>
      </c>
      <c r="L14" s="33">
        <f>-('Assumptions'!L45-'Assumptions'!K45)</f>
        <v/>
      </c>
      <c r="M14" s="33">
        <f>-('Assumptions'!M45-'Assumptions'!L45)</f>
        <v/>
      </c>
      <c r="N14" s="33">
        <f>-('Assumptions'!N45-'Assumptions'!M45)</f>
        <v/>
      </c>
      <c r="O14" s="33">
        <f>-('Assumptions'!O45-'Assumptions'!N45)</f>
        <v/>
      </c>
    </row>
    <row r="15">
      <c r="A15" s="4" t="inlineStr">
        <is>
          <t>Cash flow from investing activities</t>
        </is>
      </c>
      <c r="B15" s="45">
        <f>'Historical Financial Statements'!B43</f>
        <v/>
      </c>
      <c r="C15" s="45">
        <f>'Historical Financial Statements'!C43</f>
        <v/>
      </c>
      <c r="D15" s="45">
        <f>'Historical Financial Statements'!D43</f>
        <v/>
      </c>
      <c r="E15" s="45">
        <f>'Historical Financial Statements'!E43</f>
        <v/>
      </c>
      <c r="F15" s="45">
        <f>'Historical Financial Statements'!F43</f>
        <v/>
      </c>
      <c r="G15" s="45">
        <f>'Historical Financial Statements'!G43</f>
        <v/>
      </c>
      <c r="H15" s="45">
        <f>'Historical Financial Statements'!H43</f>
        <v/>
      </c>
      <c r="I15" s="44">
        <f>SUM(I12:I14)</f>
        <v/>
      </c>
      <c r="J15" s="44">
        <f>SUM(J12:J14)</f>
        <v/>
      </c>
      <c r="K15" s="44">
        <f>SUM(K12:K14)</f>
        <v/>
      </c>
      <c r="L15" s="44">
        <f>SUM(L12:L14)</f>
        <v/>
      </c>
      <c r="M15" s="44">
        <f>SUM(M12:M14)</f>
        <v/>
      </c>
      <c r="N15" s="44">
        <f>SUM(N12:N14)</f>
        <v/>
      </c>
      <c r="O15" s="44">
        <f>SUM(O12:O14)</f>
        <v/>
      </c>
    </row>
    <row r="17">
      <c r="A17" s="11" t="inlineStr">
        <is>
          <t>C.  Financing activities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A18" s="5" t="inlineStr">
        <is>
          <t xml:space="preserve">   New borrowings</t>
        </is>
      </c>
      <c r="I18" s="33">
        <f>'Debt Schedule'!I7</f>
        <v/>
      </c>
      <c r="J18" s="33">
        <f>'Debt Schedule'!J7</f>
        <v/>
      </c>
      <c r="K18" s="33">
        <f>'Debt Schedule'!K7</f>
        <v/>
      </c>
      <c r="L18" s="33">
        <f>'Debt Schedule'!L7</f>
        <v/>
      </c>
      <c r="M18" s="33">
        <f>'Debt Schedule'!M7</f>
        <v/>
      </c>
      <c r="N18" s="33">
        <f>'Debt Schedule'!N7</f>
        <v/>
      </c>
      <c r="O18" s="33">
        <f>'Debt Schedule'!O7</f>
        <v/>
      </c>
    </row>
    <row r="19">
      <c r="A19" s="5" t="inlineStr">
        <is>
          <t xml:space="preserve">   Debt repayment</t>
        </is>
      </c>
      <c r="I19" s="33">
        <f>'Debt Schedule'!I8</f>
        <v/>
      </c>
      <c r="J19" s="33">
        <f>'Debt Schedule'!J8</f>
        <v/>
      </c>
      <c r="K19" s="33">
        <f>'Debt Schedule'!K8</f>
        <v/>
      </c>
      <c r="L19" s="33">
        <f>'Debt Schedule'!L8</f>
        <v/>
      </c>
      <c r="M19" s="33">
        <f>'Debt Schedule'!M8</f>
        <v/>
      </c>
      <c r="N19" s="33">
        <f>'Debt Schedule'!N8</f>
        <v/>
      </c>
      <c r="O19" s="33">
        <f>'Debt Schedule'!O8</f>
        <v/>
      </c>
    </row>
    <row r="20">
      <c r="A20" s="5" t="inlineStr">
        <is>
          <t xml:space="preserve">   Dividends paid</t>
        </is>
      </c>
      <c r="I20" s="33">
        <f>-'Forecast Financial Statements'!I22</f>
        <v/>
      </c>
      <c r="J20" s="33">
        <f>-'Forecast Financial Statements'!J22</f>
        <v/>
      </c>
      <c r="K20" s="33">
        <f>-'Forecast Financial Statements'!K22</f>
        <v/>
      </c>
      <c r="L20" s="33">
        <f>-'Forecast Financial Statements'!L22</f>
        <v/>
      </c>
      <c r="M20" s="33">
        <f>-'Forecast Financial Statements'!M22</f>
        <v/>
      </c>
      <c r="N20" s="33">
        <f>-'Forecast Financial Statements'!N22</f>
        <v/>
      </c>
      <c r="O20" s="33">
        <f>-'Forecast Financial Statements'!O22</f>
        <v/>
      </c>
    </row>
    <row r="21">
      <c r="A21" s="4" t="inlineStr">
        <is>
          <t>Cash flow from financing activities</t>
        </is>
      </c>
      <c r="B21" s="45">
        <f>'Historical Financial Statements'!B44</f>
        <v/>
      </c>
      <c r="C21" s="45">
        <f>'Historical Financial Statements'!C44</f>
        <v/>
      </c>
      <c r="D21" s="45">
        <f>'Historical Financial Statements'!D44</f>
        <v/>
      </c>
      <c r="E21" s="45">
        <f>'Historical Financial Statements'!E44</f>
        <v/>
      </c>
      <c r="F21" s="45">
        <f>'Historical Financial Statements'!F44</f>
        <v/>
      </c>
      <c r="G21" s="45">
        <f>'Historical Financial Statements'!G44</f>
        <v/>
      </c>
      <c r="H21" s="45">
        <f>'Historical Financial Statements'!H44</f>
        <v/>
      </c>
      <c r="I21" s="44">
        <f>SUM(I18:I20)</f>
        <v/>
      </c>
      <c r="J21" s="44">
        <f>SUM(J18:J20)</f>
        <v/>
      </c>
      <c r="K21" s="44">
        <f>SUM(K18:K20)</f>
        <v/>
      </c>
      <c r="L21" s="44">
        <f>SUM(L18:L20)</f>
        <v/>
      </c>
      <c r="M21" s="44">
        <f>SUM(M18:M20)</f>
        <v/>
      </c>
      <c r="N21" s="44">
        <f>SUM(N18:N20)</f>
        <v/>
      </c>
      <c r="O21" s="44">
        <f>SUM(O18:O20)</f>
        <v/>
      </c>
    </row>
    <row r="23">
      <c r="A23" s="4" t="inlineStr">
        <is>
          <t>Net increase/(decrease) in cash</t>
        </is>
      </c>
      <c r="B23" s="43">
        <f>'Historical Financial Statements'!B45</f>
        <v/>
      </c>
      <c r="C23" s="43">
        <f>'Historical Financial Statements'!C45</f>
        <v/>
      </c>
      <c r="D23" s="43">
        <f>'Historical Financial Statements'!D45</f>
        <v/>
      </c>
      <c r="E23" s="43">
        <f>'Historical Financial Statements'!E45</f>
        <v/>
      </c>
      <c r="F23" s="43">
        <f>'Historical Financial Statements'!F45</f>
        <v/>
      </c>
      <c r="G23" s="43">
        <f>'Historical Financial Statements'!G45</f>
        <v/>
      </c>
      <c r="H23" s="43">
        <f>'Historical Financial Statements'!H45</f>
        <v/>
      </c>
      <c r="I23" s="44">
        <f>I9+I15+I21</f>
        <v/>
      </c>
      <c r="J23" s="44">
        <f>J9+J15+J21</f>
        <v/>
      </c>
      <c r="K23" s="44">
        <f>K9+K15+K21</f>
        <v/>
      </c>
      <c r="L23" s="44">
        <f>L9+L15+L21</f>
        <v/>
      </c>
      <c r="M23" s="44">
        <f>M9+M15+M21</f>
        <v/>
      </c>
      <c r="N23" s="44">
        <f>N9+N15+N21</f>
        <v/>
      </c>
      <c r="O23" s="44">
        <f>O9+O15+O21</f>
        <v/>
      </c>
    </row>
    <row r="24">
      <c r="A24" s="5" t="inlineStr">
        <is>
          <t>Opening cash &amp; bank</t>
        </is>
      </c>
      <c r="B24" s="30" t="n">
        <v>6353</v>
      </c>
      <c r="C24" s="30" t="n">
        <v>6961</v>
      </c>
      <c r="D24" s="30" t="n">
        <v>7084</v>
      </c>
      <c r="E24" s="30" t="n">
        <v>6297</v>
      </c>
      <c r="F24" s="30" t="n">
        <v>7126</v>
      </c>
      <c r="G24" s="30" t="n">
        <v>7400</v>
      </c>
      <c r="H24" s="30" t="n">
        <v>6004</v>
      </c>
      <c r="I24" s="33">
        <f>'Forecast Financial Statements'!H67</f>
        <v/>
      </c>
      <c r="J24" s="33">
        <f>I25</f>
        <v/>
      </c>
      <c r="K24" s="33">
        <f>J25</f>
        <v/>
      </c>
      <c r="L24" s="33">
        <f>K25</f>
        <v/>
      </c>
      <c r="M24" s="33">
        <f>L25</f>
        <v/>
      </c>
      <c r="N24" s="33">
        <f>M25</f>
        <v/>
      </c>
      <c r="O24" s="33">
        <f>N25</f>
        <v/>
      </c>
    </row>
    <row r="25">
      <c r="A25" s="4" t="inlineStr">
        <is>
          <t>Closing cash &amp; bank</t>
        </is>
      </c>
      <c r="B25" s="47" t="n">
        <v>6961</v>
      </c>
      <c r="C25" s="47" t="n">
        <v>7084</v>
      </c>
      <c r="D25" s="47" t="n">
        <v>6297</v>
      </c>
      <c r="E25" s="47" t="n">
        <v>7126</v>
      </c>
      <c r="F25" s="47" t="n">
        <v>7400</v>
      </c>
      <c r="G25" s="47" t="n">
        <v>6004</v>
      </c>
      <c r="H25" s="47" t="n">
        <v>11866.62</v>
      </c>
      <c r="I25" s="44">
        <f>I24+I23</f>
        <v/>
      </c>
      <c r="J25" s="44">
        <f>J24+J23</f>
        <v/>
      </c>
      <c r="K25" s="44">
        <f>K24+K23</f>
        <v/>
      </c>
      <c r="L25" s="44">
        <f>L24+L23</f>
        <v/>
      </c>
      <c r="M25" s="44">
        <f>M24+M23</f>
        <v/>
      </c>
      <c r="N25" s="44">
        <f>N24+N23</f>
        <v/>
      </c>
      <c r="O25" s="44">
        <f>O24+O23</f>
        <v/>
      </c>
    </row>
    <row r="26">
      <c r="A26" s="13" t="inlineStr">
        <is>
          <t>FY20-26 operating/investing/financing shown at reported subtotal level; cash balances rolled from reported net cash flow (FY26 anchor estimated).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11" t="inlineStr">
        <is>
          <t>FORECAST FINANCIAL STATEMENTS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3" t="inlineStr">
        <is>
          <t>Integrated three-statement model. FY20-26 reported; FY27-33 forecast (linked to schedules). BS detail shown FY26 onward.</t>
        </is>
      </c>
    </row>
    <row r="3">
      <c r="A3" s="11" t="inlineStr">
        <is>
          <t>A.  INCOME STATEMENT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4" t="inlineStr">
        <is>
          <t>Particulars</t>
        </is>
      </c>
      <c r="B4" s="15" t="inlineStr">
        <is>
          <t>FY2020</t>
        </is>
      </c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</t>
        </is>
      </c>
      <c r="I4" s="15" t="inlineStr">
        <is>
          <t>FY2027</t>
        </is>
      </c>
      <c r="J4" s="15" t="inlineStr">
        <is>
          <t>FY2028</t>
        </is>
      </c>
      <c r="K4" s="15" t="inlineStr">
        <is>
          <t>FY2029</t>
        </is>
      </c>
      <c r="L4" s="15" t="inlineStr">
        <is>
          <t>FY2030</t>
        </is>
      </c>
      <c r="M4" s="15" t="inlineStr">
        <is>
          <t>FY2031</t>
        </is>
      </c>
      <c r="N4" s="15" t="inlineStr">
        <is>
          <t>FY2032</t>
        </is>
      </c>
      <c r="O4" s="15" t="inlineStr">
        <is>
          <t>FY2033</t>
        </is>
      </c>
    </row>
    <row r="5">
      <c r="A5" s="4" t="inlineStr">
        <is>
          <t>Sales</t>
        </is>
      </c>
      <c r="B5" s="43">
        <f>'Historical Financial Statements'!B5</f>
        <v/>
      </c>
      <c r="C5" s="43">
        <f>'Historical Financial Statements'!C5</f>
        <v/>
      </c>
      <c r="D5" s="43">
        <f>'Historical Financial Statements'!D5</f>
        <v/>
      </c>
      <c r="E5" s="43">
        <f>'Historical Financial Statements'!E5</f>
        <v/>
      </c>
      <c r="F5" s="43">
        <f>'Historical Financial Statements'!F5</f>
        <v/>
      </c>
      <c r="G5" s="43">
        <f>'Historical Financial Statements'!G5</f>
        <v/>
      </c>
      <c r="H5" s="43">
        <f>'Historical Financial Statements'!H5</f>
        <v/>
      </c>
      <c r="I5" s="33">
        <f>'Revenue Build-up'!I15</f>
        <v/>
      </c>
      <c r="J5" s="33">
        <f>'Revenue Build-up'!J15</f>
        <v/>
      </c>
      <c r="K5" s="33">
        <f>'Revenue Build-up'!K15</f>
        <v/>
      </c>
      <c r="L5" s="33">
        <f>'Revenue Build-up'!L15</f>
        <v/>
      </c>
      <c r="M5" s="33">
        <f>'Revenue Build-up'!M15</f>
        <v/>
      </c>
      <c r="N5" s="33">
        <f>'Revenue Build-up'!N15</f>
        <v/>
      </c>
      <c r="O5" s="33">
        <f>'Revenue Build-up'!O15</f>
        <v/>
      </c>
    </row>
    <row r="6">
      <c r="A6" s="5" t="inlineStr">
        <is>
          <t>Total COGS</t>
        </is>
      </c>
      <c r="B6" s="43">
        <f>'Historical Financial Statements'!B6</f>
        <v/>
      </c>
      <c r="C6" s="43">
        <f>'Historical Financial Statements'!C6</f>
        <v/>
      </c>
      <c r="D6" s="43">
        <f>'Historical Financial Statements'!D6</f>
        <v/>
      </c>
      <c r="E6" s="43">
        <f>'Historical Financial Statements'!E6</f>
        <v/>
      </c>
      <c r="F6" s="43">
        <f>'Historical Financial Statements'!F6</f>
        <v/>
      </c>
      <c r="G6" s="43">
        <f>'Historical Financial Statements'!G6</f>
        <v/>
      </c>
      <c r="H6" s="43">
        <f>'Historical Financial Statements'!H6</f>
        <v/>
      </c>
      <c r="I6" s="33">
        <f>'Cost Forecast'!I13</f>
        <v/>
      </c>
      <c r="J6" s="33">
        <f>'Cost Forecast'!J13</f>
        <v/>
      </c>
      <c r="K6" s="33">
        <f>'Cost Forecast'!K13</f>
        <v/>
      </c>
      <c r="L6" s="33">
        <f>'Cost Forecast'!L13</f>
        <v/>
      </c>
      <c r="M6" s="33">
        <f>'Cost Forecast'!M13</f>
        <v/>
      </c>
      <c r="N6" s="33">
        <f>'Cost Forecast'!N13</f>
        <v/>
      </c>
      <c r="O6" s="33">
        <f>'Cost Forecast'!O13</f>
        <v/>
      </c>
    </row>
    <row r="7">
      <c r="A7" s="4" t="inlineStr">
        <is>
          <t>Gross Profit</t>
        </is>
      </c>
      <c r="B7" s="31">
        <f>B5-B6</f>
        <v/>
      </c>
      <c r="C7" s="31">
        <f>C5-C6</f>
        <v/>
      </c>
      <c r="D7" s="31">
        <f>D5-D6</f>
        <v/>
      </c>
      <c r="E7" s="31">
        <f>E5-E6</f>
        <v/>
      </c>
      <c r="F7" s="31">
        <f>F5-F6</f>
        <v/>
      </c>
      <c r="G7" s="31">
        <f>G5-G6</f>
        <v/>
      </c>
      <c r="H7" s="31">
        <f>H5-H6</f>
        <v/>
      </c>
      <c r="I7" s="31">
        <f>I5-I6</f>
        <v/>
      </c>
      <c r="J7" s="31">
        <f>J5-J6</f>
        <v/>
      </c>
      <c r="K7" s="31">
        <f>K5-K6</f>
        <v/>
      </c>
      <c r="L7" s="31">
        <f>L5-L6</f>
        <v/>
      </c>
      <c r="M7" s="31">
        <f>M5-M6</f>
        <v/>
      </c>
      <c r="N7" s="31">
        <f>N5-N6</f>
        <v/>
      </c>
      <c r="O7" s="31">
        <f>O5-O6</f>
        <v/>
      </c>
    </row>
    <row r="8">
      <c r="A8" s="5" t="inlineStr">
        <is>
          <t>Operating Expenses</t>
        </is>
      </c>
    </row>
    <row r="9">
      <c r="A9" s="5" t="inlineStr">
        <is>
          <t xml:space="preserve">   Employee Cost</t>
        </is>
      </c>
      <c r="B9" s="43">
        <f>'Historical Financial Statements'!B9</f>
        <v/>
      </c>
      <c r="C9" s="43">
        <f>'Historical Financial Statements'!C9</f>
        <v/>
      </c>
      <c r="D9" s="43">
        <f>'Historical Financial Statements'!D9</f>
        <v/>
      </c>
      <c r="E9" s="43">
        <f>'Historical Financial Statements'!E9</f>
        <v/>
      </c>
      <c r="F9" s="43">
        <f>'Historical Financial Statements'!F9</f>
        <v/>
      </c>
      <c r="G9" s="43">
        <f>'Historical Financial Statements'!G9</f>
        <v/>
      </c>
      <c r="H9" s="43">
        <f>'Historical Financial Statements'!H9</f>
        <v/>
      </c>
      <c r="I9" s="33">
        <f>'Cost Forecast'!I16</f>
        <v/>
      </c>
      <c r="J9" s="33">
        <f>'Cost Forecast'!J16</f>
        <v/>
      </c>
      <c r="K9" s="33">
        <f>'Cost Forecast'!K16</f>
        <v/>
      </c>
      <c r="L9" s="33">
        <f>'Cost Forecast'!L16</f>
        <v/>
      </c>
      <c r="M9" s="33">
        <f>'Cost Forecast'!M16</f>
        <v/>
      </c>
      <c r="N9" s="33">
        <f>'Cost Forecast'!N16</f>
        <v/>
      </c>
      <c r="O9" s="33">
        <f>'Cost Forecast'!O16</f>
        <v/>
      </c>
    </row>
    <row r="10">
      <c r="A10" s="5" t="inlineStr">
        <is>
          <t xml:space="preserve">   Selling and admin</t>
        </is>
      </c>
      <c r="B10" s="43">
        <f>'Historical Financial Statements'!B10</f>
        <v/>
      </c>
      <c r="C10" s="43">
        <f>'Historical Financial Statements'!C10</f>
        <v/>
      </c>
      <c r="D10" s="43">
        <f>'Historical Financial Statements'!D10</f>
        <v/>
      </c>
      <c r="E10" s="43">
        <f>'Historical Financial Statements'!E10</f>
        <v/>
      </c>
      <c r="F10" s="43">
        <f>'Historical Financial Statements'!F10</f>
        <v/>
      </c>
      <c r="G10" s="43">
        <f>'Historical Financial Statements'!G10</f>
        <v/>
      </c>
      <c r="H10" s="43">
        <f>'Historical Financial Statements'!H10</f>
        <v/>
      </c>
      <c r="I10" s="33">
        <f>'Cost Forecast'!I20</f>
        <v/>
      </c>
      <c r="J10" s="33">
        <f>'Cost Forecast'!J20</f>
        <v/>
      </c>
      <c r="K10" s="33">
        <f>'Cost Forecast'!K20</f>
        <v/>
      </c>
      <c r="L10" s="33">
        <f>'Cost Forecast'!L20</f>
        <v/>
      </c>
      <c r="M10" s="33">
        <f>'Cost Forecast'!M20</f>
        <v/>
      </c>
      <c r="N10" s="33">
        <f>'Cost Forecast'!N20</f>
        <v/>
      </c>
      <c r="O10" s="33">
        <f>'Cost Forecast'!O20</f>
        <v/>
      </c>
    </row>
    <row r="11">
      <c r="A11" s="4" t="inlineStr">
        <is>
          <t>Total Operating Expenses</t>
        </is>
      </c>
      <c r="B11" s="31">
        <f>B9+B10</f>
        <v/>
      </c>
      <c r="C11" s="31">
        <f>C9+C10</f>
        <v/>
      </c>
      <c r="D11" s="31">
        <f>D9+D10</f>
        <v/>
      </c>
      <c r="E11" s="31">
        <f>E9+E10</f>
        <v/>
      </c>
      <c r="F11" s="31">
        <f>F9+F10</f>
        <v/>
      </c>
      <c r="G11" s="31">
        <f>G9+G10</f>
        <v/>
      </c>
      <c r="H11" s="31">
        <f>H9+H10</f>
        <v/>
      </c>
      <c r="I11" s="31">
        <f>I9+I10</f>
        <v/>
      </c>
      <c r="J11" s="31">
        <f>J9+J10</f>
        <v/>
      </c>
      <c r="K11" s="31">
        <f>K9+K10</f>
        <v/>
      </c>
      <c r="L11" s="31">
        <f>L9+L10</f>
        <v/>
      </c>
      <c r="M11" s="31">
        <f>M9+M10</f>
        <v/>
      </c>
      <c r="N11" s="31">
        <f>N9+N10</f>
        <v/>
      </c>
      <c r="O11" s="31">
        <f>O9+O10</f>
        <v/>
      </c>
    </row>
    <row r="12">
      <c r="A12" s="4" t="inlineStr">
        <is>
          <t>EBITDA</t>
        </is>
      </c>
      <c r="B12" s="32">
        <f>B7-B11</f>
        <v/>
      </c>
      <c r="C12" s="32">
        <f>C7-C11</f>
        <v/>
      </c>
      <c r="D12" s="32">
        <f>D7-D11</f>
        <v/>
      </c>
      <c r="E12" s="32">
        <f>E7-E11</f>
        <v/>
      </c>
      <c r="F12" s="32">
        <f>F7-F11</f>
        <v/>
      </c>
      <c r="G12" s="32">
        <f>G7-G11</f>
        <v/>
      </c>
      <c r="H12" s="32">
        <f>H7-H11</f>
        <v/>
      </c>
      <c r="I12" s="32">
        <f>I7-I11</f>
        <v/>
      </c>
      <c r="J12" s="32">
        <f>J7-J11</f>
        <v/>
      </c>
      <c r="K12" s="32">
        <f>K7-K11</f>
        <v/>
      </c>
      <c r="L12" s="32">
        <f>L7-L11</f>
        <v/>
      </c>
      <c r="M12" s="32">
        <f>M7-M11</f>
        <v/>
      </c>
      <c r="N12" s="32">
        <f>N7-N11</f>
        <v/>
      </c>
      <c r="O12" s="32">
        <f>O7-O11</f>
        <v/>
      </c>
    </row>
    <row r="13">
      <c r="A13" s="5" t="inlineStr">
        <is>
          <t>Depreciation &amp; Amortization</t>
        </is>
      </c>
      <c r="B13" s="43">
        <f>'Historical Financial Statements'!B13</f>
        <v/>
      </c>
      <c r="C13" s="43">
        <f>'Historical Financial Statements'!C13</f>
        <v/>
      </c>
      <c r="D13" s="43">
        <f>'Historical Financial Statements'!D13</f>
        <v/>
      </c>
      <c r="E13" s="43">
        <f>'Historical Financial Statements'!E13</f>
        <v/>
      </c>
      <c r="F13" s="43">
        <f>'Historical Financial Statements'!F13</f>
        <v/>
      </c>
      <c r="G13" s="43">
        <f>'Historical Financial Statements'!G13</f>
        <v/>
      </c>
      <c r="H13" s="43">
        <f>'Historical Financial Statements'!H13</f>
        <v/>
      </c>
      <c r="I13" s="33">
        <f>'Depreciation Schedule'!I8</f>
        <v/>
      </c>
      <c r="J13" s="33">
        <f>'Depreciation Schedule'!J8</f>
        <v/>
      </c>
      <c r="K13" s="33">
        <f>'Depreciation Schedule'!K8</f>
        <v/>
      </c>
      <c r="L13" s="33">
        <f>'Depreciation Schedule'!L8</f>
        <v/>
      </c>
      <c r="M13" s="33">
        <f>'Depreciation Schedule'!M8</f>
        <v/>
      </c>
      <c r="N13" s="33">
        <f>'Depreciation Schedule'!N8</f>
        <v/>
      </c>
      <c r="O13" s="33">
        <f>'Depreciation Schedule'!O8</f>
        <v/>
      </c>
    </row>
    <row r="14">
      <c r="A14" s="4" t="inlineStr">
        <is>
          <t>EBIT</t>
        </is>
      </c>
      <c r="B14" s="33">
        <f>B12-B13</f>
        <v/>
      </c>
      <c r="C14" s="33">
        <f>C12-C13</f>
        <v/>
      </c>
      <c r="D14" s="33">
        <f>D12-D13</f>
        <v/>
      </c>
      <c r="E14" s="33">
        <f>E12-E13</f>
        <v/>
      </c>
      <c r="F14" s="33">
        <f>F12-F13</f>
        <v/>
      </c>
      <c r="G14" s="33">
        <f>G12-G13</f>
        <v/>
      </c>
      <c r="H14" s="33">
        <f>H12-H13</f>
        <v/>
      </c>
      <c r="I14" s="33">
        <f>I12-I13</f>
        <v/>
      </c>
      <c r="J14" s="33">
        <f>J12-J13</f>
        <v/>
      </c>
      <c r="K14" s="33">
        <f>K12-K13</f>
        <v/>
      </c>
      <c r="L14" s="33">
        <f>L12-L13</f>
        <v/>
      </c>
      <c r="M14" s="33">
        <f>M12-M13</f>
        <v/>
      </c>
      <c r="N14" s="33">
        <f>N12-N13</f>
        <v/>
      </c>
      <c r="O14" s="33">
        <f>O12-O13</f>
        <v/>
      </c>
    </row>
    <row r="15">
      <c r="A15" s="5" t="inlineStr">
        <is>
          <t>Other Income</t>
        </is>
      </c>
      <c r="B15" s="43">
        <f>'Historical Financial Statements'!B15</f>
        <v/>
      </c>
      <c r="C15" s="43">
        <f>'Historical Financial Statements'!C15</f>
        <v/>
      </c>
      <c r="D15" s="43">
        <f>'Historical Financial Statements'!D15</f>
        <v/>
      </c>
      <c r="E15" s="43">
        <f>'Historical Financial Statements'!E15</f>
        <v/>
      </c>
      <c r="F15" s="43">
        <f>'Historical Financial Statements'!F15</f>
        <v/>
      </c>
      <c r="G15" s="43">
        <f>'Historical Financial Statements'!G15</f>
        <v/>
      </c>
      <c r="H15" s="43">
        <f>'Historical Financial Statements'!H15</f>
        <v/>
      </c>
      <c r="I15" s="33">
        <f>'Assumptions'!I23*I5</f>
        <v/>
      </c>
      <c r="J15" s="33">
        <f>'Assumptions'!J23*J5</f>
        <v/>
      </c>
      <c r="K15" s="33">
        <f>'Assumptions'!K23*K5</f>
        <v/>
      </c>
      <c r="L15" s="33">
        <f>'Assumptions'!L23*L5</f>
        <v/>
      </c>
      <c r="M15" s="33">
        <f>'Assumptions'!M23*M5</f>
        <v/>
      </c>
      <c r="N15" s="33">
        <f>'Assumptions'!N23*N5</f>
        <v/>
      </c>
      <c r="O15" s="33">
        <f>'Assumptions'!O23*O5</f>
        <v/>
      </c>
    </row>
    <row r="16">
      <c r="A16" s="5" t="inlineStr">
        <is>
          <t>Interest Paid</t>
        </is>
      </c>
      <c r="B16" s="43">
        <f>'Historical Financial Statements'!B16</f>
        <v/>
      </c>
      <c r="C16" s="43">
        <f>'Historical Financial Statements'!C16</f>
        <v/>
      </c>
      <c r="D16" s="43">
        <f>'Historical Financial Statements'!D16</f>
        <v/>
      </c>
      <c r="E16" s="43">
        <f>'Historical Financial Statements'!E16</f>
        <v/>
      </c>
      <c r="F16" s="43">
        <f>'Historical Financial Statements'!F16</f>
        <v/>
      </c>
      <c r="G16" s="43">
        <f>'Historical Financial Statements'!G16</f>
        <v/>
      </c>
      <c r="H16" s="43">
        <f>'Historical Financial Statements'!H16</f>
        <v/>
      </c>
      <c r="I16" s="33">
        <f>'Debt Schedule'!I11</f>
        <v/>
      </c>
      <c r="J16" s="33">
        <f>'Debt Schedule'!J11</f>
        <v/>
      </c>
      <c r="K16" s="33">
        <f>'Debt Schedule'!K11</f>
        <v/>
      </c>
      <c r="L16" s="33">
        <f>'Debt Schedule'!L11</f>
        <v/>
      </c>
      <c r="M16" s="33">
        <f>'Debt Schedule'!M11</f>
        <v/>
      </c>
      <c r="N16" s="33">
        <f>'Debt Schedule'!N11</f>
        <v/>
      </c>
      <c r="O16" s="33">
        <f>'Debt Schedule'!O11</f>
        <v/>
      </c>
    </row>
    <row r="17">
      <c r="A17" s="4" t="inlineStr">
        <is>
          <t>Profit Before Tax (PBT)</t>
        </is>
      </c>
      <c r="B17" s="31">
        <f>B14+B15-B16</f>
        <v/>
      </c>
      <c r="C17" s="31">
        <f>C14+C15-C16</f>
        <v/>
      </c>
      <c r="D17" s="31">
        <f>D14+D15-D16</f>
        <v/>
      </c>
      <c r="E17" s="31">
        <f>E14+E15-E16</f>
        <v/>
      </c>
      <c r="F17" s="31">
        <f>F14+F15-F16</f>
        <v/>
      </c>
      <c r="G17" s="31">
        <f>G14+G15-G16</f>
        <v/>
      </c>
      <c r="H17" s="31">
        <f>H14+H15-H16</f>
        <v/>
      </c>
      <c r="I17" s="31">
        <f>I14+I15-I16</f>
        <v/>
      </c>
      <c r="J17" s="31">
        <f>J14+J15-J16</f>
        <v/>
      </c>
      <c r="K17" s="31">
        <f>K14+K15-K16</f>
        <v/>
      </c>
      <c r="L17" s="31">
        <f>L14+L15-L16</f>
        <v/>
      </c>
      <c r="M17" s="31">
        <f>M14+M15-M16</f>
        <v/>
      </c>
      <c r="N17" s="31">
        <f>N14+N15-N16</f>
        <v/>
      </c>
      <c r="O17" s="31">
        <f>O14+O15-O16</f>
        <v/>
      </c>
    </row>
    <row r="18">
      <c r="A18" s="5" t="inlineStr">
        <is>
          <t>Tax</t>
        </is>
      </c>
      <c r="B18" s="43">
        <f>'Historical Financial Statements'!B18</f>
        <v/>
      </c>
      <c r="C18" s="43">
        <f>'Historical Financial Statements'!C18</f>
        <v/>
      </c>
      <c r="D18" s="43">
        <f>'Historical Financial Statements'!D18</f>
        <v/>
      </c>
      <c r="E18" s="43">
        <f>'Historical Financial Statements'!E18</f>
        <v/>
      </c>
      <c r="F18" s="43">
        <f>'Historical Financial Statements'!F18</f>
        <v/>
      </c>
      <c r="G18" s="43">
        <f>'Historical Financial Statements'!G18</f>
        <v/>
      </c>
      <c r="H18" s="43">
        <f>'Historical Financial Statements'!H18</f>
        <v/>
      </c>
      <c r="I18" s="33">
        <f>'Assumptions'!I46*I17</f>
        <v/>
      </c>
      <c r="J18" s="33">
        <f>'Assumptions'!J46*J17</f>
        <v/>
      </c>
      <c r="K18" s="33">
        <f>'Assumptions'!K46*K17</f>
        <v/>
      </c>
      <c r="L18" s="33">
        <f>'Assumptions'!L46*L17</f>
        <v/>
      </c>
      <c r="M18" s="33">
        <f>'Assumptions'!M46*M17</f>
        <v/>
      </c>
      <c r="N18" s="33">
        <f>'Assumptions'!N46*N17</f>
        <v/>
      </c>
      <c r="O18" s="33">
        <f>'Assumptions'!O46*O17</f>
        <v/>
      </c>
    </row>
    <row r="19">
      <c r="A19" s="5" t="inlineStr">
        <is>
          <t>Adjustments</t>
        </is>
      </c>
      <c r="B19" s="43">
        <f>'Historical Financial Statements'!B19</f>
        <v/>
      </c>
      <c r="C19" s="43">
        <f>'Historical Financial Statements'!C19</f>
        <v/>
      </c>
      <c r="D19" s="43">
        <f>'Historical Financial Statements'!D19</f>
        <v/>
      </c>
      <c r="E19" s="43">
        <f>'Historical Financial Statements'!E19</f>
        <v/>
      </c>
      <c r="F19" s="43">
        <f>'Historical Financial Statements'!F19</f>
        <v/>
      </c>
      <c r="G19" s="43">
        <f>'Historical Financial Statements'!G19</f>
        <v/>
      </c>
      <c r="H19" s="43">
        <f>'Historical Financial Statements'!H19</f>
        <v/>
      </c>
      <c r="I19" s="33" t="n">
        <v>0</v>
      </c>
      <c r="J19" s="33" t="n">
        <v>0</v>
      </c>
      <c r="K19" s="33" t="n">
        <v>0</v>
      </c>
      <c r="L19" s="33" t="n">
        <v>0</v>
      </c>
      <c r="M19" s="33" t="n">
        <v>0</v>
      </c>
      <c r="N19" s="33" t="n">
        <v>0</v>
      </c>
      <c r="O19" s="33" t="n">
        <v>0</v>
      </c>
    </row>
    <row r="20">
      <c r="A20" s="4" t="inlineStr">
        <is>
          <t>Profit After Tax (PAT)</t>
        </is>
      </c>
      <c r="B20" s="34">
        <f>B17-B18+B19</f>
        <v/>
      </c>
      <c r="C20" s="34">
        <f>C17-C18+C19</f>
        <v/>
      </c>
      <c r="D20" s="34">
        <f>D17-D18+D19</f>
        <v/>
      </c>
      <c r="E20" s="34">
        <f>E17-E18+E19</f>
        <v/>
      </c>
      <c r="F20" s="34">
        <f>F17-F18+F19</f>
        <v/>
      </c>
      <c r="G20" s="34">
        <f>G17-G18+G19</f>
        <v/>
      </c>
      <c r="H20" s="34">
        <f>H17-H18+H19</f>
        <v/>
      </c>
      <c r="I20" s="34">
        <f>I17-I18+I19</f>
        <v/>
      </c>
      <c r="J20" s="34">
        <f>J17-J18+J19</f>
        <v/>
      </c>
      <c r="K20" s="34">
        <f>K17-K18+K19</f>
        <v/>
      </c>
      <c r="L20" s="34">
        <f>L17-L18+L19</f>
        <v/>
      </c>
      <c r="M20" s="34">
        <f>M17-M18+M19</f>
        <v/>
      </c>
      <c r="N20" s="34">
        <f>N17-N18+N19</f>
        <v/>
      </c>
      <c r="O20" s="34">
        <f>O17-O18+O19</f>
        <v/>
      </c>
    </row>
    <row r="21">
      <c r="A21" s="5" t="inlineStr">
        <is>
          <t>EPS (INR)</t>
        </is>
      </c>
      <c r="B21" s="35">
        <f>B20/'Assumptions'!C66</f>
        <v/>
      </c>
      <c r="C21" s="35">
        <f>C20/'Assumptions'!C66</f>
        <v/>
      </c>
      <c r="D21" s="35">
        <f>D20/'Assumptions'!C66</f>
        <v/>
      </c>
      <c r="E21" s="35">
        <f>E20/'Assumptions'!C66</f>
        <v/>
      </c>
      <c r="F21" s="35">
        <f>F20/'Assumptions'!C66</f>
        <v/>
      </c>
      <c r="G21" s="35">
        <f>G20/'Assumptions'!C66</f>
        <v/>
      </c>
      <c r="H21" s="35">
        <f>H20/'Assumptions'!C66</f>
        <v/>
      </c>
      <c r="I21" s="35">
        <f>I20/'Assumptions'!C66</f>
        <v/>
      </c>
      <c r="J21" s="35">
        <f>J20/'Assumptions'!C66</f>
        <v/>
      </c>
      <c r="K21" s="35">
        <f>K20/'Assumptions'!C66</f>
        <v/>
      </c>
      <c r="L21" s="35">
        <f>L20/'Assumptions'!C66</f>
        <v/>
      </c>
      <c r="M21" s="35">
        <f>M20/'Assumptions'!C66</f>
        <v/>
      </c>
      <c r="N21" s="35">
        <f>N20/'Assumptions'!C66</f>
        <v/>
      </c>
      <c r="O21" s="35">
        <f>O20/'Assumptions'!C66</f>
        <v/>
      </c>
    </row>
    <row r="22">
      <c r="A22" s="5" t="inlineStr">
        <is>
          <t>Dividend</t>
        </is>
      </c>
      <c r="B22" s="43">
        <f>'Historical Financial Statements'!B22</f>
        <v/>
      </c>
      <c r="C22" s="43">
        <f>'Historical Financial Statements'!C22</f>
        <v/>
      </c>
      <c r="D22" s="43">
        <f>'Historical Financial Statements'!D22</f>
        <v/>
      </c>
      <c r="E22" s="43">
        <f>'Historical Financial Statements'!E22</f>
        <v/>
      </c>
      <c r="F22" s="43">
        <f>'Historical Financial Statements'!F22</f>
        <v/>
      </c>
      <c r="G22" s="43">
        <f>'Historical Financial Statements'!G22</f>
        <v/>
      </c>
      <c r="H22" s="43">
        <f>'Historical Financial Statements'!H22</f>
        <v/>
      </c>
      <c r="I22" s="33">
        <f>'Assumptions'!I47*I20</f>
        <v/>
      </c>
      <c r="J22" s="33">
        <f>'Assumptions'!J47*J20</f>
        <v/>
      </c>
      <c r="K22" s="33">
        <f>'Assumptions'!K47*K20</f>
        <v/>
      </c>
      <c r="L22" s="33">
        <f>'Assumptions'!L47*L20</f>
        <v/>
      </c>
      <c r="M22" s="33">
        <f>'Assumptions'!M47*M20</f>
        <v/>
      </c>
      <c r="N22" s="33">
        <f>'Assumptions'!N47*N20</f>
        <v/>
      </c>
      <c r="O22" s="33">
        <f>'Assumptions'!O47*O20</f>
        <v/>
      </c>
    </row>
    <row r="24">
      <c r="A24" s="75" t="inlineStr">
        <is>
          <t>B.  BALANCE SHEET  (FY2020-26 reported; FY2027-33 forecast)  -  current vs non-current</t>
        </is>
      </c>
    </row>
    <row r="25">
      <c r="A25" s="76" t="inlineStr">
        <is>
          <t>Particulars</t>
        </is>
      </c>
      <c r="B25" s="90" t="inlineStr">
        <is>
          <t>FY2020</t>
        </is>
      </c>
      <c r="C25" s="90" t="inlineStr">
        <is>
          <t>FY2021</t>
        </is>
      </c>
      <c r="D25" s="90" t="inlineStr">
        <is>
          <t>FY2022</t>
        </is>
      </c>
      <c r="E25" s="90" t="inlineStr">
        <is>
          <t>FY2023</t>
        </is>
      </c>
      <c r="F25" s="90" t="inlineStr">
        <is>
          <t>FY2024</t>
        </is>
      </c>
      <c r="G25" s="90" t="inlineStr">
        <is>
          <t>FY2025</t>
        </is>
      </c>
      <c r="H25" s="90" t="inlineStr">
        <is>
          <t>FY2026</t>
        </is>
      </c>
      <c r="I25" s="90" t="inlineStr">
        <is>
          <t>FY2027</t>
        </is>
      </c>
      <c r="J25" s="90" t="inlineStr">
        <is>
          <t>FY2028</t>
        </is>
      </c>
      <c r="K25" s="90" t="inlineStr">
        <is>
          <t>FY2029</t>
        </is>
      </c>
      <c r="L25" s="90" t="inlineStr">
        <is>
          <t>FY2030</t>
        </is>
      </c>
      <c r="M25" s="90" t="inlineStr">
        <is>
          <t>FY2031</t>
        </is>
      </c>
      <c r="N25" s="90" t="inlineStr">
        <is>
          <t>FY2032</t>
        </is>
      </c>
      <c r="O25" s="90" t="inlineStr">
        <is>
          <t>FY2033</t>
        </is>
      </c>
    </row>
    <row r="26">
      <c r="A26" s="91" t="inlineStr">
        <is>
          <t>EQUITY &amp; LIABILITIES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92" t="inlineStr">
        <is>
          <t>Shareholders' Fund</t>
        </is>
      </c>
    </row>
    <row r="28">
      <c r="A28" s="5" t="inlineStr">
        <is>
          <t xml:space="preserve">   Share Capital</t>
        </is>
      </c>
      <c r="B28" s="30" t="n">
        <v>696.41</v>
      </c>
      <c r="C28" s="30" t="n">
        <v>696.41</v>
      </c>
      <c r="D28" s="30" t="n">
        <v>696.41</v>
      </c>
      <c r="E28" s="30" t="n">
        <v>696.41</v>
      </c>
      <c r="F28" s="30" t="n">
        <v>696.41</v>
      </c>
      <c r="G28" s="30" t="n">
        <v>696.41</v>
      </c>
      <c r="H28" s="30" t="n">
        <v>696.41</v>
      </c>
      <c r="I28" s="43">
        <f>'Equity Schedule'!I12</f>
        <v/>
      </c>
      <c r="J28" s="43">
        <f>'Equity Schedule'!J12</f>
        <v/>
      </c>
      <c r="K28" s="43">
        <f>'Equity Schedule'!K12</f>
        <v/>
      </c>
      <c r="L28" s="43">
        <f>'Equity Schedule'!L12</f>
        <v/>
      </c>
      <c r="M28" s="43">
        <f>'Equity Schedule'!M12</f>
        <v/>
      </c>
      <c r="N28" s="43">
        <f>'Equity Schedule'!N12</f>
        <v/>
      </c>
      <c r="O28" s="43">
        <f>'Equity Schedule'!O12</f>
        <v/>
      </c>
    </row>
    <row r="29">
      <c r="A29" s="5" t="inlineStr">
        <is>
          <t xml:space="preserve">   Reserve &amp; Surplus</t>
        </is>
      </c>
      <c r="B29" s="30" t="n">
        <v>27964.31</v>
      </c>
      <c r="C29" s="30" t="n">
        <v>25287.25</v>
      </c>
      <c r="D29" s="30" t="n">
        <v>25810.19</v>
      </c>
      <c r="E29" s="30" t="n">
        <v>23681.85</v>
      </c>
      <c r="F29" s="30" t="n">
        <v>23742.24</v>
      </c>
      <c r="G29" s="30" t="n">
        <v>24025.75</v>
      </c>
      <c r="H29" s="30" t="n">
        <v>25450.19</v>
      </c>
      <c r="I29" s="43">
        <f>'Equity Schedule'!I10</f>
        <v/>
      </c>
      <c r="J29" s="43">
        <f>'Equity Schedule'!J10</f>
        <v/>
      </c>
      <c r="K29" s="43">
        <f>'Equity Schedule'!K10</f>
        <v/>
      </c>
      <c r="L29" s="43">
        <f>'Equity Schedule'!L10</f>
        <v/>
      </c>
      <c r="M29" s="43">
        <f>'Equity Schedule'!M10</f>
        <v/>
      </c>
      <c r="N29" s="43">
        <f>'Equity Schedule'!N10</f>
        <v/>
      </c>
      <c r="O29" s="43">
        <f>'Equity Schedule'!O10</f>
        <v/>
      </c>
    </row>
    <row r="30">
      <c r="A30" s="76" t="inlineStr">
        <is>
          <t>Total Shareholders' Fund</t>
        </is>
      </c>
      <c r="B30" s="93">
        <f>B28+B29</f>
        <v/>
      </c>
      <c r="C30" s="93">
        <f>C28+C29</f>
        <v/>
      </c>
      <c r="D30" s="93">
        <f>D28+D29</f>
        <v/>
      </c>
      <c r="E30" s="93">
        <f>E28+E29</f>
        <v/>
      </c>
      <c r="F30" s="93">
        <f>F28+F29</f>
        <v/>
      </c>
      <c r="G30" s="93">
        <f>G28+G29</f>
        <v/>
      </c>
      <c r="H30" s="93">
        <f>H28+H29</f>
        <v/>
      </c>
      <c r="I30" s="93">
        <f>I28+I29</f>
        <v/>
      </c>
      <c r="J30" s="93">
        <f>J28+J29</f>
        <v/>
      </c>
      <c r="K30" s="93">
        <f>K28+K29</f>
        <v/>
      </c>
      <c r="L30" s="93">
        <f>L28+L29</f>
        <v/>
      </c>
      <c r="M30" s="93">
        <f>M28+M29</f>
        <v/>
      </c>
      <c r="N30" s="93">
        <f>N28+N29</f>
        <v/>
      </c>
      <c r="O30" s="93">
        <f>O28+O29</f>
        <v/>
      </c>
    </row>
    <row r="32">
      <c r="A32" s="92" t="inlineStr">
        <is>
          <t>Non-Current Liabilities</t>
        </is>
      </c>
    </row>
    <row r="33">
      <c r="A33" s="5" t="inlineStr">
        <is>
          <t xml:space="preserve">   Long-term Borrowings</t>
        </is>
      </c>
      <c r="B33" s="30" t="n">
        <v>0</v>
      </c>
      <c r="C33" s="30" t="n">
        <v>0</v>
      </c>
      <c r="D33" s="30" t="n">
        <v>0</v>
      </c>
      <c r="E33" s="30" t="n">
        <v>0</v>
      </c>
      <c r="F33" s="30" t="n">
        <v>0</v>
      </c>
      <c r="G33" s="30" t="n">
        <v>0</v>
      </c>
      <c r="H33" s="30" t="n">
        <v>168.18</v>
      </c>
      <c r="I33" s="43">
        <f>'Assumptions'!I51*'Debt Schedule'!I9</f>
        <v/>
      </c>
      <c r="J33" s="43">
        <f>'Assumptions'!J51*'Debt Schedule'!J9</f>
        <v/>
      </c>
      <c r="K33" s="43">
        <f>'Assumptions'!K51*'Debt Schedule'!K9</f>
        <v/>
      </c>
      <c r="L33" s="43">
        <f>'Assumptions'!L51*'Debt Schedule'!L9</f>
        <v/>
      </c>
      <c r="M33" s="43">
        <f>'Assumptions'!M51*'Debt Schedule'!M9</f>
        <v/>
      </c>
      <c r="N33" s="43">
        <f>'Assumptions'!N51*'Debt Schedule'!N9</f>
        <v/>
      </c>
      <c r="O33" s="43">
        <f>'Assumptions'!O51*'Debt Schedule'!O9</f>
        <v/>
      </c>
    </row>
    <row r="34">
      <c r="A34" s="5" t="inlineStr">
        <is>
          <t xml:space="preserve">   Trade Payables - non-current</t>
        </is>
      </c>
      <c r="B34" s="94" t="n">
        <v>376.46</v>
      </c>
      <c r="C34" s="94" t="n">
        <v>439.99</v>
      </c>
      <c r="D34" s="94" t="n">
        <v>405.73</v>
      </c>
      <c r="E34" s="94" t="n">
        <v>449.4</v>
      </c>
      <c r="F34" s="94" t="n">
        <v>595.6</v>
      </c>
      <c r="G34" s="94" t="n">
        <v>1108.19</v>
      </c>
      <c r="H34" s="30" t="n">
        <v>1343.44</v>
      </c>
      <c r="I34" s="43">
        <f>'Working Capital Schedule'!I18</f>
        <v/>
      </c>
      <c r="J34" s="43">
        <f>'Working Capital Schedule'!J18</f>
        <v/>
      </c>
      <c r="K34" s="43">
        <f>'Working Capital Schedule'!K18</f>
        <v/>
      </c>
      <c r="L34" s="43">
        <f>'Working Capital Schedule'!L18</f>
        <v/>
      </c>
      <c r="M34" s="43">
        <f>'Working Capital Schedule'!M18</f>
        <v/>
      </c>
      <c r="N34" s="43">
        <f>'Working Capital Schedule'!N18</f>
        <v/>
      </c>
      <c r="O34" s="43">
        <f>'Working Capital Schedule'!O18</f>
        <v/>
      </c>
    </row>
    <row r="35">
      <c r="A35" s="5" t="inlineStr">
        <is>
          <t xml:space="preserve">   Contract Liabilities - non-current</t>
        </is>
      </c>
      <c r="B35" s="94" t="n">
        <v>3758.65</v>
      </c>
      <c r="C35" s="94" t="n">
        <v>4392.97</v>
      </c>
      <c r="D35" s="94" t="n">
        <v>4050.94</v>
      </c>
      <c r="E35" s="94" t="n">
        <v>4486.9</v>
      </c>
      <c r="F35" s="94" t="n">
        <v>5946.6</v>
      </c>
      <c r="G35" s="94" t="n">
        <v>11064.42</v>
      </c>
      <c r="H35" s="30" t="n">
        <v>13413.24</v>
      </c>
      <c r="I35" s="43">
        <f>'Working Capital Schedule'!I20</f>
        <v/>
      </c>
      <c r="J35" s="43">
        <f>'Working Capital Schedule'!J20</f>
        <v/>
      </c>
      <c r="K35" s="43">
        <f>'Working Capital Schedule'!K20</f>
        <v/>
      </c>
      <c r="L35" s="43">
        <f>'Working Capital Schedule'!L20</f>
        <v/>
      </c>
      <c r="M35" s="43">
        <f>'Working Capital Schedule'!M20</f>
        <v/>
      </c>
      <c r="N35" s="43">
        <f>'Working Capital Schedule'!N20</f>
        <v/>
      </c>
      <c r="O35" s="43">
        <f>'Working Capital Schedule'!O20</f>
        <v/>
      </c>
    </row>
    <row r="36">
      <c r="A36" s="5" t="inlineStr">
        <is>
          <t xml:space="preserve">   Long-term Provisions</t>
        </is>
      </c>
      <c r="B36" s="95" t="n">
        <v>4225.16</v>
      </c>
      <c r="C36" s="95" t="n">
        <v>3925.56</v>
      </c>
      <c r="D36" s="95" t="n">
        <v>3771.21</v>
      </c>
      <c r="E36" s="95" t="n">
        <v>4101.02</v>
      </c>
      <c r="F36" s="95" t="n">
        <v>2489.08</v>
      </c>
      <c r="G36" s="95" t="n">
        <v>2585.56</v>
      </c>
      <c r="H36" s="95" t="n">
        <v>2354.62</v>
      </c>
      <c r="I36" s="96">
        <f>'Working Capital Schedule'!I22</f>
        <v/>
      </c>
      <c r="J36" s="96">
        <f>'Working Capital Schedule'!J22</f>
        <v/>
      </c>
      <c r="K36" s="96">
        <f>'Working Capital Schedule'!K22</f>
        <v/>
      </c>
      <c r="L36" s="96">
        <f>'Working Capital Schedule'!L22</f>
        <v/>
      </c>
      <c r="M36" s="96">
        <f>'Working Capital Schedule'!M22</f>
        <v/>
      </c>
      <c r="N36" s="96">
        <f>'Working Capital Schedule'!N22</f>
        <v/>
      </c>
      <c r="O36" s="96">
        <f>'Working Capital Schedule'!O22</f>
        <v/>
      </c>
    </row>
    <row r="37">
      <c r="A37" s="5" t="inlineStr">
        <is>
          <t xml:space="preserve">   Other Non-Current Liabilities</t>
        </is>
      </c>
      <c r="B37" s="30" t="n">
        <v>128.16</v>
      </c>
      <c r="C37" s="30" t="n">
        <v>149.79</v>
      </c>
      <c r="D37" s="30" t="n">
        <v>138.13</v>
      </c>
      <c r="E37" s="30" t="n">
        <v>152.99</v>
      </c>
      <c r="F37" s="30" t="n">
        <v>202.76</v>
      </c>
      <c r="G37" s="30" t="n">
        <v>377.26</v>
      </c>
      <c r="H37" s="30" t="n">
        <v>457.35</v>
      </c>
      <c r="I37" s="43">
        <f>'Working Capital Schedule'!I24</f>
        <v/>
      </c>
      <c r="J37" s="43">
        <f>'Working Capital Schedule'!J24</f>
        <v/>
      </c>
      <c r="K37" s="43">
        <f>'Working Capital Schedule'!K24</f>
        <v/>
      </c>
      <c r="L37" s="43">
        <f>'Working Capital Schedule'!L24</f>
        <v/>
      </c>
      <c r="M37" s="43">
        <f>'Working Capital Schedule'!M24</f>
        <v/>
      </c>
      <c r="N37" s="43">
        <f>'Working Capital Schedule'!N24</f>
        <v/>
      </c>
      <c r="O37" s="43">
        <f>'Working Capital Schedule'!O24</f>
        <v/>
      </c>
    </row>
    <row r="38">
      <c r="A38" s="76" t="inlineStr">
        <is>
          <t>Total Non-Current Liabilities</t>
        </is>
      </c>
      <c r="B38" s="97">
        <f>SUM(B33:B37)</f>
        <v/>
      </c>
      <c r="C38" s="97">
        <f>SUM(C33:C37)</f>
        <v/>
      </c>
      <c r="D38" s="97">
        <f>SUM(D33:D37)</f>
        <v/>
      </c>
      <c r="E38" s="97">
        <f>SUM(E33:E37)</f>
        <v/>
      </c>
      <c r="F38" s="97">
        <f>SUM(F33:F37)</f>
        <v/>
      </c>
      <c r="G38" s="97">
        <f>SUM(G33:G37)</f>
        <v/>
      </c>
      <c r="H38" s="97">
        <f>SUM(H33:H37)</f>
        <v/>
      </c>
      <c r="I38" s="97">
        <f>SUM(I33:I37)</f>
        <v/>
      </c>
      <c r="J38" s="97">
        <f>SUM(J33:J37)</f>
        <v/>
      </c>
      <c r="K38" s="97">
        <f>SUM(K33:K37)</f>
        <v/>
      </c>
      <c r="L38" s="97">
        <f>SUM(L33:L37)</f>
        <v/>
      </c>
      <c r="M38" s="97">
        <f>SUM(M33:M37)</f>
        <v/>
      </c>
      <c r="N38" s="97">
        <f>SUM(N33:N37)</f>
        <v/>
      </c>
      <c r="O38" s="97">
        <f>SUM(O33:O37)</f>
        <v/>
      </c>
    </row>
    <row r="39">
      <c r="A39" s="5" t="n"/>
      <c r="B39" s="30" t="n"/>
      <c r="C39" s="30" t="n"/>
      <c r="D39" s="30" t="n"/>
      <c r="E39" s="30" t="n"/>
      <c r="F39" s="30" t="n"/>
      <c r="G39" s="30" t="n"/>
      <c r="H39" s="30" t="n"/>
      <c r="I39" s="43" t="n"/>
      <c r="J39" s="43" t="n"/>
      <c r="K39" s="43" t="n"/>
      <c r="L39" s="43" t="n"/>
      <c r="M39" s="43" t="n"/>
      <c r="N39" s="43" t="n"/>
      <c r="O39" s="43" t="n"/>
    </row>
    <row r="40">
      <c r="A40" s="92" t="inlineStr">
        <is>
          <t>Current Liabilities</t>
        </is>
      </c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</row>
    <row r="41">
      <c r="A41" s="5" t="inlineStr">
        <is>
          <t xml:space="preserve">   Short-term Borrowings</t>
        </is>
      </c>
      <c r="B41" s="30" t="n">
        <v>4947.92</v>
      </c>
      <c r="C41" s="30" t="n">
        <v>4849.28</v>
      </c>
      <c r="D41" s="30" t="n">
        <v>4745</v>
      </c>
      <c r="E41" s="30" t="n">
        <v>5385</v>
      </c>
      <c r="F41" s="30" t="n">
        <v>8808</v>
      </c>
      <c r="G41" s="30" t="n">
        <v>8795</v>
      </c>
      <c r="H41" s="30" t="n">
        <v>8018.77</v>
      </c>
      <c r="I41" s="43">
        <f>'Debt Schedule'!I9-I33</f>
        <v/>
      </c>
      <c r="J41" s="43">
        <f>'Debt Schedule'!J9-J33</f>
        <v/>
      </c>
      <c r="K41" s="43">
        <f>'Debt Schedule'!K9-K33</f>
        <v/>
      </c>
      <c r="L41" s="43">
        <f>'Debt Schedule'!L9-L33</f>
        <v/>
      </c>
      <c r="M41" s="43">
        <f>'Debt Schedule'!M9-M33</f>
        <v/>
      </c>
      <c r="N41" s="43">
        <f>'Debt Schedule'!N9-N33</f>
        <v/>
      </c>
      <c r="O41" s="43">
        <f>'Debt Schedule'!O9-O33</f>
        <v/>
      </c>
    </row>
    <row r="42">
      <c r="A42" s="5" t="inlineStr">
        <is>
          <t xml:space="preserve">   Trade Payables - current</t>
        </is>
      </c>
      <c r="B42" s="98" t="n">
        <v>8829.16</v>
      </c>
      <c r="C42" s="98" t="n">
        <v>6683.51</v>
      </c>
      <c r="D42" s="98" t="n">
        <v>7749.59</v>
      </c>
      <c r="E42" s="98" t="n">
        <v>9895.83</v>
      </c>
      <c r="F42" s="98" t="n">
        <v>8696.24</v>
      </c>
      <c r="G42" s="98" t="n">
        <v>9540.92</v>
      </c>
      <c r="H42" s="98" t="n">
        <v>10491.6</v>
      </c>
      <c r="I42" s="99">
        <f>'Working Capital Schedule'!I17</f>
        <v/>
      </c>
      <c r="J42" s="99">
        <f>'Working Capital Schedule'!J17</f>
        <v/>
      </c>
      <c r="K42" s="99">
        <f>'Working Capital Schedule'!K17</f>
        <v/>
      </c>
      <c r="L42" s="99">
        <f>'Working Capital Schedule'!L17</f>
        <v/>
      </c>
      <c r="M42" s="99">
        <f>'Working Capital Schedule'!M17</f>
        <v/>
      </c>
      <c r="N42" s="99">
        <f>'Working Capital Schedule'!N17</f>
        <v/>
      </c>
      <c r="O42" s="99">
        <f>'Working Capital Schedule'!O17</f>
        <v/>
      </c>
    </row>
    <row r="43">
      <c r="A43" s="5" t="inlineStr">
        <is>
          <t xml:space="preserve">   Contract Liabilities - current</t>
        </is>
      </c>
      <c r="B43" s="94" t="n">
        <v>5833.72</v>
      </c>
      <c r="C43" s="94" t="n">
        <v>5830.88</v>
      </c>
      <c r="D43" s="94" t="n">
        <v>5863.55</v>
      </c>
      <c r="E43" s="94" t="n">
        <v>5331.17</v>
      </c>
      <c r="F43" s="94" t="n">
        <v>5171.28</v>
      </c>
      <c r="G43" s="94" t="n">
        <v>6532.77</v>
      </c>
      <c r="H43" s="30" t="n">
        <v>9110.389999999999</v>
      </c>
      <c r="I43" s="43">
        <f>'Working Capital Schedule'!I19</f>
        <v/>
      </c>
      <c r="J43" s="43">
        <f>'Working Capital Schedule'!J19</f>
        <v/>
      </c>
      <c r="K43" s="43">
        <f>'Working Capital Schedule'!K19</f>
        <v/>
      </c>
      <c r="L43" s="43">
        <f>'Working Capital Schedule'!L19</f>
        <v/>
      </c>
      <c r="M43" s="43">
        <f>'Working Capital Schedule'!M19</f>
        <v/>
      </c>
      <c r="N43" s="43">
        <f>'Working Capital Schedule'!N19</f>
        <v/>
      </c>
      <c r="O43" s="43">
        <f>'Working Capital Schedule'!O19</f>
        <v/>
      </c>
    </row>
    <row r="44">
      <c r="A44" s="5" t="inlineStr">
        <is>
          <t xml:space="preserve">   Provisions - current</t>
        </is>
      </c>
      <c r="B44" s="94" t="n">
        <v>1228.75</v>
      </c>
      <c r="C44" s="94" t="n">
        <v>1228.15</v>
      </c>
      <c r="D44" s="94" t="n">
        <v>1235.03</v>
      </c>
      <c r="E44" s="94" t="n">
        <v>1122.9</v>
      </c>
      <c r="F44" s="94" t="n">
        <v>1089.22</v>
      </c>
      <c r="G44" s="94" t="n">
        <v>1375.99</v>
      </c>
      <c r="H44" s="30" t="n">
        <v>1918.91</v>
      </c>
      <c r="I44" s="43">
        <f>'Working Capital Schedule'!I21</f>
        <v/>
      </c>
      <c r="J44" s="43">
        <f>'Working Capital Schedule'!J21</f>
        <v/>
      </c>
      <c r="K44" s="43">
        <f>'Working Capital Schedule'!K21</f>
        <v/>
      </c>
      <c r="L44" s="43">
        <f>'Working Capital Schedule'!L21</f>
        <v/>
      </c>
      <c r="M44" s="43">
        <f>'Working Capital Schedule'!M21</f>
        <v/>
      </c>
      <c r="N44" s="43">
        <f>'Working Capital Schedule'!N21</f>
        <v/>
      </c>
      <c r="O44" s="43">
        <f>'Working Capital Schedule'!O21</f>
        <v/>
      </c>
    </row>
    <row r="45">
      <c r="A45" s="5" t="inlineStr">
        <is>
          <t xml:space="preserve">   Other Current Liabilities</t>
        </is>
      </c>
      <c r="B45" s="30" t="n">
        <v>1768.93</v>
      </c>
      <c r="C45" s="30" t="n">
        <v>1768.08</v>
      </c>
      <c r="D45" s="30" t="n">
        <v>1777.98</v>
      </c>
      <c r="E45" s="30" t="n">
        <v>1616.55</v>
      </c>
      <c r="F45" s="30" t="n">
        <v>1568.07</v>
      </c>
      <c r="G45" s="30" t="n">
        <v>1980.91</v>
      </c>
      <c r="H45" s="30" t="n">
        <v>2762.51</v>
      </c>
      <c r="I45" s="43">
        <f>'Working Capital Schedule'!I23</f>
        <v/>
      </c>
      <c r="J45" s="43">
        <f>'Working Capital Schedule'!J23</f>
        <v/>
      </c>
      <c r="K45" s="43">
        <f>'Working Capital Schedule'!K23</f>
        <v/>
      </c>
      <c r="L45" s="43">
        <f>'Working Capital Schedule'!L23</f>
        <v/>
      </c>
      <c r="M45" s="43">
        <f>'Working Capital Schedule'!M23</f>
        <v/>
      </c>
      <c r="N45" s="43">
        <f>'Working Capital Schedule'!N23</f>
        <v/>
      </c>
      <c r="O45" s="43">
        <f>'Working Capital Schedule'!O23</f>
        <v/>
      </c>
    </row>
    <row r="46">
      <c r="A46" s="76" t="inlineStr">
        <is>
          <t>Total Current Liabilities</t>
        </is>
      </c>
      <c r="B46" s="97">
        <f>SUM(B41:B45)</f>
        <v/>
      </c>
      <c r="C46" s="97">
        <f>SUM(C41:C45)</f>
        <v/>
      </c>
      <c r="D46" s="97">
        <f>SUM(D41:D45)</f>
        <v/>
      </c>
      <c r="E46" s="97">
        <f>SUM(E41:E45)</f>
        <v/>
      </c>
      <c r="F46" s="97">
        <f>SUM(F41:F45)</f>
        <v/>
      </c>
      <c r="G46" s="97">
        <f>SUM(G41:G45)</f>
        <v/>
      </c>
      <c r="H46" s="97">
        <f>SUM(H41:H45)</f>
        <v/>
      </c>
      <c r="I46" s="97">
        <f>SUM(I41:I45)</f>
        <v/>
      </c>
      <c r="J46" s="97">
        <f>SUM(J41:J45)</f>
        <v/>
      </c>
      <c r="K46" s="97">
        <f>SUM(K41:K45)</f>
        <v/>
      </c>
      <c r="L46" s="97">
        <f>SUM(L41:L45)</f>
        <v/>
      </c>
      <c r="M46" s="97">
        <f>SUM(M41:M45)</f>
        <v/>
      </c>
      <c r="N46" s="97">
        <f>SUM(N41:N45)</f>
        <v/>
      </c>
      <c r="O46" s="97">
        <f>SUM(O41:O45)</f>
        <v/>
      </c>
    </row>
    <row r="47">
      <c r="A47" s="76" t="inlineStr">
        <is>
          <t>Total Liabilities</t>
        </is>
      </c>
      <c r="B47" s="97">
        <f>B38+B46</f>
        <v/>
      </c>
      <c r="C47" s="97">
        <f>C38+C46</f>
        <v/>
      </c>
      <c r="D47" s="97">
        <f>D38+D46</f>
        <v/>
      </c>
      <c r="E47" s="97">
        <f>E38+E46</f>
        <v/>
      </c>
      <c r="F47" s="97">
        <f>F38+F46</f>
        <v/>
      </c>
      <c r="G47" s="97">
        <f>G38+G46</f>
        <v/>
      </c>
      <c r="H47" s="97">
        <f>H38+H46</f>
        <v/>
      </c>
      <c r="I47" s="97">
        <f>I38+I46</f>
        <v/>
      </c>
      <c r="J47" s="97">
        <f>J38+J46</f>
        <v/>
      </c>
      <c r="K47" s="97">
        <f>K38+K46</f>
        <v/>
      </c>
      <c r="L47" s="97">
        <f>L38+L46</f>
        <v/>
      </c>
      <c r="M47" s="97">
        <f>M38+M46</f>
        <v/>
      </c>
      <c r="N47" s="97">
        <f>N38+N46</f>
        <v/>
      </c>
      <c r="O47" s="97">
        <f>O38+O46</f>
        <v/>
      </c>
    </row>
    <row r="48">
      <c r="A48" s="5" t="n"/>
      <c r="B48" s="30" t="n"/>
      <c r="C48" s="30" t="n"/>
      <c r="D48" s="30" t="n"/>
      <c r="E48" s="30" t="n"/>
      <c r="F48" s="30" t="n"/>
      <c r="G48" s="30" t="n"/>
      <c r="H48" s="30" t="n"/>
      <c r="I48" s="43" t="n"/>
      <c r="J48" s="43" t="n"/>
      <c r="K48" s="43" t="n"/>
      <c r="L48" s="43" t="n"/>
      <c r="M48" s="43" t="n"/>
      <c r="N48" s="43" t="n"/>
      <c r="O48" s="43" t="n"/>
    </row>
    <row r="49">
      <c r="A49" s="76" t="inlineStr">
        <is>
          <t>TOTAL EQUITY &amp; LIABILITIES</t>
        </is>
      </c>
      <c r="B49" s="97">
        <f>B30+B47</f>
        <v/>
      </c>
      <c r="C49" s="97">
        <f>C30+C47</f>
        <v/>
      </c>
      <c r="D49" s="97">
        <f>D30+D47</f>
        <v/>
      </c>
      <c r="E49" s="97">
        <f>E30+E47</f>
        <v/>
      </c>
      <c r="F49" s="97">
        <f>F30+F47</f>
        <v/>
      </c>
      <c r="G49" s="97">
        <f>G30+G47</f>
        <v/>
      </c>
      <c r="H49" s="97">
        <f>H30+H47</f>
        <v/>
      </c>
      <c r="I49" s="97">
        <f>I30+I47</f>
        <v/>
      </c>
      <c r="J49" s="97">
        <f>J30+J47</f>
        <v/>
      </c>
      <c r="K49" s="97">
        <f>K30+K47</f>
        <v/>
      </c>
      <c r="L49" s="97">
        <f>L30+L47</f>
        <v/>
      </c>
      <c r="M49" s="97">
        <f>M30+M47</f>
        <v/>
      </c>
      <c r="N49" s="97">
        <f>N30+N47</f>
        <v/>
      </c>
      <c r="O49" s="97">
        <f>O30+O47</f>
        <v/>
      </c>
    </row>
    <row r="50">
      <c r="A50" s="4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</row>
    <row r="51">
      <c r="A51" s="91" t="inlineStr">
        <is>
          <t>ASSETS</t>
        </is>
      </c>
      <c r="B51" s="100" t="n"/>
      <c r="C51" s="100" t="n"/>
      <c r="D51" s="100" t="n"/>
      <c r="E51" s="100" t="n"/>
      <c r="F51" s="100" t="n"/>
      <c r="G51" s="100" t="n"/>
      <c r="H51" s="100" t="n"/>
      <c r="I51" s="86" t="n"/>
      <c r="J51" s="86" t="n"/>
      <c r="K51" s="86" t="n"/>
      <c r="L51" s="86" t="n"/>
      <c r="M51" s="86" t="n"/>
      <c r="N51" s="86" t="n"/>
      <c r="O51" s="86" t="n"/>
    </row>
    <row r="52">
      <c r="A52" s="92" t="inlineStr">
        <is>
          <t>Non-Current Assets</t>
        </is>
      </c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</row>
    <row r="53">
      <c r="A53" s="5" t="inlineStr">
        <is>
          <t xml:space="preserve">   Property, Plant &amp; Equipment (incl. intangibles)</t>
        </is>
      </c>
      <c r="B53" s="30" t="n">
        <v>2817</v>
      </c>
      <c r="C53" s="30" t="n">
        <v>2491</v>
      </c>
      <c r="D53" s="30" t="n">
        <v>2398</v>
      </c>
      <c r="E53" s="30" t="n">
        <v>2476</v>
      </c>
      <c r="F53" s="30" t="n">
        <v>2574</v>
      </c>
      <c r="G53" s="30" t="n">
        <v>2947</v>
      </c>
      <c r="H53" s="30" t="n">
        <v>3094.38</v>
      </c>
      <c r="I53" s="43">
        <f>'Fixed Asset Schedule'!I10</f>
        <v/>
      </c>
      <c r="J53" s="43">
        <f>'Fixed Asset Schedule'!J10</f>
        <v/>
      </c>
      <c r="K53" s="43">
        <f>'Fixed Asset Schedule'!K10</f>
        <v/>
      </c>
      <c r="L53" s="43">
        <f>'Fixed Asset Schedule'!L10</f>
        <v/>
      </c>
      <c r="M53" s="43">
        <f>'Fixed Asset Schedule'!M10</f>
        <v/>
      </c>
      <c r="N53" s="43">
        <f>'Fixed Asset Schedule'!N10</f>
        <v/>
      </c>
      <c r="O53" s="43">
        <f>'Fixed Asset Schedule'!O10</f>
        <v/>
      </c>
    </row>
    <row r="54">
      <c r="A54" s="5" t="inlineStr">
        <is>
          <t xml:space="preserve">   Capital Work in Progress</t>
        </is>
      </c>
      <c r="B54" s="30" t="n">
        <v>314</v>
      </c>
      <c r="C54" s="30" t="n">
        <v>420</v>
      </c>
      <c r="D54" s="30" t="n">
        <v>431</v>
      </c>
      <c r="E54" s="30" t="n">
        <v>354</v>
      </c>
      <c r="F54" s="30" t="n">
        <v>308</v>
      </c>
      <c r="G54" s="30" t="n">
        <v>195</v>
      </c>
      <c r="H54" s="30" t="n">
        <v>399.2</v>
      </c>
      <c r="I54" s="43">
        <f>'Assumptions'!I44</f>
        <v/>
      </c>
      <c r="J54" s="43">
        <f>'Assumptions'!J44</f>
        <v/>
      </c>
      <c r="K54" s="43">
        <f>'Assumptions'!K44</f>
        <v/>
      </c>
      <c r="L54" s="43">
        <f>'Assumptions'!L44</f>
        <v/>
      </c>
      <c r="M54" s="43">
        <f>'Assumptions'!M44</f>
        <v/>
      </c>
      <c r="N54" s="43">
        <f>'Assumptions'!N44</f>
        <v/>
      </c>
      <c r="O54" s="43">
        <f>'Assumptions'!O44</f>
        <v/>
      </c>
    </row>
    <row r="55">
      <c r="A55" s="5" t="inlineStr">
        <is>
          <t xml:space="preserve">   Investments</t>
        </is>
      </c>
      <c r="B55" s="30" t="n">
        <v>162</v>
      </c>
      <c r="C55" s="30" t="n">
        <v>185</v>
      </c>
      <c r="D55" s="30" t="n">
        <v>205</v>
      </c>
      <c r="E55" s="30" t="n">
        <v>235</v>
      </c>
      <c r="F55" s="30" t="n">
        <v>256</v>
      </c>
      <c r="G55" s="30" t="n">
        <v>276</v>
      </c>
      <c r="H55" s="30" t="n">
        <v>302.06</v>
      </c>
      <c r="I55" s="43">
        <f>'Assumptions'!I45</f>
        <v/>
      </c>
      <c r="J55" s="43">
        <f>'Assumptions'!J45</f>
        <v/>
      </c>
      <c r="K55" s="43">
        <f>'Assumptions'!K45</f>
        <v/>
      </c>
      <c r="L55" s="43">
        <f>'Assumptions'!L45</f>
        <v/>
      </c>
      <c r="M55" s="43">
        <f>'Assumptions'!M45</f>
        <v/>
      </c>
      <c r="N55" s="43">
        <f>'Assumptions'!N45</f>
        <v/>
      </c>
      <c r="O55" s="43">
        <f>'Assumptions'!O45</f>
        <v/>
      </c>
    </row>
    <row r="56">
      <c r="A56" s="5" t="inlineStr">
        <is>
          <t xml:space="preserve">   Trade Receivables - non-current</t>
        </is>
      </c>
      <c r="B56" s="94" t="n">
        <v>2751.82</v>
      </c>
      <c r="C56" s="94" t="n">
        <v>2757.31</v>
      </c>
      <c r="D56" s="94" t="n">
        <v>2937.54</v>
      </c>
      <c r="E56" s="94" t="n">
        <v>2754.88</v>
      </c>
      <c r="F56" s="94" t="n">
        <v>2468.8</v>
      </c>
      <c r="G56" s="94" t="n">
        <v>2535.56</v>
      </c>
      <c r="H56" s="30" t="n">
        <v>2426.93</v>
      </c>
      <c r="I56" s="43">
        <f>'Working Capital Schedule'!I9</f>
        <v/>
      </c>
      <c r="J56" s="43">
        <f>'Working Capital Schedule'!J9</f>
        <v/>
      </c>
      <c r="K56" s="43">
        <f>'Working Capital Schedule'!K9</f>
        <v/>
      </c>
      <c r="L56" s="43">
        <f>'Working Capital Schedule'!L9</f>
        <v/>
      </c>
      <c r="M56" s="43">
        <f>'Working Capital Schedule'!M9</f>
        <v/>
      </c>
      <c r="N56" s="43">
        <f>'Working Capital Schedule'!N9</f>
        <v/>
      </c>
      <c r="O56" s="43">
        <f>'Working Capital Schedule'!O9</f>
        <v/>
      </c>
    </row>
    <row r="57">
      <c r="A57" s="5" t="inlineStr">
        <is>
          <t xml:space="preserve">   Contract Assets - non-current</t>
        </is>
      </c>
      <c r="B57" s="94" t="n">
        <v>16097.22</v>
      </c>
      <c r="C57" s="94" t="n">
        <v>16129.35</v>
      </c>
      <c r="D57" s="94" t="n">
        <v>17183.61</v>
      </c>
      <c r="E57" s="94" t="n">
        <v>16115.1</v>
      </c>
      <c r="F57" s="94" t="n">
        <v>14441.63</v>
      </c>
      <c r="G57" s="94" t="n">
        <v>14832.18</v>
      </c>
      <c r="H57" s="30" t="n">
        <v>14196.72</v>
      </c>
      <c r="I57" s="43">
        <f>'Working Capital Schedule'!I12</f>
        <v/>
      </c>
      <c r="J57" s="43">
        <f>'Working Capital Schedule'!J12</f>
        <v/>
      </c>
      <c r="K57" s="43">
        <f>'Working Capital Schedule'!K12</f>
        <v/>
      </c>
      <c r="L57" s="43">
        <f>'Working Capital Schedule'!L12</f>
        <v/>
      </c>
      <c r="M57" s="43">
        <f>'Working Capital Schedule'!M12</f>
        <v/>
      </c>
      <c r="N57" s="43">
        <f>'Working Capital Schedule'!N12</f>
        <v/>
      </c>
      <c r="O57" s="43">
        <f>'Working Capital Schedule'!O12</f>
        <v/>
      </c>
    </row>
    <row r="58">
      <c r="A58" s="5" t="inlineStr">
        <is>
          <t xml:space="preserve">   Deferred Tax Assets</t>
        </is>
      </c>
      <c r="B58" s="94" t="n">
        <v>4005.73</v>
      </c>
      <c r="C58" s="94" t="n">
        <v>4013.73</v>
      </c>
      <c r="D58" s="94" t="n">
        <v>4276.08</v>
      </c>
      <c r="E58" s="94" t="n">
        <v>4010.18</v>
      </c>
      <c r="F58" s="94" t="n">
        <v>3593.75</v>
      </c>
      <c r="G58" s="94" t="n">
        <v>3690.93</v>
      </c>
      <c r="H58" s="30" t="n">
        <v>3532.8</v>
      </c>
      <c r="I58" s="43">
        <f>'Working Capital Schedule'!I13</f>
        <v/>
      </c>
      <c r="J58" s="43">
        <f>'Working Capital Schedule'!J13</f>
        <v/>
      </c>
      <c r="K58" s="43">
        <f>'Working Capital Schedule'!K13</f>
        <v/>
      </c>
      <c r="L58" s="43">
        <f>'Working Capital Schedule'!L13</f>
        <v/>
      </c>
      <c r="M58" s="43">
        <f>'Working Capital Schedule'!M13</f>
        <v/>
      </c>
      <c r="N58" s="43">
        <f>'Working Capital Schedule'!N13</f>
        <v/>
      </c>
      <c r="O58" s="43">
        <f>'Working Capital Schedule'!O13</f>
        <v/>
      </c>
    </row>
    <row r="59">
      <c r="A59" s="5" t="inlineStr">
        <is>
          <t xml:space="preserve">   Other Non-Current Assets</t>
        </is>
      </c>
      <c r="B59" s="95" t="n">
        <v>882.35</v>
      </c>
      <c r="C59" s="95" t="n">
        <v>884.11</v>
      </c>
      <c r="D59" s="95" t="n">
        <v>941.89</v>
      </c>
      <c r="E59" s="95" t="n">
        <v>883.3200000000001</v>
      </c>
      <c r="F59" s="95" t="n">
        <v>791.59</v>
      </c>
      <c r="G59" s="95" t="n">
        <v>813.01</v>
      </c>
      <c r="H59" s="95" t="n">
        <v>778.17</v>
      </c>
      <c r="I59" s="96">
        <f>'Working Capital Schedule'!I15</f>
        <v/>
      </c>
      <c r="J59" s="96">
        <f>'Working Capital Schedule'!J15</f>
        <v/>
      </c>
      <c r="K59" s="96">
        <f>'Working Capital Schedule'!K15</f>
        <v/>
      </c>
      <c r="L59" s="96">
        <f>'Working Capital Schedule'!L15</f>
        <v/>
      </c>
      <c r="M59" s="96">
        <f>'Working Capital Schedule'!M15</f>
        <v/>
      </c>
      <c r="N59" s="96">
        <f>'Working Capital Schedule'!N15</f>
        <v/>
      </c>
      <c r="O59" s="96">
        <f>'Working Capital Schedule'!O15</f>
        <v/>
      </c>
    </row>
    <row r="60">
      <c r="A60" s="76" t="inlineStr">
        <is>
          <t>Total Non-Current Assets</t>
        </is>
      </c>
      <c r="B60" s="97">
        <f>SUM(B53:B59)</f>
        <v/>
      </c>
      <c r="C60" s="97">
        <f>SUM(C53:C59)</f>
        <v/>
      </c>
      <c r="D60" s="97">
        <f>SUM(D53:D59)</f>
        <v/>
      </c>
      <c r="E60" s="97">
        <f>SUM(E53:E59)</f>
        <v/>
      </c>
      <c r="F60" s="97">
        <f>SUM(F53:F59)</f>
        <v/>
      </c>
      <c r="G60" s="97">
        <f>SUM(G53:G59)</f>
        <v/>
      </c>
      <c r="H60" s="97">
        <f>SUM(H53:H59)</f>
        <v/>
      </c>
      <c r="I60" s="97">
        <f>SUM(I53:I59)</f>
        <v/>
      </c>
      <c r="J60" s="97">
        <f>SUM(J53:J59)</f>
        <v/>
      </c>
      <c r="K60" s="97">
        <f>SUM(K53:K59)</f>
        <v/>
      </c>
      <c r="L60" s="97">
        <f>SUM(L53:L59)</f>
        <v/>
      </c>
      <c r="M60" s="97">
        <f>SUM(M53:M59)</f>
        <v/>
      </c>
      <c r="N60" s="97">
        <f>SUM(N53:N59)</f>
        <v/>
      </c>
      <c r="O60" s="97">
        <f>SUM(O53:O59)</f>
        <v/>
      </c>
    </row>
    <row r="61">
      <c r="A61" s="4" t="n"/>
      <c r="B61" s="101" t="n"/>
      <c r="C61" s="101" t="n"/>
      <c r="D61" s="101" t="n"/>
      <c r="E61" s="101" t="n"/>
      <c r="F61" s="101" t="n"/>
      <c r="G61" s="101" t="n"/>
      <c r="H61" s="101" t="n"/>
      <c r="I61" s="101" t="n"/>
      <c r="J61" s="101" t="n"/>
      <c r="K61" s="101" t="n"/>
      <c r="L61" s="101" t="n"/>
      <c r="M61" s="101" t="n"/>
      <c r="N61" s="101" t="n"/>
      <c r="O61" s="101" t="n"/>
    </row>
    <row r="62">
      <c r="A62" s="92" t="inlineStr">
        <is>
          <t>Current Assets</t>
        </is>
      </c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</row>
    <row r="63">
      <c r="A63" s="5" t="inlineStr">
        <is>
          <t xml:space="preserve">   Trade Receivables - current</t>
        </is>
      </c>
      <c r="B63" s="30" t="n">
        <v>7108.6</v>
      </c>
      <c r="C63" s="30" t="n">
        <v>4035.07</v>
      </c>
      <c r="D63" s="30" t="n">
        <v>3024.75</v>
      </c>
      <c r="E63" s="30" t="n">
        <v>3128.35</v>
      </c>
      <c r="F63" s="30" t="n">
        <v>4785.38</v>
      </c>
      <c r="G63" s="30" t="n">
        <v>5884.35</v>
      </c>
      <c r="H63" s="30" t="n">
        <v>6796.27</v>
      </c>
      <c r="I63" s="43">
        <f>'Working Capital Schedule'!I8</f>
        <v/>
      </c>
      <c r="J63" s="43">
        <f>'Working Capital Schedule'!J8</f>
        <v/>
      </c>
      <c r="K63" s="43">
        <f>'Working Capital Schedule'!K8</f>
        <v/>
      </c>
      <c r="L63" s="43">
        <f>'Working Capital Schedule'!L8</f>
        <v/>
      </c>
      <c r="M63" s="43">
        <f>'Working Capital Schedule'!M8</f>
        <v/>
      </c>
      <c r="N63" s="43">
        <f>'Working Capital Schedule'!N8</f>
        <v/>
      </c>
      <c r="O63" s="43">
        <f>'Working Capital Schedule'!O8</f>
        <v/>
      </c>
    </row>
    <row r="64">
      <c r="A64" s="5" t="inlineStr">
        <is>
          <t xml:space="preserve">   Inventories</t>
        </is>
      </c>
      <c r="B64" s="30" t="n">
        <v>8908.23</v>
      </c>
      <c r="C64" s="30" t="n">
        <v>7194.45</v>
      </c>
      <c r="D64" s="30" t="n">
        <v>6560.21</v>
      </c>
      <c r="E64" s="30" t="n">
        <v>6755.9</v>
      </c>
      <c r="F64" s="30" t="n">
        <v>7220.57</v>
      </c>
      <c r="G64" s="30" t="n">
        <v>9869.49</v>
      </c>
      <c r="H64" s="30" t="n">
        <v>13334.58</v>
      </c>
      <c r="I64" s="43">
        <f>'Working Capital Schedule'!I10</f>
        <v/>
      </c>
      <c r="J64" s="43">
        <f>'Working Capital Schedule'!J10</f>
        <v/>
      </c>
      <c r="K64" s="43">
        <f>'Working Capital Schedule'!K10</f>
        <v/>
      </c>
      <c r="L64" s="43">
        <f>'Working Capital Schedule'!L10</f>
        <v/>
      </c>
      <c r="M64" s="43">
        <f>'Working Capital Schedule'!M10</f>
        <v/>
      </c>
      <c r="N64" s="43">
        <f>'Working Capital Schedule'!N10</f>
        <v/>
      </c>
      <c r="O64" s="43">
        <f>'Working Capital Schedule'!O10</f>
        <v/>
      </c>
    </row>
    <row r="65">
      <c r="A65" s="5" t="inlineStr">
        <is>
          <t xml:space="preserve">   Contract Assets - current</t>
        </is>
      </c>
      <c r="B65" s="94" t="n">
        <v>8036.16</v>
      </c>
      <c r="C65" s="94" t="n">
        <v>8151.96</v>
      </c>
      <c r="D65" s="94" t="n">
        <v>8691.959999999999</v>
      </c>
      <c r="E65" s="94" t="n">
        <v>10591.45</v>
      </c>
      <c r="F65" s="94" t="n">
        <v>12811.76</v>
      </c>
      <c r="G65" s="94" t="n">
        <v>15168.97</v>
      </c>
      <c r="H65" s="30" t="n">
        <v>15192.89</v>
      </c>
      <c r="I65" s="43">
        <f>'Working Capital Schedule'!I11</f>
        <v/>
      </c>
      <c r="J65" s="43">
        <f>'Working Capital Schedule'!J11</f>
        <v/>
      </c>
      <c r="K65" s="43">
        <f>'Working Capital Schedule'!K11</f>
        <v/>
      </c>
      <c r="L65" s="43">
        <f>'Working Capital Schedule'!L11</f>
        <v/>
      </c>
      <c r="M65" s="43">
        <f>'Working Capital Schedule'!M11</f>
        <v/>
      </c>
      <c r="N65" s="43">
        <f>'Working Capital Schedule'!N11</f>
        <v/>
      </c>
      <c r="O65" s="43">
        <f>'Working Capital Schedule'!O11</f>
        <v/>
      </c>
    </row>
    <row r="66">
      <c r="A66" s="5" t="inlineStr">
        <is>
          <t xml:space="preserve">   Other Current Assets</t>
        </is>
      </c>
      <c r="B66" s="30" t="n">
        <v>2255.93</v>
      </c>
      <c r="C66" s="30" t="n">
        <v>2288.44</v>
      </c>
      <c r="D66" s="30" t="n">
        <v>2440.03</v>
      </c>
      <c r="E66" s="30" t="n">
        <v>2973.26</v>
      </c>
      <c r="F66" s="30" t="n">
        <v>3596.55</v>
      </c>
      <c r="G66" s="30" t="n">
        <v>4258.28</v>
      </c>
      <c r="H66" s="30" t="n">
        <v>4264.99</v>
      </c>
      <c r="I66" s="43">
        <f>'Working Capital Schedule'!I14</f>
        <v/>
      </c>
      <c r="J66" s="43">
        <f>'Working Capital Schedule'!J14</f>
        <v/>
      </c>
      <c r="K66" s="43">
        <f>'Working Capital Schedule'!K14</f>
        <v/>
      </c>
      <c r="L66" s="43">
        <f>'Working Capital Schedule'!L14</f>
        <v/>
      </c>
      <c r="M66" s="43">
        <f>'Working Capital Schedule'!M14</f>
        <v/>
      </c>
      <c r="N66" s="43">
        <f>'Working Capital Schedule'!N14</f>
        <v/>
      </c>
      <c r="O66" s="43">
        <f>'Working Capital Schedule'!O14</f>
        <v/>
      </c>
    </row>
    <row r="67">
      <c r="A67" s="5" t="inlineStr">
        <is>
          <t xml:space="preserve">   Cash &amp; Bank Balances</t>
        </is>
      </c>
      <c r="B67" s="30" t="n">
        <v>6418.59</v>
      </c>
      <c r="C67" s="30" t="n">
        <v>6701.45</v>
      </c>
      <c r="D67" s="30" t="n">
        <v>7153.69</v>
      </c>
      <c r="E67" s="30" t="n">
        <v>6642.58</v>
      </c>
      <c r="F67" s="30" t="n">
        <v>6157.47</v>
      </c>
      <c r="G67" s="30" t="n">
        <v>7612.41</v>
      </c>
      <c r="H67" s="30" t="n">
        <v>11866.62</v>
      </c>
      <c r="I67" s="43">
        <f>'Cash Flow Statement'!I25</f>
        <v/>
      </c>
      <c r="J67" s="43">
        <f>'Cash Flow Statement'!J25</f>
        <v/>
      </c>
      <c r="K67" s="43">
        <f>'Cash Flow Statement'!K25</f>
        <v/>
      </c>
      <c r="L67" s="43">
        <f>'Cash Flow Statement'!L25</f>
        <v/>
      </c>
      <c r="M67" s="43">
        <f>'Cash Flow Statement'!M25</f>
        <v/>
      </c>
      <c r="N67" s="43">
        <f>'Cash Flow Statement'!N25</f>
        <v/>
      </c>
      <c r="O67" s="43">
        <f>'Cash Flow Statement'!O25</f>
        <v/>
      </c>
    </row>
    <row r="68">
      <c r="A68" s="76" t="inlineStr">
        <is>
          <t>Total Current Assets</t>
        </is>
      </c>
      <c r="B68" s="97">
        <f>SUM(B63:B67)</f>
        <v/>
      </c>
      <c r="C68" s="97">
        <f>SUM(C63:C67)</f>
        <v/>
      </c>
      <c r="D68" s="97">
        <f>SUM(D63:D67)</f>
        <v/>
      </c>
      <c r="E68" s="97">
        <f>SUM(E63:E67)</f>
        <v/>
      </c>
      <c r="F68" s="97">
        <f>SUM(F63:F67)</f>
        <v/>
      </c>
      <c r="G68" s="97">
        <f>SUM(G63:G67)</f>
        <v/>
      </c>
      <c r="H68" s="97">
        <f>SUM(H63:H67)</f>
        <v/>
      </c>
      <c r="I68" s="97">
        <f>SUM(I63:I67)</f>
        <v/>
      </c>
      <c r="J68" s="97">
        <f>SUM(J63:J67)</f>
        <v/>
      </c>
      <c r="K68" s="97">
        <f>SUM(K63:K67)</f>
        <v/>
      </c>
      <c r="L68" s="97">
        <f>SUM(L63:L67)</f>
        <v/>
      </c>
      <c r="M68" s="97">
        <f>SUM(M63:M67)</f>
        <v/>
      </c>
      <c r="N68" s="97">
        <f>SUM(N63:N67)</f>
        <v/>
      </c>
      <c r="O68" s="97">
        <f>SUM(O63:O67)</f>
        <v/>
      </c>
    </row>
    <row r="69">
      <c r="A69" s="4" t="n"/>
    </row>
    <row r="70">
      <c r="A70" s="76" t="inlineStr">
        <is>
          <t>TOTAL ASSETS</t>
        </is>
      </c>
      <c r="B70" s="97">
        <f>B60+B68</f>
        <v/>
      </c>
      <c r="C70" s="97">
        <f>C60+C68</f>
        <v/>
      </c>
      <c r="D70" s="97">
        <f>D60+D68</f>
        <v/>
      </c>
      <c r="E70" s="97">
        <f>E60+E68</f>
        <v/>
      </c>
      <c r="F70" s="97">
        <f>F60+F68</f>
        <v/>
      </c>
      <c r="G70" s="97">
        <f>G60+G68</f>
        <v/>
      </c>
      <c r="H70" s="97">
        <f>H60+H68</f>
        <v/>
      </c>
      <c r="I70" s="97">
        <f>I60+I68</f>
        <v/>
      </c>
      <c r="J70" s="97">
        <f>J60+J68</f>
        <v/>
      </c>
      <c r="K70" s="97">
        <f>K60+K68</f>
        <v/>
      </c>
      <c r="L70" s="97">
        <f>L60+L68</f>
        <v/>
      </c>
      <c r="M70" s="97">
        <f>M60+M68</f>
        <v/>
      </c>
      <c r="N70" s="97">
        <f>N60+N68</f>
        <v/>
      </c>
      <c r="O70" s="97">
        <f>O60+O68</f>
        <v/>
      </c>
    </row>
    <row r="71">
      <c r="A71" s="5" t="inlineStr">
        <is>
          <t>Balance check (TA - TE&amp;L)</t>
        </is>
      </c>
      <c r="B71" s="102">
        <f>B70-B49</f>
        <v/>
      </c>
      <c r="C71" s="102">
        <f>C70-C49</f>
        <v/>
      </c>
      <c r="D71" s="102">
        <f>D70-D49</f>
        <v/>
      </c>
      <c r="E71" s="102">
        <f>E70-E49</f>
        <v/>
      </c>
      <c r="F71" s="102">
        <f>F70-F49</f>
        <v/>
      </c>
      <c r="G71" s="102">
        <f>G70-G49</f>
        <v/>
      </c>
      <c r="H71" s="102">
        <f>H70-H49</f>
        <v/>
      </c>
      <c r="I71" s="102">
        <f>I70-I49</f>
        <v/>
      </c>
      <c r="J71" s="102">
        <f>J70-J49</f>
        <v/>
      </c>
      <c r="K71" s="102">
        <f>K70-K49</f>
        <v/>
      </c>
      <c r="L71" s="102">
        <f>L70-L49</f>
        <v/>
      </c>
      <c r="M71" s="102">
        <f>M70-M49</f>
        <v/>
      </c>
      <c r="N71" s="102">
        <f>N70-N49</f>
        <v/>
      </c>
      <c r="O71" s="102">
        <f>O70-O49</f>
        <v/>
      </c>
    </row>
    <row r="72">
      <c r="A72" s="5" t="inlineStr">
        <is>
          <t>Memo: total borrowings (LT+ST)</t>
        </is>
      </c>
      <c r="B72" s="103">
        <f>B33+B41</f>
        <v/>
      </c>
      <c r="C72" s="103">
        <f>C33+C41</f>
        <v/>
      </c>
      <c r="D72" s="103">
        <f>D33+D41</f>
        <v/>
      </c>
      <c r="E72" s="103">
        <f>E33+E41</f>
        <v/>
      </c>
      <c r="F72" s="103">
        <f>F33+F41</f>
        <v/>
      </c>
      <c r="G72" s="103">
        <f>G33+G41</f>
        <v/>
      </c>
      <c r="H72" s="103">
        <f>H33+H41</f>
        <v/>
      </c>
      <c r="I72" s="103">
        <f>I33+I41</f>
        <v/>
      </c>
      <c r="J72" s="103">
        <f>J33+J41</f>
        <v/>
      </c>
      <c r="K72" s="103">
        <f>K33+K41</f>
        <v/>
      </c>
      <c r="L72" s="103">
        <f>L33+L41</f>
        <v/>
      </c>
      <c r="M72" s="103">
        <f>M33+M41</f>
        <v/>
      </c>
      <c r="N72" s="103">
        <f>N33+N41</f>
        <v/>
      </c>
      <c r="O72" s="103">
        <f>O33+O41</f>
        <v/>
      </c>
    </row>
    <row r="73">
      <c r="A73" s="104" t="inlineStr">
        <is>
          <t>Note: FY2026 current/non-current line items are audited actuals (annual-report / BSE Integrated Filing). FY2020-25 splits of contract assets &amp; liabilities, non-current trade receivables, current provisions and deferred tax (orange) are derived by applying the FY2026 audited composition to each year's reported aggregate; reported section totals remain audited and the balance sheet ties every year.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11" t="inlineStr">
        <is>
          <t>RATIO ANALYSIS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3" t="inlineStr">
        <is>
          <t>FY20-25 from Historical Financial Statements; FY26-33 from integrated Forecast statements.</t>
        </is>
      </c>
    </row>
    <row r="4">
      <c r="A4" s="14" t="inlineStr">
        <is>
          <t>INR Crore</t>
        </is>
      </c>
      <c r="B4" s="15" t="inlineStr">
        <is>
          <t>FY2020</t>
        </is>
      </c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</t>
        </is>
      </c>
      <c r="I4" s="15" t="inlineStr">
        <is>
          <t>FY2027</t>
        </is>
      </c>
      <c r="J4" s="15" t="inlineStr">
        <is>
          <t>FY2028</t>
        </is>
      </c>
      <c r="K4" s="15" t="inlineStr">
        <is>
          <t>FY2029</t>
        </is>
      </c>
      <c r="L4" s="15" t="inlineStr">
        <is>
          <t>FY2030</t>
        </is>
      </c>
      <c r="M4" s="15" t="inlineStr">
        <is>
          <t>FY2031</t>
        </is>
      </c>
      <c r="N4" s="15" t="inlineStr">
        <is>
          <t>FY2032</t>
        </is>
      </c>
      <c r="O4" s="15" t="inlineStr">
        <is>
          <t>FY2033</t>
        </is>
      </c>
    </row>
    <row r="5">
      <c r="A5" s="11" t="inlineStr">
        <is>
          <t>Growth &amp; margins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5" t="inlineStr">
        <is>
          <t>Revenue growth %</t>
        </is>
      </c>
      <c r="C6" s="36">
        <f>'Historical Financial Statements'!C5/'Historical Financial Statements'!B5-1</f>
        <v/>
      </c>
      <c r="D6" s="36">
        <f>'Historical Financial Statements'!D5/'Historical Financial Statements'!C5-1</f>
        <v/>
      </c>
      <c r="E6" s="36">
        <f>'Historical Financial Statements'!E5/'Historical Financial Statements'!D5-1</f>
        <v/>
      </c>
      <c r="F6" s="36">
        <f>'Historical Financial Statements'!F5/'Historical Financial Statements'!E5-1</f>
        <v/>
      </c>
      <c r="G6" s="36">
        <f>'Historical Financial Statements'!G5/'Historical Financial Statements'!F5-1</f>
        <v/>
      </c>
      <c r="H6" s="36">
        <f>'Forecast Financial Statements'!H5/'Historical Financial Statements'!G5-1</f>
        <v/>
      </c>
      <c r="I6" s="36">
        <f>'Forecast Financial Statements'!I5/'Forecast Financial Statements'!H5-1</f>
        <v/>
      </c>
      <c r="J6" s="36">
        <f>'Forecast Financial Statements'!J5/'Forecast Financial Statements'!I5-1</f>
        <v/>
      </c>
      <c r="K6" s="36">
        <f>'Forecast Financial Statements'!K5/'Forecast Financial Statements'!J5-1</f>
        <v/>
      </c>
      <c r="L6" s="36">
        <f>'Forecast Financial Statements'!L5/'Forecast Financial Statements'!K5-1</f>
        <v/>
      </c>
      <c r="M6" s="36">
        <f>'Forecast Financial Statements'!M5/'Forecast Financial Statements'!L5-1</f>
        <v/>
      </c>
      <c r="N6" s="36">
        <f>'Forecast Financial Statements'!N5/'Forecast Financial Statements'!M5-1</f>
        <v/>
      </c>
      <c r="O6" s="36">
        <f>'Forecast Financial Statements'!O5/'Forecast Financial Statements'!N5-1</f>
        <v/>
      </c>
    </row>
    <row r="7">
      <c r="A7" s="5" t="inlineStr">
        <is>
          <t>Gross margin %</t>
        </is>
      </c>
      <c r="B7" s="36">
        <f>'Historical Financial Statements'!B7/'Historical Financial Statements'!B5</f>
        <v/>
      </c>
      <c r="C7" s="36">
        <f>'Historical Financial Statements'!C7/'Historical Financial Statements'!C5</f>
        <v/>
      </c>
      <c r="D7" s="36">
        <f>'Historical Financial Statements'!D7/'Historical Financial Statements'!D5</f>
        <v/>
      </c>
      <c r="E7" s="36">
        <f>'Historical Financial Statements'!E7/'Historical Financial Statements'!E5</f>
        <v/>
      </c>
      <c r="F7" s="36">
        <f>'Historical Financial Statements'!F7/'Historical Financial Statements'!F5</f>
        <v/>
      </c>
      <c r="G7" s="36">
        <f>'Historical Financial Statements'!G7/'Historical Financial Statements'!G5</f>
        <v/>
      </c>
      <c r="H7" s="36">
        <f>'Forecast Financial Statements'!H7/'Forecast Financial Statements'!H5</f>
        <v/>
      </c>
      <c r="I7" s="36">
        <f>'Forecast Financial Statements'!I7/'Forecast Financial Statements'!I5</f>
        <v/>
      </c>
      <c r="J7" s="36">
        <f>'Forecast Financial Statements'!J7/'Forecast Financial Statements'!J5</f>
        <v/>
      </c>
      <c r="K7" s="36">
        <f>'Forecast Financial Statements'!K7/'Forecast Financial Statements'!K5</f>
        <v/>
      </c>
      <c r="L7" s="36">
        <f>'Forecast Financial Statements'!L7/'Forecast Financial Statements'!L5</f>
        <v/>
      </c>
      <c r="M7" s="36">
        <f>'Forecast Financial Statements'!M7/'Forecast Financial Statements'!M5</f>
        <v/>
      </c>
      <c r="N7" s="36">
        <f>'Forecast Financial Statements'!N7/'Forecast Financial Statements'!N5</f>
        <v/>
      </c>
      <c r="O7" s="36">
        <f>'Forecast Financial Statements'!O7/'Forecast Financial Statements'!O5</f>
        <v/>
      </c>
    </row>
    <row r="8">
      <c r="A8" s="5" t="inlineStr">
        <is>
          <t>EBITDA margin %</t>
        </is>
      </c>
      <c r="B8" s="36">
        <f>'Historical Financial Statements'!B12/'Historical Financial Statements'!B5</f>
        <v/>
      </c>
      <c r="C8" s="36">
        <f>'Historical Financial Statements'!C12/'Historical Financial Statements'!C5</f>
        <v/>
      </c>
      <c r="D8" s="36">
        <f>'Historical Financial Statements'!D12/'Historical Financial Statements'!D5</f>
        <v/>
      </c>
      <c r="E8" s="36">
        <f>'Historical Financial Statements'!E12/'Historical Financial Statements'!E5</f>
        <v/>
      </c>
      <c r="F8" s="36">
        <f>'Historical Financial Statements'!F12/'Historical Financial Statements'!F5</f>
        <v/>
      </c>
      <c r="G8" s="36">
        <f>'Historical Financial Statements'!G12/'Historical Financial Statements'!G5</f>
        <v/>
      </c>
      <c r="H8" s="36">
        <f>'Forecast Financial Statements'!H12/'Forecast Financial Statements'!H5</f>
        <v/>
      </c>
      <c r="I8" s="36">
        <f>'Forecast Financial Statements'!I12/'Forecast Financial Statements'!I5</f>
        <v/>
      </c>
      <c r="J8" s="36">
        <f>'Forecast Financial Statements'!J12/'Forecast Financial Statements'!J5</f>
        <v/>
      </c>
      <c r="K8" s="36">
        <f>'Forecast Financial Statements'!K12/'Forecast Financial Statements'!K5</f>
        <v/>
      </c>
      <c r="L8" s="36">
        <f>'Forecast Financial Statements'!L12/'Forecast Financial Statements'!L5</f>
        <v/>
      </c>
      <c r="M8" s="36">
        <f>'Forecast Financial Statements'!M12/'Forecast Financial Statements'!M5</f>
        <v/>
      </c>
      <c r="N8" s="36">
        <f>'Forecast Financial Statements'!N12/'Forecast Financial Statements'!N5</f>
        <v/>
      </c>
      <c r="O8" s="36">
        <f>'Forecast Financial Statements'!O12/'Forecast Financial Statements'!O5</f>
        <v/>
      </c>
    </row>
    <row r="9">
      <c r="A9" s="5" t="inlineStr">
        <is>
          <t>EBIT margin %</t>
        </is>
      </c>
      <c r="B9" s="36">
        <f>'Historical Financial Statements'!B14/'Historical Financial Statements'!B5</f>
        <v/>
      </c>
      <c r="C9" s="36">
        <f>'Historical Financial Statements'!C14/'Historical Financial Statements'!C5</f>
        <v/>
      </c>
      <c r="D9" s="36">
        <f>'Historical Financial Statements'!D14/'Historical Financial Statements'!D5</f>
        <v/>
      </c>
      <c r="E9" s="36">
        <f>'Historical Financial Statements'!E14/'Historical Financial Statements'!E5</f>
        <v/>
      </c>
      <c r="F9" s="36">
        <f>'Historical Financial Statements'!F14/'Historical Financial Statements'!F5</f>
        <v/>
      </c>
      <c r="G9" s="36">
        <f>'Historical Financial Statements'!G14/'Historical Financial Statements'!G5</f>
        <v/>
      </c>
      <c r="H9" s="36">
        <f>'Forecast Financial Statements'!H14/'Forecast Financial Statements'!H5</f>
        <v/>
      </c>
      <c r="I9" s="36">
        <f>'Forecast Financial Statements'!I14/'Forecast Financial Statements'!I5</f>
        <v/>
      </c>
      <c r="J9" s="36">
        <f>'Forecast Financial Statements'!J14/'Forecast Financial Statements'!J5</f>
        <v/>
      </c>
      <c r="K9" s="36">
        <f>'Forecast Financial Statements'!K14/'Forecast Financial Statements'!K5</f>
        <v/>
      </c>
      <c r="L9" s="36">
        <f>'Forecast Financial Statements'!L14/'Forecast Financial Statements'!L5</f>
        <v/>
      </c>
      <c r="M9" s="36">
        <f>'Forecast Financial Statements'!M14/'Forecast Financial Statements'!M5</f>
        <v/>
      </c>
      <c r="N9" s="36">
        <f>'Forecast Financial Statements'!N14/'Forecast Financial Statements'!N5</f>
        <v/>
      </c>
      <c r="O9" s="36">
        <f>'Forecast Financial Statements'!O14/'Forecast Financial Statements'!O5</f>
        <v/>
      </c>
    </row>
    <row r="10">
      <c r="A10" s="5" t="inlineStr">
        <is>
          <t>PAT margin %</t>
        </is>
      </c>
      <c r="B10" s="36">
        <f>'Historical Financial Statements'!B20/'Historical Financial Statements'!B5</f>
        <v/>
      </c>
      <c r="C10" s="36">
        <f>'Historical Financial Statements'!C20/'Historical Financial Statements'!C5</f>
        <v/>
      </c>
      <c r="D10" s="36">
        <f>'Historical Financial Statements'!D20/'Historical Financial Statements'!D5</f>
        <v/>
      </c>
      <c r="E10" s="36">
        <f>'Historical Financial Statements'!E20/'Historical Financial Statements'!E5</f>
        <v/>
      </c>
      <c r="F10" s="36">
        <f>'Historical Financial Statements'!F20/'Historical Financial Statements'!F5</f>
        <v/>
      </c>
      <c r="G10" s="36">
        <f>'Historical Financial Statements'!G20/'Historical Financial Statements'!G5</f>
        <v/>
      </c>
      <c r="H10" s="36">
        <f>'Forecast Financial Statements'!H20/'Forecast Financial Statements'!H5</f>
        <v/>
      </c>
      <c r="I10" s="36">
        <f>'Forecast Financial Statements'!I20/'Forecast Financial Statements'!I5</f>
        <v/>
      </c>
      <c r="J10" s="36">
        <f>'Forecast Financial Statements'!J20/'Forecast Financial Statements'!J5</f>
        <v/>
      </c>
      <c r="K10" s="36">
        <f>'Forecast Financial Statements'!K20/'Forecast Financial Statements'!K5</f>
        <v/>
      </c>
      <c r="L10" s="36">
        <f>'Forecast Financial Statements'!L20/'Forecast Financial Statements'!L5</f>
        <v/>
      </c>
      <c r="M10" s="36">
        <f>'Forecast Financial Statements'!M20/'Forecast Financial Statements'!M5</f>
        <v/>
      </c>
      <c r="N10" s="36">
        <f>'Forecast Financial Statements'!N20/'Forecast Financial Statements'!N5</f>
        <v/>
      </c>
      <c r="O10" s="36">
        <f>'Forecast Financial Statements'!O20/'Forecast Financial Statements'!O5</f>
        <v/>
      </c>
    </row>
    <row r="12">
      <c r="A12" s="11" t="inlineStr">
        <is>
          <t>Returns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5" t="inlineStr">
        <is>
          <t>ROE %</t>
        </is>
      </c>
      <c r="C13" s="36">
        <f>'Historical Financial Statements'!C20/((('Historical Financial Statements'!C33+'Historical Financial Statements'!C34)+('Historical Financial Statements'!B33+'Historical Financial Statements'!B34))/2)</f>
        <v/>
      </c>
      <c r="D13" s="36">
        <f>'Historical Financial Statements'!D20/((('Historical Financial Statements'!D33+'Historical Financial Statements'!D34)+('Historical Financial Statements'!C33+'Historical Financial Statements'!C34))/2)</f>
        <v/>
      </c>
      <c r="E13" s="36">
        <f>'Historical Financial Statements'!E20/((('Historical Financial Statements'!E33+'Historical Financial Statements'!E34)+('Historical Financial Statements'!D33+'Historical Financial Statements'!D34))/2)</f>
        <v/>
      </c>
      <c r="F13" s="36">
        <f>'Historical Financial Statements'!F20/((('Historical Financial Statements'!F33+'Historical Financial Statements'!F34)+('Historical Financial Statements'!E33+'Historical Financial Statements'!E34))/2)</f>
        <v/>
      </c>
      <c r="G13" s="36">
        <f>'Historical Financial Statements'!G20/((('Historical Financial Statements'!G33+'Historical Financial Statements'!G34)+('Historical Financial Statements'!F33+'Historical Financial Statements'!F34))/2)</f>
        <v/>
      </c>
      <c r="H13" s="36">
        <f>'Forecast Financial Statements'!H20/((('Forecast Financial Statements'!H28+'Forecast Financial Statements'!H29)+('Historical Financial Statements'!G33+'Historical Financial Statements'!G34))/2)</f>
        <v/>
      </c>
      <c r="I13" s="36">
        <f>'Forecast Financial Statements'!I20/((('Forecast Financial Statements'!I28+'Forecast Financial Statements'!I29)+('Forecast Financial Statements'!H28+'Forecast Financial Statements'!H29))/2)</f>
        <v/>
      </c>
      <c r="J13" s="36">
        <f>'Forecast Financial Statements'!J20/((('Forecast Financial Statements'!J28+'Forecast Financial Statements'!J29)+('Forecast Financial Statements'!I28+'Forecast Financial Statements'!I29))/2)</f>
        <v/>
      </c>
      <c r="K13" s="36">
        <f>'Forecast Financial Statements'!K20/((('Forecast Financial Statements'!K28+'Forecast Financial Statements'!K29)+('Forecast Financial Statements'!J28+'Forecast Financial Statements'!J29))/2)</f>
        <v/>
      </c>
      <c r="L13" s="36">
        <f>'Forecast Financial Statements'!L20/((('Forecast Financial Statements'!L28+'Forecast Financial Statements'!L29)+('Forecast Financial Statements'!K28+'Forecast Financial Statements'!K29))/2)</f>
        <v/>
      </c>
      <c r="M13" s="36">
        <f>'Forecast Financial Statements'!M20/((('Forecast Financial Statements'!M28+'Forecast Financial Statements'!M29)+('Forecast Financial Statements'!L28+'Forecast Financial Statements'!L29))/2)</f>
        <v/>
      </c>
      <c r="N13" s="36">
        <f>'Forecast Financial Statements'!N20/((('Forecast Financial Statements'!N28+'Forecast Financial Statements'!N29)+('Forecast Financial Statements'!M28+'Forecast Financial Statements'!M29))/2)</f>
        <v/>
      </c>
      <c r="O13" s="36">
        <f>'Forecast Financial Statements'!O20/((('Forecast Financial Statements'!O28+'Forecast Financial Statements'!O29)+('Forecast Financial Statements'!N28+'Forecast Financial Statements'!N29))/2)</f>
        <v/>
      </c>
    </row>
    <row r="14">
      <c r="A14" s="5" t="inlineStr">
        <is>
          <t>ROCE %</t>
        </is>
      </c>
      <c r="B14" s="36">
        <f>'Historical Financial Statements'!B14/(('Historical Financial Statements'!B33+'Historical Financial Statements'!B34)+'Historical Financial Statements'!B35)</f>
        <v/>
      </c>
      <c r="C14" s="36">
        <f>'Historical Financial Statements'!C14/(('Historical Financial Statements'!C33+'Historical Financial Statements'!C34)+'Historical Financial Statements'!C35)</f>
        <v/>
      </c>
      <c r="D14" s="36">
        <f>'Historical Financial Statements'!D14/(('Historical Financial Statements'!D33+'Historical Financial Statements'!D34)+'Historical Financial Statements'!D35)</f>
        <v/>
      </c>
      <c r="E14" s="36">
        <f>'Historical Financial Statements'!E14/(('Historical Financial Statements'!E33+'Historical Financial Statements'!E34)+'Historical Financial Statements'!E35)</f>
        <v/>
      </c>
      <c r="F14" s="36">
        <f>'Historical Financial Statements'!F14/(('Historical Financial Statements'!F33+'Historical Financial Statements'!F34)+'Historical Financial Statements'!F35)</f>
        <v/>
      </c>
      <c r="G14" s="36">
        <f>'Historical Financial Statements'!G14/(('Historical Financial Statements'!G33+'Historical Financial Statements'!G34)+'Historical Financial Statements'!G35)</f>
        <v/>
      </c>
      <c r="H14" s="36">
        <f>'Forecast Financial Statements'!H14/(('Forecast Financial Statements'!H28+'Forecast Financial Statements'!H29)+'Forecast Financial Statements'!H72)</f>
        <v/>
      </c>
      <c r="I14" s="36">
        <f>'Forecast Financial Statements'!I14/(('Forecast Financial Statements'!I28+'Forecast Financial Statements'!I29)+'Forecast Financial Statements'!I72)</f>
        <v/>
      </c>
      <c r="J14" s="36">
        <f>'Forecast Financial Statements'!J14/(('Forecast Financial Statements'!J28+'Forecast Financial Statements'!J29)+'Forecast Financial Statements'!J72)</f>
        <v/>
      </c>
      <c r="K14" s="36">
        <f>'Forecast Financial Statements'!K14/(('Forecast Financial Statements'!K28+'Forecast Financial Statements'!K29)+'Forecast Financial Statements'!K72)</f>
        <v/>
      </c>
      <c r="L14" s="36">
        <f>'Forecast Financial Statements'!L14/(('Forecast Financial Statements'!L28+'Forecast Financial Statements'!L29)+'Forecast Financial Statements'!L72)</f>
        <v/>
      </c>
      <c r="M14" s="36">
        <f>'Forecast Financial Statements'!M14/(('Forecast Financial Statements'!M28+'Forecast Financial Statements'!M29)+'Forecast Financial Statements'!M72)</f>
        <v/>
      </c>
      <c r="N14" s="36">
        <f>'Forecast Financial Statements'!N14/(('Forecast Financial Statements'!N28+'Forecast Financial Statements'!N29)+'Forecast Financial Statements'!N72)</f>
        <v/>
      </c>
      <c r="O14" s="36">
        <f>'Forecast Financial Statements'!O14/(('Forecast Financial Statements'!O28+'Forecast Financial Statements'!O29)+'Forecast Financial Statements'!O72)</f>
        <v/>
      </c>
    </row>
    <row r="15">
      <c r="A15" s="5" t="inlineStr">
        <is>
          <t>ROA %</t>
        </is>
      </c>
      <c r="B15" s="36">
        <f>'Historical Financial Statements'!B20/'Historical Financial Statements'!B32</f>
        <v/>
      </c>
      <c r="C15" s="36">
        <f>'Historical Financial Statements'!C20/'Historical Financial Statements'!C32</f>
        <v/>
      </c>
      <c r="D15" s="36">
        <f>'Historical Financial Statements'!D20/'Historical Financial Statements'!D32</f>
        <v/>
      </c>
      <c r="E15" s="36">
        <f>'Historical Financial Statements'!E20/'Historical Financial Statements'!E32</f>
        <v/>
      </c>
      <c r="F15" s="36">
        <f>'Historical Financial Statements'!F20/'Historical Financial Statements'!F32</f>
        <v/>
      </c>
      <c r="G15" s="36">
        <f>'Historical Financial Statements'!G20/'Historical Financial Statements'!G32</f>
        <v/>
      </c>
      <c r="H15" s="36">
        <f>'Forecast Financial Statements'!H20/'Forecast Financial Statements'!H70</f>
        <v/>
      </c>
      <c r="I15" s="36">
        <f>'Forecast Financial Statements'!I20/'Forecast Financial Statements'!I70</f>
        <v/>
      </c>
      <c r="J15" s="36">
        <f>'Forecast Financial Statements'!J20/'Forecast Financial Statements'!J70</f>
        <v/>
      </c>
      <c r="K15" s="36">
        <f>'Forecast Financial Statements'!K20/'Forecast Financial Statements'!K70</f>
        <v/>
      </c>
      <c r="L15" s="36">
        <f>'Forecast Financial Statements'!L20/'Forecast Financial Statements'!L70</f>
        <v/>
      </c>
      <c r="M15" s="36">
        <f>'Forecast Financial Statements'!M20/'Forecast Financial Statements'!M70</f>
        <v/>
      </c>
      <c r="N15" s="36">
        <f>'Forecast Financial Statements'!N20/'Forecast Financial Statements'!N70</f>
        <v/>
      </c>
      <c r="O15" s="36">
        <f>'Forecast Financial Statements'!O20/'Forecast Financial Statements'!O70</f>
        <v/>
      </c>
    </row>
    <row r="16">
      <c r="A16" s="5" t="inlineStr">
        <is>
          <t>Asset turnover (x)</t>
        </is>
      </c>
      <c r="B16" s="37">
        <f>'Historical Financial Statements'!B5/'Historical Financial Statements'!B32</f>
        <v/>
      </c>
      <c r="C16" s="37">
        <f>'Historical Financial Statements'!C5/'Historical Financial Statements'!C32</f>
        <v/>
      </c>
      <c r="D16" s="37">
        <f>'Historical Financial Statements'!D5/'Historical Financial Statements'!D32</f>
        <v/>
      </c>
      <c r="E16" s="37">
        <f>'Historical Financial Statements'!E5/'Historical Financial Statements'!E32</f>
        <v/>
      </c>
      <c r="F16" s="37">
        <f>'Historical Financial Statements'!F5/'Historical Financial Statements'!F32</f>
        <v/>
      </c>
      <c r="G16" s="37">
        <f>'Historical Financial Statements'!G5/'Historical Financial Statements'!G32</f>
        <v/>
      </c>
      <c r="H16" s="37">
        <f>'Forecast Financial Statements'!H5/'Forecast Financial Statements'!H70</f>
        <v/>
      </c>
      <c r="I16" s="37">
        <f>'Forecast Financial Statements'!I5/'Forecast Financial Statements'!I70</f>
        <v/>
      </c>
      <c r="J16" s="37">
        <f>'Forecast Financial Statements'!J5/'Forecast Financial Statements'!J70</f>
        <v/>
      </c>
      <c r="K16" s="37">
        <f>'Forecast Financial Statements'!K5/'Forecast Financial Statements'!K70</f>
        <v/>
      </c>
      <c r="L16" s="37">
        <f>'Forecast Financial Statements'!L5/'Forecast Financial Statements'!L70</f>
        <v/>
      </c>
      <c r="M16" s="37">
        <f>'Forecast Financial Statements'!M5/'Forecast Financial Statements'!M70</f>
        <v/>
      </c>
      <c r="N16" s="37">
        <f>'Forecast Financial Statements'!N5/'Forecast Financial Statements'!N70</f>
        <v/>
      </c>
      <c r="O16" s="37">
        <f>'Forecast Financial Statements'!O5/'Forecast Financial Statements'!O70</f>
        <v/>
      </c>
    </row>
    <row r="18">
      <c r="A18" s="11" t="inlineStr">
        <is>
          <t>Leverage &amp; coverage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>
      <c r="A19" s="5" t="inlineStr">
        <is>
          <t>Debt / equity (x)</t>
        </is>
      </c>
      <c r="B19" s="37">
        <f>'Historical Financial Statements'!B35/('Historical Financial Statements'!B33+'Historical Financial Statements'!B34)</f>
        <v/>
      </c>
      <c r="C19" s="37">
        <f>'Historical Financial Statements'!C35/('Historical Financial Statements'!C33+'Historical Financial Statements'!C34)</f>
        <v/>
      </c>
      <c r="D19" s="37">
        <f>'Historical Financial Statements'!D35/('Historical Financial Statements'!D33+'Historical Financial Statements'!D34)</f>
        <v/>
      </c>
      <c r="E19" s="37">
        <f>'Historical Financial Statements'!E35/('Historical Financial Statements'!E33+'Historical Financial Statements'!E34)</f>
        <v/>
      </c>
      <c r="F19" s="37">
        <f>'Historical Financial Statements'!F35/('Historical Financial Statements'!F33+'Historical Financial Statements'!F34)</f>
        <v/>
      </c>
      <c r="G19" s="37">
        <f>'Historical Financial Statements'!G35/('Historical Financial Statements'!G33+'Historical Financial Statements'!G34)</f>
        <v/>
      </c>
      <c r="H19" s="37">
        <f>'Forecast Financial Statements'!H72/('Forecast Financial Statements'!H28+'Forecast Financial Statements'!H29)</f>
        <v/>
      </c>
      <c r="I19" s="37">
        <f>'Forecast Financial Statements'!I72/('Forecast Financial Statements'!I28+'Forecast Financial Statements'!I29)</f>
        <v/>
      </c>
      <c r="J19" s="37">
        <f>'Forecast Financial Statements'!J72/('Forecast Financial Statements'!J28+'Forecast Financial Statements'!J29)</f>
        <v/>
      </c>
      <c r="K19" s="37">
        <f>'Forecast Financial Statements'!K72/('Forecast Financial Statements'!K28+'Forecast Financial Statements'!K29)</f>
        <v/>
      </c>
      <c r="L19" s="37">
        <f>'Forecast Financial Statements'!L72/('Forecast Financial Statements'!L28+'Forecast Financial Statements'!L29)</f>
        <v/>
      </c>
      <c r="M19" s="37">
        <f>'Forecast Financial Statements'!M72/('Forecast Financial Statements'!M28+'Forecast Financial Statements'!M29)</f>
        <v/>
      </c>
      <c r="N19" s="37">
        <f>'Forecast Financial Statements'!N72/('Forecast Financial Statements'!N28+'Forecast Financial Statements'!N29)</f>
        <v/>
      </c>
      <c r="O19" s="37">
        <f>'Forecast Financial Statements'!O72/('Forecast Financial Statements'!O28+'Forecast Financial Statements'!O29)</f>
        <v/>
      </c>
    </row>
    <row r="20">
      <c r="A20" s="5" t="inlineStr">
        <is>
          <t>Interest coverage (x)</t>
        </is>
      </c>
      <c r="B20" s="37">
        <f>'Historical Financial Statements'!B14/'Historical Financial Statements'!B16</f>
        <v/>
      </c>
      <c r="C20" s="37">
        <f>'Historical Financial Statements'!C14/'Historical Financial Statements'!C16</f>
        <v/>
      </c>
      <c r="D20" s="37">
        <f>'Historical Financial Statements'!D14/'Historical Financial Statements'!D16</f>
        <v/>
      </c>
      <c r="E20" s="37">
        <f>'Historical Financial Statements'!E14/'Historical Financial Statements'!E16</f>
        <v/>
      </c>
      <c r="F20" s="37">
        <f>'Historical Financial Statements'!F14/'Historical Financial Statements'!F16</f>
        <v/>
      </c>
      <c r="G20" s="37">
        <f>'Historical Financial Statements'!G14/'Historical Financial Statements'!G16</f>
        <v/>
      </c>
      <c r="H20" s="37">
        <f>'Forecast Financial Statements'!H14/'Forecast Financial Statements'!H16</f>
        <v/>
      </c>
      <c r="I20" s="37">
        <f>'Forecast Financial Statements'!I14/'Forecast Financial Statements'!I16</f>
        <v/>
      </c>
      <c r="J20" s="37">
        <f>'Forecast Financial Statements'!J14/'Forecast Financial Statements'!J16</f>
        <v/>
      </c>
      <c r="K20" s="37">
        <f>'Forecast Financial Statements'!K14/'Forecast Financial Statements'!K16</f>
        <v/>
      </c>
      <c r="L20" s="37">
        <f>'Forecast Financial Statements'!L14/'Forecast Financial Statements'!L16</f>
        <v/>
      </c>
      <c r="M20" s="37">
        <f>'Forecast Financial Statements'!M14/'Forecast Financial Statements'!M16</f>
        <v/>
      </c>
      <c r="N20" s="37">
        <f>'Forecast Financial Statements'!N14/'Forecast Financial Statements'!N16</f>
        <v/>
      </c>
      <c r="O20" s="37">
        <f>'Forecast Financial Statements'!O14/'Forecast Financial Statements'!O16</f>
        <v/>
      </c>
    </row>
    <row r="21">
      <c r="A21" s="5" t="inlineStr">
        <is>
          <t>Net debt / EBITDA (x)</t>
        </is>
      </c>
      <c r="H21" s="37">
        <f>('Forecast Financial Statements'!H72-'Forecast Financial Statements'!H67)/'Forecast Financial Statements'!H12</f>
        <v/>
      </c>
      <c r="I21" s="37">
        <f>('Forecast Financial Statements'!I72-'Forecast Financial Statements'!I67)/'Forecast Financial Statements'!I12</f>
        <v/>
      </c>
      <c r="J21" s="37">
        <f>('Forecast Financial Statements'!J72-'Forecast Financial Statements'!J67)/'Forecast Financial Statements'!J12</f>
        <v/>
      </c>
      <c r="K21" s="37">
        <f>('Forecast Financial Statements'!K72-'Forecast Financial Statements'!K67)/'Forecast Financial Statements'!K12</f>
        <v/>
      </c>
      <c r="L21" s="37">
        <f>('Forecast Financial Statements'!L72-'Forecast Financial Statements'!L67)/'Forecast Financial Statements'!L12</f>
        <v/>
      </c>
      <c r="M21" s="37">
        <f>('Forecast Financial Statements'!M72-'Forecast Financial Statements'!M67)/'Forecast Financial Statements'!M12</f>
        <v/>
      </c>
      <c r="N21" s="37">
        <f>('Forecast Financial Statements'!N72-'Forecast Financial Statements'!N67)/'Forecast Financial Statements'!N12</f>
        <v/>
      </c>
      <c r="O21" s="37">
        <f>('Forecast Financial Statements'!O72-'Forecast Financial Statements'!O67)/'Forecast Financial Statements'!O12</f>
        <v/>
      </c>
    </row>
    <row r="23">
      <c r="A23" s="11" t="inlineStr">
        <is>
          <t>Per share &amp; payout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A24" s="5" t="inlineStr">
        <is>
          <t>EPS (INR)</t>
        </is>
      </c>
      <c r="B24" s="50">
        <f>'Historical Financial Statements'!B21</f>
        <v/>
      </c>
      <c r="C24" s="50">
        <f>'Historical Financial Statements'!C21</f>
        <v/>
      </c>
      <c r="D24" s="50">
        <f>'Historical Financial Statements'!D21</f>
        <v/>
      </c>
      <c r="E24" s="50">
        <f>'Historical Financial Statements'!E21</f>
        <v/>
      </c>
      <c r="F24" s="50">
        <f>'Historical Financial Statements'!F21</f>
        <v/>
      </c>
      <c r="G24" s="50">
        <f>'Historical Financial Statements'!G21</f>
        <v/>
      </c>
      <c r="H24" s="50">
        <f>'Forecast Financial Statements'!H21</f>
        <v/>
      </c>
      <c r="I24" s="50">
        <f>'Forecast Financial Statements'!I21</f>
        <v/>
      </c>
      <c r="J24" s="50">
        <f>'Forecast Financial Statements'!J21</f>
        <v/>
      </c>
      <c r="K24" s="50">
        <f>'Forecast Financial Statements'!K21</f>
        <v/>
      </c>
      <c r="L24" s="50">
        <f>'Forecast Financial Statements'!L21</f>
        <v/>
      </c>
      <c r="M24" s="50">
        <f>'Forecast Financial Statements'!M21</f>
        <v/>
      </c>
      <c r="N24" s="50">
        <f>'Forecast Financial Statements'!N21</f>
        <v/>
      </c>
      <c r="O24" s="50">
        <f>'Forecast Financial Statements'!O21</f>
        <v/>
      </c>
    </row>
    <row r="25">
      <c r="A25" s="5" t="inlineStr">
        <is>
          <t>DPS (INR)</t>
        </is>
      </c>
      <c r="B25" s="50">
        <f>'Historical Financial Statements'!B22/'Assumptions'!C66</f>
        <v/>
      </c>
      <c r="C25" s="50">
        <f>'Historical Financial Statements'!C22/'Assumptions'!C66</f>
        <v/>
      </c>
      <c r="D25" s="50">
        <f>'Historical Financial Statements'!D22/'Assumptions'!C66</f>
        <v/>
      </c>
      <c r="E25" s="50">
        <f>'Historical Financial Statements'!E22/'Assumptions'!C66</f>
        <v/>
      </c>
      <c r="F25" s="50">
        <f>'Historical Financial Statements'!F22/'Assumptions'!C66</f>
        <v/>
      </c>
      <c r="G25" s="50">
        <f>'Historical Financial Statements'!G22/'Assumptions'!C66</f>
        <v/>
      </c>
      <c r="H25" s="50">
        <f>'Forecast Financial Statements'!H22/'Assumptions'!C66</f>
        <v/>
      </c>
      <c r="I25" s="50">
        <f>'Forecast Financial Statements'!I22/'Assumptions'!C66</f>
        <v/>
      </c>
      <c r="J25" s="50">
        <f>'Forecast Financial Statements'!J22/'Assumptions'!C66</f>
        <v/>
      </c>
      <c r="K25" s="50">
        <f>'Forecast Financial Statements'!K22/'Assumptions'!C66</f>
        <v/>
      </c>
      <c r="L25" s="50">
        <f>'Forecast Financial Statements'!L22/'Assumptions'!C66</f>
        <v/>
      </c>
      <c r="M25" s="50">
        <f>'Forecast Financial Statements'!M22/'Assumptions'!C66</f>
        <v/>
      </c>
      <c r="N25" s="50">
        <f>'Forecast Financial Statements'!N22/'Assumptions'!C66</f>
        <v/>
      </c>
      <c r="O25" s="50">
        <f>'Forecast Financial Statements'!O22/'Assumptions'!C66</f>
        <v/>
      </c>
    </row>
    <row r="26">
      <c r="A26" s="5" t="inlineStr">
        <is>
          <t>Dividend payout %</t>
        </is>
      </c>
      <c r="B26" s="36">
        <f>IF('Historical Financial Statements'!B20=0,0,'Historical Financial Statements'!B22/'Historical Financial Statements'!B20)</f>
        <v/>
      </c>
      <c r="C26" s="36">
        <f>IF('Historical Financial Statements'!C20=0,0,'Historical Financial Statements'!C22/'Historical Financial Statements'!C20)</f>
        <v/>
      </c>
      <c r="D26" s="36">
        <f>IF('Historical Financial Statements'!D20=0,0,'Historical Financial Statements'!D22/'Historical Financial Statements'!D20)</f>
        <v/>
      </c>
      <c r="E26" s="36">
        <f>IF('Historical Financial Statements'!E20=0,0,'Historical Financial Statements'!E22/'Historical Financial Statements'!E20)</f>
        <v/>
      </c>
      <c r="F26" s="36">
        <f>IF('Historical Financial Statements'!F20=0,0,'Historical Financial Statements'!F22/'Historical Financial Statements'!F20)</f>
        <v/>
      </c>
      <c r="G26" s="36">
        <f>IF('Historical Financial Statements'!G20=0,0,'Historical Financial Statements'!G22/'Historical Financial Statements'!G20)</f>
        <v/>
      </c>
      <c r="H26" s="36">
        <f>IF('Forecast Financial Statements'!H20=0,0,'Forecast Financial Statements'!H22/'Forecast Financial Statements'!H20)</f>
        <v/>
      </c>
      <c r="I26" s="36">
        <f>IF('Forecast Financial Statements'!I20=0,0,'Forecast Financial Statements'!I22/'Forecast Financial Statements'!I20)</f>
        <v/>
      </c>
      <c r="J26" s="36">
        <f>IF('Forecast Financial Statements'!J20=0,0,'Forecast Financial Statements'!J22/'Forecast Financial Statements'!J20)</f>
        <v/>
      </c>
      <c r="K26" s="36">
        <f>IF('Forecast Financial Statements'!K20=0,0,'Forecast Financial Statements'!K22/'Forecast Financial Statements'!K20)</f>
        <v/>
      </c>
      <c r="L26" s="36">
        <f>IF('Forecast Financial Statements'!L20=0,0,'Forecast Financial Statements'!L22/'Forecast Financial Statements'!L20)</f>
        <v/>
      </c>
      <c r="M26" s="36">
        <f>IF('Forecast Financial Statements'!M20=0,0,'Forecast Financial Statements'!M22/'Forecast Financial Statements'!M20)</f>
        <v/>
      </c>
      <c r="N26" s="36">
        <f>IF('Forecast Financial Statements'!N20=0,0,'Forecast Financial Statements'!N22/'Forecast Financial Statements'!N20)</f>
        <v/>
      </c>
      <c r="O26" s="36">
        <f>IF('Forecast Financial Statements'!O20=0,0,'Forecast Financial Statements'!O22/'Forecast Financial Statements'!O20)</f>
        <v/>
      </c>
    </row>
    <row r="27">
      <c r="A27" s="5" t="inlineStr">
        <is>
          <t>Book value per share (INR)</t>
        </is>
      </c>
      <c r="B27" s="50">
        <f>('Historical Financial Statements'!B33+'Historical Financial Statements'!B34)/'Assumptions'!C66</f>
        <v/>
      </c>
      <c r="C27" s="50">
        <f>('Historical Financial Statements'!C33+'Historical Financial Statements'!C34)/'Assumptions'!C66</f>
        <v/>
      </c>
      <c r="D27" s="50">
        <f>('Historical Financial Statements'!D33+'Historical Financial Statements'!D34)/'Assumptions'!C66</f>
        <v/>
      </c>
      <c r="E27" s="50">
        <f>('Historical Financial Statements'!E33+'Historical Financial Statements'!E34)/'Assumptions'!C66</f>
        <v/>
      </c>
      <c r="F27" s="50">
        <f>('Historical Financial Statements'!F33+'Historical Financial Statements'!F34)/'Assumptions'!C66</f>
        <v/>
      </c>
      <c r="G27" s="50">
        <f>('Historical Financial Statements'!G33+'Historical Financial Statements'!G34)/'Assumptions'!C66</f>
        <v/>
      </c>
      <c r="H27" s="50">
        <f>('Forecast Financial Statements'!H28+'Forecast Financial Statements'!H29)/'Assumptions'!C66</f>
        <v/>
      </c>
      <c r="I27" s="50">
        <f>('Forecast Financial Statements'!I28+'Forecast Financial Statements'!I29)/'Assumptions'!C66</f>
        <v/>
      </c>
      <c r="J27" s="50">
        <f>('Forecast Financial Statements'!J28+'Forecast Financial Statements'!J29)/'Assumptions'!C66</f>
        <v/>
      </c>
      <c r="K27" s="50">
        <f>('Forecast Financial Statements'!K28+'Forecast Financial Statements'!K29)/'Assumptions'!C66</f>
        <v/>
      </c>
      <c r="L27" s="50">
        <f>('Forecast Financial Statements'!L28+'Forecast Financial Statements'!L29)/'Assumptions'!C66</f>
        <v/>
      </c>
      <c r="M27" s="50">
        <f>('Forecast Financial Statements'!M28+'Forecast Financial Statements'!M29)/'Assumptions'!C66</f>
        <v/>
      </c>
      <c r="N27" s="50">
        <f>('Forecast Financial Statements'!N28+'Forecast Financial Statements'!N29)/'Assumptions'!C66</f>
        <v/>
      </c>
      <c r="O27" s="50">
        <f>('Forecast Financial Statements'!O28+'Forecast Financial Statements'!O29)/'Assumptions'!C66</f>
        <v/>
      </c>
    </row>
    <row r="29">
      <c r="A29" s="11" t="inlineStr">
        <is>
          <t>Working capital &amp; cash flow (forecast)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5" t="inlineStr">
        <is>
          <t>Receivable days</t>
        </is>
      </c>
      <c r="H30" s="51">
        <f>'Forecast Financial Statements'!H63/'Forecast Financial Statements'!H5*365</f>
        <v/>
      </c>
      <c r="I30" s="51">
        <f>'Forecast Financial Statements'!I63/'Forecast Financial Statements'!I5*365</f>
        <v/>
      </c>
      <c r="J30" s="51">
        <f>'Forecast Financial Statements'!J63/'Forecast Financial Statements'!J5*365</f>
        <v/>
      </c>
      <c r="K30" s="51">
        <f>'Forecast Financial Statements'!K63/'Forecast Financial Statements'!K5*365</f>
        <v/>
      </c>
      <c r="L30" s="51">
        <f>'Forecast Financial Statements'!L63/'Forecast Financial Statements'!L5*365</f>
        <v/>
      </c>
      <c r="M30" s="51">
        <f>'Forecast Financial Statements'!M63/'Forecast Financial Statements'!M5*365</f>
        <v/>
      </c>
      <c r="N30" s="51">
        <f>'Forecast Financial Statements'!N63/'Forecast Financial Statements'!N5*365</f>
        <v/>
      </c>
      <c r="O30" s="51">
        <f>'Forecast Financial Statements'!O63/'Forecast Financial Statements'!O5*365</f>
        <v/>
      </c>
    </row>
    <row r="31">
      <c r="A31" s="5" t="inlineStr">
        <is>
          <t>Inventory days</t>
        </is>
      </c>
      <c r="I31" s="51">
        <f>'Forecast Financial Statements'!I64/'Cost Forecast'!I24*365</f>
        <v/>
      </c>
      <c r="J31" s="51">
        <f>'Forecast Financial Statements'!J64/'Cost Forecast'!J24*365</f>
        <v/>
      </c>
      <c r="K31" s="51">
        <f>'Forecast Financial Statements'!K64/'Cost Forecast'!K24*365</f>
        <v/>
      </c>
      <c r="L31" s="51">
        <f>'Forecast Financial Statements'!L64/'Cost Forecast'!L24*365</f>
        <v/>
      </c>
      <c r="M31" s="51">
        <f>'Forecast Financial Statements'!M64/'Cost Forecast'!M24*365</f>
        <v/>
      </c>
      <c r="N31" s="51">
        <f>'Forecast Financial Statements'!N64/'Cost Forecast'!N24*365</f>
        <v/>
      </c>
      <c r="O31" s="51">
        <f>'Forecast Financial Statements'!O64/'Cost Forecast'!O24*365</f>
        <v/>
      </c>
    </row>
    <row r="32">
      <c r="A32" s="5" t="inlineStr">
        <is>
          <t>Payable days</t>
        </is>
      </c>
      <c r="I32" s="51">
        <f>'Forecast Financial Statements'!I42/'Cost Forecast'!I24*365</f>
        <v/>
      </c>
      <c r="J32" s="51">
        <f>'Forecast Financial Statements'!J42/'Cost Forecast'!J24*365</f>
        <v/>
      </c>
      <c r="K32" s="51">
        <f>'Forecast Financial Statements'!K42/'Cost Forecast'!K24*365</f>
        <v/>
      </c>
      <c r="L32" s="51">
        <f>'Forecast Financial Statements'!L42/'Cost Forecast'!L24*365</f>
        <v/>
      </c>
      <c r="M32" s="51">
        <f>'Forecast Financial Statements'!M42/'Cost Forecast'!M24*365</f>
        <v/>
      </c>
      <c r="N32" s="51">
        <f>'Forecast Financial Statements'!N42/'Cost Forecast'!N24*365</f>
        <v/>
      </c>
      <c r="O32" s="51">
        <f>'Forecast Financial Statements'!O42/'Cost Forecast'!O24*365</f>
        <v/>
      </c>
    </row>
    <row r="33">
      <c r="A33" s="5" t="inlineStr">
        <is>
          <t>FCFF (INR Cr)</t>
        </is>
      </c>
      <c r="I33" s="43">
        <f>'DCF Valuation'!I12</f>
        <v/>
      </c>
      <c r="J33" s="43">
        <f>'DCF Valuation'!J12</f>
        <v/>
      </c>
      <c r="K33" s="43">
        <f>'DCF Valuation'!K12</f>
        <v/>
      </c>
      <c r="L33" s="43">
        <f>'DCF Valuation'!L12</f>
        <v/>
      </c>
      <c r="M33" s="43">
        <f>'DCF Valuation'!M12</f>
        <v/>
      </c>
      <c r="N33" s="43">
        <f>'DCF Valuation'!N12</f>
        <v/>
      </c>
      <c r="O33" s="43">
        <f>'DCF Valuation'!O12</f>
        <v/>
      </c>
    </row>
    <row r="34">
      <c r="A34" s="5" t="inlineStr">
        <is>
          <t>Capex / sales %</t>
        </is>
      </c>
      <c r="I34" s="36">
        <f>'Assumptions'!I35/'Forecast Financial Statements'!I5</f>
        <v/>
      </c>
      <c r="J34" s="36">
        <f>'Assumptions'!J35/'Forecast Financial Statements'!J5</f>
        <v/>
      </c>
      <c r="K34" s="36">
        <f>'Assumptions'!K35/'Forecast Financial Statements'!K5</f>
        <v/>
      </c>
      <c r="L34" s="36">
        <f>'Assumptions'!L35/'Forecast Financial Statements'!L5</f>
        <v/>
      </c>
      <c r="M34" s="36">
        <f>'Assumptions'!M35/'Forecast Financial Statements'!M5</f>
        <v/>
      </c>
      <c r="N34" s="36">
        <f>'Assumptions'!N35/'Forecast Financial Statements'!N5</f>
        <v/>
      </c>
      <c r="O34" s="36">
        <f>'Assumptions'!O35/'Forecast Financial Statements'!O5</f>
        <v/>
      </c>
    </row>
    <row r="35">
      <c r="A35" s="5" t="inlineStr">
        <is>
          <t>FCFE (INR Cr)</t>
        </is>
      </c>
      <c r="I35" s="43">
        <f>'DCF Valuation'!I12-'Forecast Financial Statements'!I16*(1-'Assumptions'!I46)+'Debt Schedule'!I7+'Debt Schedule'!I8</f>
        <v/>
      </c>
      <c r="J35" s="43">
        <f>'DCF Valuation'!J12-'Forecast Financial Statements'!J16*(1-'Assumptions'!J46)+'Debt Schedule'!J7+'Debt Schedule'!J8</f>
        <v/>
      </c>
      <c r="K35" s="43">
        <f>'DCF Valuation'!K12-'Forecast Financial Statements'!K16*(1-'Assumptions'!K46)+'Debt Schedule'!K7+'Debt Schedule'!K8</f>
        <v/>
      </c>
      <c r="L35" s="43">
        <f>'DCF Valuation'!L12-'Forecast Financial Statements'!L16*(1-'Assumptions'!L46)+'Debt Schedule'!L7+'Debt Schedule'!L8</f>
        <v/>
      </c>
      <c r="M35" s="43">
        <f>'DCF Valuation'!M12-'Forecast Financial Statements'!M16*(1-'Assumptions'!M46)+'Debt Schedule'!M7+'Debt Schedule'!M8</f>
        <v/>
      </c>
      <c r="N35" s="43">
        <f>'DCF Valuation'!N12-'Forecast Financial Statements'!N16*(1-'Assumptions'!N46)+'Debt Schedule'!N7+'Debt Schedule'!N8</f>
        <v/>
      </c>
      <c r="O35" s="43">
        <f>'DCF Valuation'!O12-'Forecast Financial Statements'!O16*(1-'Assumptions'!O46)+'Debt Schedule'!O7+'Debt Schedule'!O8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548235"/>
    <outlinePr summaryBelow="1" summaryRight="1"/>
    <pageSetUpPr/>
  </sheetPr>
  <dimension ref="A1:O2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.5" customWidth="1" min="2" max="2"/>
    <col width="16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11" t="inlineStr">
        <is>
          <t>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3" t="inlineStr">
        <is>
          <t>Free Cash Flow to Firm (FCFF) valuation; WACC computed dynamically on Assumptions.</t>
        </is>
      </c>
    </row>
    <row r="4">
      <c r="A4" s="14" t="inlineStr">
        <is>
          <t>INR Crore</t>
        </is>
      </c>
      <c r="I4" s="15" t="inlineStr">
        <is>
          <t>FY2027</t>
        </is>
      </c>
      <c r="J4" s="15" t="inlineStr">
        <is>
          <t>FY2028</t>
        </is>
      </c>
      <c r="K4" s="15" t="inlineStr">
        <is>
          <t>FY2029</t>
        </is>
      </c>
      <c r="L4" s="15" t="inlineStr">
        <is>
          <t>FY2030</t>
        </is>
      </c>
      <c r="M4" s="15" t="inlineStr">
        <is>
          <t>FY2031</t>
        </is>
      </c>
      <c r="N4" s="15" t="inlineStr">
        <is>
          <t>FY2032</t>
        </is>
      </c>
      <c r="O4" s="15" t="inlineStr">
        <is>
          <t>FY2033</t>
        </is>
      </c>
    </row>
    <row r="5">
      <c r="A5" s="11" t="inlineStr">
        <is>
          <t>A.  Unlevered free cash flow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4" t="inlineStr">
        <is>
          <t>EBIT</t>
        </is>
      </c>
      <c r="I6" s="43">
        <f>'Forecast Financial Statements'!I14</f>
        <v/>
      </c>
      <c r="J6" s="43">
        <f>'Forecast Financial Statements'!J14</f>
        <v/>
      </c>
      <c r="K6" s="43">
        <f>'Forecast Financial Statements'!K14</f>
        <v/>
      </c>
      <c r="L6" s="43">
        <f>'Forecast Financial Statements'!L14</f>
        <v/>
      </c>
      <c r="M6" s="43">
        <f>'Forecast Financial Statements'!M14</f>
        <v/>
      </c>
      <c r="N6" s="43">
        <f>'Forecast Financial Statements'!N14</f>
        <v/>
      </c>
      <c r="O6" s="43">
        <f>'Forecast Financial Statements'!O14</f>
        <v/>
      </c>
    </row>
    <row r="7">
      <c r="A7" s="5" t="inlineStr">
        <is>
          <t xml:space="preserve">   Less: cash taxes on EBIT</t>
        </is>
      </c>
      <c r="I7" s="33">
        <f>-I6*'Assumptions'!I46</f>
        <v/>
      </c>
      <c r="J7" s="33">
        <f>-J6*'Assumptions'!J46</f>
        <v/>
      </c>
      <c r="K7" s="33">
        <f>-K6*'Assumptions'!K46</f>
        <v/>
      </c>
      <c r="L7" s="33">
        <f>-L6*'Assumptions'!L46</f>
        <v/>
      </c>
      <c r="M7" s="33">
        <f>-M6*'Assumptions'!M46</f>
        <v/>
      </c>
      <c r="N7" s="33">
        <f>-N6*'Assumptions'!N46</f>
        <v/>
      </c>
      <c r="O7" s="33">
        <f>-O6*'Assumptions'!O46</f>
        <v/>
      </c>
    </row>
    <row r="8">
      <c r="A8" s="4" t="inlineStr">
        <is>
          <t>NOPAT</t>
        </is>
      </c>
      <c r="I8" s="33">
        <f>I6+I7</f>
        <v/>
      </c>
      <c r="J8" s="33">
        <f>J6+J7</f>
        <v/>
      </c>
      <c r="K8" s="33">
        <f>K6+K7</f>
        <v/>
      </c>
      <c r="L8" s="33">
        <f>L6+L7</f>
        <v/>
      </c>
      <c r="M8" s="33">
        <f>M6+M7</f>
        <v/>
      </c>
      <c r="N8" s="33">
        <f>N6+N7</f>
        <v/>
      </c>
      <c r="O8" s="33">
        <f>O6+O7</f>
        <v/>
      </c>
    </row>
    <row r="9">
      <c r="A9" s="5" t="inlineStr">
        <is>
          <t xml:space="preserve">   Add: depreciation &amp; amortisation</t>
        </is>
      </c>
      <c r="I9" s="43">
        <f>'Depreciation Schedule'!I8</f>
        <v/>
      </c>
      <c r="J9" s="43">
        <f>'Depreciation Schedule'!J8</f>
        <v/>
      </c>
      <c r="K9" s="43">
        <f>'Depreciation Schedule'!K8</f>
        <v/>
      </c>
      <c r="L9" s="43">
        <f>'Depreciation Schedule'!L8</f>
        <v/>
      </c>
      <c r="M9" s="43">
        <f>'Depreciation Schedule'!M8</f>
        <v/>
      </c>
      <c r="N9" s="43">
        <f>'Depreciation Schedule'!N8</f>
        <v/>
      </c>
      <c r="O9" s="43">
        <f>'Depreciation Schedule'!O8</f>
        <v/>
      </c>
    </row>
    <row r="10">
      <c r="A10" s="5" t="inlineStr">
        <is>
          <t xml:space="preserve">   Less: capital expenditure</t>
        </is>
      </c>
      <c r="I10" s="43">
        <f>-'Assumptions'!I35</f>
        <v/>
      </c>
      <c r="J10" s="43">
        <f>-'Assumptions'!J35</f>
        <v/>
      </c>
      <c r="K10" s="43">
        <f>-'Assumptions'!K35</f>
        <v/>
      </c>
      <c r="L10" s="43">
        <f>-'Assumptions'!L35</f>
        <v/>
      </c>
      <c r="M10" s="43">
        <f>-'Assumptions'!M35</f>
        <v/>
      </c>
      <c r="N10" s="43">
        <f>-'Assumptions'!N35</f>
        <v/>
      </c>
      <c r="O10" s="43">
        <f>-'Assumptions'!O35</f>
        <v/>
      </c>
    </row>
    <row r="11">
      <c r="A11" s="5" t="inlineStr">
        <is>
          <t xml:space="preserve">   Add/(less): change in working capital</t>
        </is>
      </c>
      <c r="I11" s="43">
        <f>'Working Capital Schedule'!I18</f>
        <v/>
      </c>
      <c r="J11" s="43">
        <f>'Working Capital Schedule'!J18</f>
        <v/>
      </c>
      <c r="K11" s="43">
        <f>'Working Capital Schedule'!K18</f>
        <v/>
      </c>
      <c r="L11" s="43">
        <f>'Working Capital Schedule'!L18</f>
        <v/>
      </c>
      <c r="M11" s="43">
        <f>'Working Capital Schedule'!M18</f>
        <v/>
      </c>
      <c r="N11" s="43">
        <f>'Working Capital Schedule'!N18</f>
        <v/>
      </c>
      <c r="O11" s="43">
        <f>'Working Capital Schedule'!O18</f>
        <v/>
      </c>
    </row>
    <row r="12">
      <c r="A12" s="4" t="inlineStr">
        <is>
          <t>Free cash flow to firm (FCFF)</t>
        </is>
      </c>
      <c r="I12" s="44">
        <f>I8+I9+I10+I11</f>
        <v/>
      </c>
      <c r="J12" s="44">
        <f>J8+J9+J10+J11</f>
        <v/>
      </c>
      <c r="K12" s="44">
        <f>K8+K9+K10+K11</f>
        <v/>
      </c>
      <c r="L12" s="44">
        <f>L8+L9+L10+L11</f>
        <v/>
      </c>
      <c r="M12" s="44">
        <f>M8+M9+M10+M11</f>
        <v/>
      </c>
      <c r="N12" s="44">
        <f>N8+N9+N10+N11</f>
        <v/>
      </c>
      <c r="O12" s="44">
        <f>O8+O9+O10+O11</f>
        <v/>
      </c>
    </row>
    <row r="13">
      <c r="A13" s="5" t="inlineStr">
        <is>
          <t>Discount period (years)</t>
        </is>
      </c>
      <c r="I13" s="52" t="n">
        <v>1</v>
      </c>
      <c r="J13" s="52" t="n">
        <v>2</v>
      </c>
      <c r="K13" s="52" t="n">
        <v>3</v>
      </c>
      <c r="L13" s="52" t="n">
        <v>4</v>
      </c>
      <c r="M13" s="52" t="n">
        <v>5</v>
      </c>
      <c r="N13" s="52" t="n">
        <v>6</v>
      </c>
      <c r="O13" s="52" t="n">
        <v>7</v>
      </c>
    </row>
    <row r="14">
      <c r="A14" s="5" t="inlineStr">
        <is>
          <t>Discount factor @ WACC</t>
        </is>
      </c>
      <c r="I14" s="53">
        <f>1/(1+'Assumptions'!C65)^I13</f>
        <v/>
      </c>
      <c r="J14" s="53">
        <f>1/(1+'Assumptions'!C65)^J13</f>
        <v/>
      </c>
      <c r="K14" s="53">
        <f>1/(1+'Assumptions'!C65)^K13</f>
        <v/>
      </c>
      <c r="L14" s="53">
        <f>1/(1+'Assumptions'!C65)^L13</f>
        <v/>
      </c>
      <c r="M14" s="53">
        <f>1/(1+'Assumptions'!C65)^M13</f>
        <v/>
      </c>
      <c r="N14" s="53">
        <f>1/(1+'Assumptions'!C65)^N13</f>
        <v/>
      </c>
      <c r="O14" s="53">
        <f>1/(1+'Assumptions'!C65)^O13</f>
        <v/>
      </c>
    </row>
    <row r="15">
      <c r="A15" s="4" t="inlineStr">
        <is>
          <t>PV of FCFF</t>
        </is>
      </c>
      <c r="I15" s="44">
        <f>I12*I14</f>
        <v/>
      </c>
      <c r="J15" s="44">
        <f>J12*J14</f>
        <v/>
      </c>
      <c r="K15" s="44">
        <f>K12*K14</f>
        <v/>
      </c>
      <c r="L15" s="44">
        <f>L12*L14</f>
        <v/>
      </c>
      <c r="M15" s="44">
        <f>M12*M14</f>
        <v/>
      </c>
      <c r="N15" s="44">
        <f>N12*N14</f>
        <v/>
      </c>
      <c r="O15" s="44">
        <f>O12*O14</f>
        <v/>
      </c>
    </row>
    <row r="17">
      <c r="A17" s="11" t="inlineStr">
        <is>
          <t>B.  Enterprise &amp; equity value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A18" s="4" t="inlineStr">
        <is>
          <t>Sum of PV of explicit FCFF (FY27-33)</t>
        </is>
      </c>
      <c r="C18" s="54">
        <f>SUM(I15:O15)</f>
        <v/>
      </c>
    </row>
    <row r="19">
      <c r="A19" s="5" t="inlineStr">
        <is>
          <t>WACC</t>
        </is>
      </c>
      <c r="C19" s="55">
        <f>'Assumptions'!C65</f>
        <v/>
      </c>
    </row>
    <row r="20">
      <c r="A20" s="5" t="inlineStr">
        <is>
          <t>Terminal growth rate (g)</t>
        </is>
      </c>
      <c r="C20" s="55">
        <f>'Assumptions'!C63</f>
        <v/>
      </c>
    </row>
    <row r="21">
      <c r="A21" s="5" t="inlineStr">
        <is>
          <t>Terminal value (Gordon growth)</t>
        </is>
      </c>
      <c r="C21" s="54">
        <f>O12*(1+C20)/(C19-C20)</f>
        <v/>
      </c>
    </row>
    <row r="22">
      <c r="A22" s="5" t="inlineStr">
        <is>
          <t>PV of terminal value</t>
        </is>
      </c>
      <c r="C22" s="54">
        <f>C21*O14</f>
        <v/>
      </c>
    </row>
    <row r="23">
      <c r="A23" s="4" t="inlineStr">
        <is>
          <t>Enterprise value (EV)</t>
        </is>
      </c>
      <c r="C23" s="16">
        <f>C18+C22</f>
        <v/>
      </c>
    </row>
    <row r="24">
      <c r="A24" s="5" t="inlineStr">
        <is>
          <t>Less: net debt (FY26 debt - cash)</t>
        </is>
      </c>
      <c r="C24" s="56">
        <f>-('Forecast Financial Statements'!H72-'Forecast Financial Statements'!H67)</f>
        <v/>
      </c>
    </row>
    <row r="25">
      <c r="A25" s="4" t="inlineStr">
        <is>
          <t>Equity value</t>
        </is>
      </c>
      <c r="C25" s="16">
        <f>C23+C24</f>
        <v/>
      </c>
    </row>
    <row r="26">
      <c r="A26" s="5" t="inlineStr">
        <is>
          <t>Shares outstanding (crore)</t>
        </is>
      </c>
      <c r="C26" s="57">
        <f>'Assumptions'!C66</f>
        <v/>
      </c>
    </row>
    <row r="27">
      <c r="A27" s="4" t="inlineStr">
        <is>
          <t>Intrinsic value per share (INR)</t>
        </is>
      </c>
      <c r="C27" s="58">
        <f>C25/C26</f>
        <v/>
      </c>
    </row>
    <row r="28">
      <c r="A28" s="5" t="inlineStr">
        <is>
          <t>Current market price (INR)</t>
        </is>
      </c>
      <c r="C28" s="59">
        <f>'Assumptions'!C67</f>
        <v/>
      </c>
    </row>
    <row r="29">
      <c r="A29" s="4" t="inlineStr">
        <is>
          <t>Upside / (downside)</t>
        </is>
      </c>
      <c r="C29" s="22">
        <f>C27/C28-1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548235"/>
    <outlinePr summaryBelow="1" summaryRight="1"/>
    <pageSetUpPr/>
  </sheetPr>
  <dimension ref="A1:O2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11" t="inlineStr">
        <is>
          <t>RELATIVE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3" t="inlineStr">
        <is>
          <t>Peer trading multiples are INDICATIVE; refresh with live market data before use.</t>
        </is>
      </c>
    </row>
    <row r="4">
      <c r="A4" s="11" t="inlineStr">
        <is>
          <t>A.  Peer trading multiples (indicative)</t>
        </is>
      </c>
      <c r="B4" s="1" t="n"/>
      <c r="C4" s="1" t="n"/>
      <c r="D4" s="1" t="n"/>
      <c r="E4" s="1" t="n"/>
      <c r="F4" s="1" t="n"/>
    </row>
    <row r="5">
      <c r="A5" s="15" t="inlineStr">
        <is>
          <t>Peer company</t>
        </is>
      </c>
      <c r="B5" s="15" t="inlineStr">
        <is>
          <t>EV/Revenue (x)</t>
        </is>
      </c>
      <c r="C5" s="15" t="inlineStr">
        <is>
          <t>EV/EBITDA (x)</t>
        </is>
      </c>
      <c r="D5" s="15" t="inlineStr">
        <is>
          <t>P/E (x)</t>
        </is>
      </c>
      <c r="E5" s="15" t="inlineStr">
        <is>
          <t>P/B (x)</t>
        </is>
      </c>
      <c r="F5" s="15" t="inlineStr">
        <is>
          <t>Div yield %</t>
        </is>
      </c>
    </row>
    <row r="6">
      <c r="A6" s="5" t="inlineStr">
        <is>
          <t>Siemens India</t>
        </is>
      </c>
      <c r="B6" s="60" t="n">
        <v>5.5</v>
      </c>
      <c r="C6" s="60" t="n">
        <v>42</v>
      </c>
      <c r="D6" s="60" t="n">
        <v>60</v>
      </c>
      <c r="E6" s="60" t="n">
        <v>9</v>
      </c>
      <c r="F6" s="61" t="n">
        <v>0.4</v>
      </c>
    </row>
    <row r="7">
      <c r="A7" s="5" t="inlineStr">
        <is>
          <t>ABB India</t>
        </is>
      </c>
      <c r="B7" s="60" t="n">
        <v>7</v>
      </c>
      <c r="C7" s="60" t="n">
        <v>50</v>
      </c>
      <c r="D7" s="60" t="n">
        <v>68</v>
      </c>
      <c r="E7" s="60" t="n">
        <v>14</v>
      </c>
      <c r="F7" s="61" t="n">
        <v>0.4</v>
      </c>
    </row>
    <row r="8">
      <c r="A8" s="5" t="inlineStr">
        <is>
          <t>CG Power &amp; Ind.</t>
        </is>
      </c>
      <c r="B8" s="60" t="n">
        <v>6.5</v>
      </c>
      <c r="C8" s="60" t="n">
        <v>45</v>
      </c>
      <c r="D8" s="60" t="n">
        <v>62</v>
      </c>
      <c r="E8" s="60" t="n">
        <v>18</v>
      </c>
      <c r="F8" s="61" t="n">
        <v>0.2</v>
      </c>
    </row>
    <row r="9">
      <c r="A9" s="5" t="inlineStr">
        <is>
          <t>GE Vernova T&amp;D India</t>
        </is>
      </c>
      <c r="B9" s="60" t="n">
        <v>8</v>
      </c>
      <c r="C9" s="60" t="n">
        <v>48</v>
      </c>
      <c r="D9" s="60" t="n">
        <v>65</v>
      </c>
      <c r="E9" s="60" t="n">
        <v>20</v>
      </c>
      <c r="F9" s="61" t="n">
        <v>0.1</v>
      </c>
    </row>
    <row r="10">
      <c r="A10" s="5" t="inlineStr">
        <is>
          <t>Thermax</t>
        </is>
      </c>
      <c r="B10" s="60" t="n">
        <v>4</v>
      </c>
      <c r="C10" s="60" t="n">
        <v>38</v>
      </c>
      <c r="D10" s="60" t="n">
        <v>55</v>
      </c>
      <c r="E10" s="60" t="n">
        <v>8</v>
      </c>
      <c r="F10" s="61" t="n">
        <v>0.3</v>
      </c>
    </row>
    <row r="11">
      <c r="A11" s="5" t="inlineStr">
        <is>
          <t>Triveni Turbine</t>
        </is>
      </c>
      <c r="B11" s="60" t="n">
        <v>7.5</v>
      </c>
      <c r="C11" s="60" t="n">
        <v>40</v>
      </c>
      <c r="D11" s="60" t="n">
        <v>52</v>
      </c>
      <c r="E11" s="60" t="n">
        <v>16</v>
      </c>
      <c r="F11" s="61" t="n">
        <v>0.5</v>
      </c>
    </row>
    <row r="12">
      <c r="A12" s="5" t="inlineStr">
        <is>
          <t>Larsen &amp; Toubro</t>
        </is>
      </c>
      <c r="B12" s="60" t="n">
        <v>2</v>
      </c>
      <c r="C12" s="60" t="n">
        <v>22</v>
      </c>
      <c r="D12" s="60" t="n">
        <v>32</v>
      </c>
      <c r="E12" s="60" t="n">
        <v>5</v>
      </c>
      <c r="F12" s="61" t="n">
        <v>0.7</v>
      </c>
    </row>
    <row r="13">
      <c r="A13" s="5" t="inlineStr">
        <is>
          <t>Kalpataru Projects</t>
        </is>
      </c>
      <c r="B13" s="60" t="n">
        <v>0.9</v>
      </c>
      <c r="C13" s="60" t="n">
        <v>12</v>
      </c>
      <c r="D13" s="60" t="n">
        <v>22</v>
      </c>
      <c r="E13" s="60" t="n">
        <v>3</v>
      </c>
      <c r="F13" s="61" t="n">
        <v>0.4</v>
      </c>
    </row>
    <row r="14">
      <c r="A14" s="62" t="inlineStr">
        <is>
          <t>Median</t>
        </is>
      </c>
      <c r="B14" s="63">
        <f>MEDIAN(B6:B13)</f>
        <v/>
      </c>
      <c r="C14" s="63">
        <f>MEDIAN(C6:C13)</f>
        <v/>
      </c>
      <c r="D14" s="63">
        <f>MEDIAN(D6:D13)</f>
        <v/>
      </c>
      <c r="E14" s="63">
        <f>MEDIAN(E6:E13)</f>
        <v/>
      </c>
      <c r="F14" s="64">
        <f>MEDIAN(F6:F13)</f>
        <v/>
      </c>
    </row>
    <row r="16">
      <c r="A16" s="11" t="inlineStr">
        <is>
          <t>B.  Implied valuation for BHEL (on FY2027E)</t>
        </is>
      </c>
      <c r="B16" s="1" t="n"/>
      <c r="C16" s="1" t="n"/>
      <c r="D16" s="1" t="n"/>
      <c r="E16" s="1" t="n"/>
      <c r="F16" s="1" t="n"/>
    </row>
    <row r="17">
      <c r="A17" s="5" t="inlineStr">
        <is>
          <t>BHEL FY2027E revenue</t>
        </is>
      </c>
      <c r="C17" s="56">
        <f>'Forecast Financial Statements'!I5</f>
        <v/>
      </c>
    </row>
    <row r="18">
      <c r="A18" s="5" t="inlineStr">
        <is>
          <t>BHEL FY2027E EBITDA</t>
        </is>
      </c>
      <c r="C18" s="56">
        <f>'Forecast Financial Statements'!I12</f>
        <v/>
      </c>
    </row>
    <row r="19">
      <c r="A19" s="5" t="inlineStr">
        <is>
          <t>BHEL FY2027E EPS (INR)</t>
        </is>
      </c>
      <c r="C19" s="59">
        <f>'Forecast Financial Statements'!I21</f>
        <v/>
      </c>
    </row>
    <row r="20">
      <c r="A20" s="5" t="inlineStr">
        <is>
          <t>Net debt (FY26)</t>
        </is>
      </c>
      <c r="C20" s="56">
        <f>'Forecast Financial Statements'!H72-'Forecast Financial Statements'!H67</f>
        <v/>
      </c>
    </row>
    <row r="22">
      <c r="A22" s="5" t="inlineStr">
        <is>
          <t>Implied EV (EV/EBITDA method)</t>
        </is>
      </c>
      <c r="C22" s="54">
        <f>C18*C14</f>
        <v/>
      </c>
    </row>
    <row r="23">
      <c r="A23" s="5" t="inlineStr">
        <is>
          <t>Implied equity value (EV/EBITDA)</t>
        </is>
      </c>
      <c r="C23" s="54">
        <f>C22-C20</f>
        <v/>
      </c>
    </row>
    <row r="24">
      <c r="A24" s="4" t="inlineStr">
        <is>
          <t>Implied price - EV/EBITDA (INR)</t>
        </is>
      </c>
      <c r="C24" s="58">
        <f>C23/'Assumptions'!C66</f>
        <v/>
      </c>
    </row>
    <row r="25">
      <c r="A25" s="4" t="inlineStr">
        <is>
          <t>Implied price - P/E method (INR)</t>
        </is>
      </c>
      <c r="C25" s="58">
        <f>C19*D14</f>
        <v/>
      </c>
    </row>
    <row r="26">
      <c r="A26" s="5" t="inlineStr">
        <is>
          <t>Implied EV (EV/Revenue method)</t>
        </is>
      </c>
      <c r="C26" s="54">
        <f>C17*B14</f>
        <v/>
      </c>
    </row>
    <row r="27">
      <c r="A27" s="4" t="inlineStr">
        <is>
          <t>Implied price - EV/Revenue (INR)</t>
        </is>
      </c>
      <c r="C27" s="58">
        <f>(C26-C20)/'Assumptions'!C66</f>
        <v/>
      </c>
    </row>
    <row r="29">
      <c r="A29" s="4" t="inlineStr">
        <is>
          <t>Average implied target price (INR)</t>
        </is>
      </c>
      <c r="C29" s="65">
        <f>AVERAGE(C24,C25,C27)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11" t="inlineStr">
        <is>
          <t>SENSITIVITY ANALYSIS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3" t="inlineStr">
        <is>
          <t>Two-way table: intrinsic value per share (INR) vs WACC and terminal growth. Centre = base case.</t>
        </is>
      </c>
    </row>
    <row r="4">
      <c r="B4" s="4" t="inlineStr">
        <is>
          <t>Intrinsic value/share (INR)</t>
        </is>
      </c>
    </row>
    <row r="5">
      <c r="B5" s="15" t="inlineStr">
        <is>
          <t>WACC \ g</t>
        </is>
      </c>
      <c r="C5" s="66">
        <f>'Assumptions'!C63+-0.015</f>
        <v/>
      </c>
      <c r="D5" s="66">
        <f>'Assumptions'!C63+-0.0075</f>
        <v/>
      </c>
      <c r="E5" s="66">
        <f>'Assumptions'!C63+0.0</f>
        <v/>
      </c>
      <c r="F5" s="66">
        <f>'Assumptions'!C63+0.0075</f>
        <v/>
      </c>
      <c r="G5" s="66">
        <f>'Assumptions'!C63+0.015</f>
        <v/>
      </c>
    </row>
    <row r="6">
      <c r="B6" s="66">
        <f>'Assumptions'!C65+0.02</f>
        <v/>
      </c>
      <c r="C6" s="67">
        <f>(SUMPRODUCT('DCF Valuation'!$I$12:$O$12,(1+$B6)^(-'DCF Valuation'!$I$13:$O$13))+('DCF Valuation'!$O$12*(1+C$5)/($B6-C$5))*(1+$B6)^(-7)+'DCF Valuation'!$C$24)/'DCF Valuation'!$C$26</f>
        <v/>
      </c>
      <c r="D6" s="67">
        <f>(SUMPRODUCT('DCF Valuation'!$I$12:$O$12,(1+$B6)^(-'DCF Valuation'!$I$13:$O$13))+('DCF Valuation'!$O$12*(1+D$5)/($B6-D$5))*(1+$B6)^(-7)+'DCF Valuation'!$C$24)/'DCF Valuation'!$C$26</f>
        <v/>
      </c>
      <c r="E6" s="67">
        <f>(SUMPRODUCT('DCF Valuation'!$I$12:$O$12,(1+$B6)^(-'DCF Valuation'!$I$13:$O$13))+('DCF Valuation'!$O$12*(1+E$5)/($B6-E$5))*(1+$B6)^(-7)+'DCF Valuation'!$C$24)/'DCF Valuation'!$C$26</f>
        <v/>
      </c>
      <c r="F6" s="67">
        <f>(SUMPRODUCT('DCF Valuation'!$I$12:$O$12,(1+$B6)^(-'DCF Valuation'!$I$13:$O$13))+('DCF Valuation'!$O$12*(1+F$5)/($B6-F$5))*(1+$B6)^(-7)+'DCF Valuation'!$C$24)/'DCF Valuation'!$C$26</f>
        <v/>
      </c>
      <c r="G6" s="67">
        <f>(SUMPRODUCT('DCF Valuation'!$I$12:$O$12,(1+$B6)^(-'DCF Valuation'!$I$13:$O$13))+('DCF Valuation'!$O$12*(1+G$5)/($B6-G$5))*(1+$B6)^(-7)+'DCF Valuation'!$C$24)/'DCF Valuation'!$C$26</f>
        <v/>
      </c>
    </row>
    <row r="7">
      <c r="B7" s="66">
        <f>'Assumptions'!C65+0.01</f>
        <v/>
      </c>
      <c r="C7" s="67">
        <f>(SUMPRODUCT('DCF Valuation'!$I$12:$O$12,(1+$B7)^(-'DCF Valuation'!$I$13:$O$13))+('DCF Valuation'!$O$12*(1+C$5)/($B7-C$5))*(1+$B7)^(-7)+'DCF Valuation'!$C$24)/'DCF Valuation'!$C$26</f>
        <v/>
      </c>
      <c r="D7" s="67">
        <f>(SUMPRODUCT('DCF Valuation'!$I$12:$O$12,(1+$B7)^(-'DCF Valuation'!$I$13:$O$13))+('DCF Valuation'!$O$12*(1+D$5)/($B7-D$5))*(1+$B7)^(-7)+'DCF Valuation'!$C$24)/'DCF Valuation'!$C$26</f>
        <v/>
      </c>
      <c r="E7" s="67">
        <f>(SUMPRODUCT('DCF Valuation'!$I$12:$O$12,(1+$B7)^(-'DCF Valuation'!$I$13:$O$13))+('DCF Valuation'!$O$12*(1+E$5)/($B7-E$5))*(1+$B7)^(-7)+'DCF Valuation'!$C$24)/'DCF Valuation'!$C$26</f>
        <v/>
      </c>
      <c r="F7" s="67">
        <f>(SUMPRODUCT('DCF Valuation'!$I$12:$O$12,(1+$B7)^(-'DCF Valuation'!$I$13:$O$13))+('DCF Valuation'!$O$12*(1+F$5)/($B7-F$5))*(1+$B7)^(-7)+'DCF Valuation'!$C$24)/'DCF Valuation'!$C$26</f>
        <v/>
      </c>
      <c r="G7" s="67">
        <f>(SUMPRODUCT('DCF Valuation'!$I$12:$O$12,(1+$B7)^(-'DCF Valuation'!$I$13:$O$13))+('DCF Valuation'!$O$12*(1+G$5)/($B7-G$5))*(1+$B7)^(-7)+'DCF Valuation'!$C$24)/'DCF Valuation'!$C$26</f>
        <v/>
      </c>
    </row>
    <row r="8">
      <c r="B8" s="66">
        <f>'Assumptions'!C65+0.0</f>
        <v/>
      </c>
      <c r="C8" s="67">
        <f>(SUMPRODUCT('DCF Valuation'!$I$12:$O$12,(1+$B8)^(-'DCF Valuation'!$I$13:$O$13))+('DCF Valuation'!$O$12*(1+C$5)/($B8-C$5))*(1+$B8)^(-7)+'DCF Valuation'!$C$24)/'DCF Valuation'!$C$26</f>
        <v/>
      </c>
      <c r="D8" s="67">
        <f>(SUMPRODUCT('DCF Valuation'!$I$12:$O$12,(1+$B8)^(-'DCF Valuation'!$I$13:$O$13))+('DCF Valuation'!$O$12*(1+D$5)/($B8-D$5))*(1+$B8)^(-7)+'DCF Valuation'!$C$24)/'DCF Valuation'!$C$26</f>
        <v/>
      </c>
      <c r="E8" s="58">
        <f>(SUMPRODUCT('DCF Valuation'!$I$12:$O$12,(1+$B8)^(-'DCF Valuation'!$I$13:$O$13))+('DCF Valuation'!$O$12*(1+E$5)/($B8-E$5))*(1+$B8)^(-7)+'DCF Valuation'!$C$24)/'DCF Valuation'!$C$26</f>
        <v/>
      </c>
      <c r="F8" s="67">
        <f>(SUMPRODUCT('DCF Valuation'!$I$12:$O$12,(1+$B8)^(-'DCF Valuation'!$I$13:$O$13))+('DCF Valuation'!$O$12*(1+F$5)/($B8-F$5))*(1+$B8)^(-7)+'DCF Valuation'!$C$24)/'DCF Valuation'!$C$26</f>
        <v/>
      </c>
      <c r="G8" s="67">
        <f>(SUMPRODUCT('DCF Valuation'!$I$12:$O$12,(1+$B8)^(-'DCF Valuation'!$I$13:$O$13))+('DCF Valuation'!$O$12*(1+G$5)/($B8-G$5))*(1+$B8)^(-7)+'DCF Valuation'!$C$24)/'DCF Valuation'!$C$26</f>
        <v/>
      </c>
    </row>
    <row r="9">
      <c r="B9" s="66">
        <f>'Assumptions'!C65+-0.01</f>
        <v/>
      </c>
      <c r="C9" s="67">
        <f>(SUMPRODUCT('DCF Valuation'!$I$12:$O$12,(1+$B9)^(-'DCF Valuation'!$I$13:$O$13))+('DCF Valuation'!$O$12*(1+C$5)/($B9-C$5))*(1+$B9)^(-7)+'DCF Valuation'!$C$24)/'DCF Valuation'!$C$26</f>
        <v/>
      </c>
      <c r="D9" s="67">
        <f>(SUMPRODUCT('DCF Valuation'!$I$12:$O$12,(1+$B9)^(-'DCF Valuation'!$I$13:$O$13))+('DCF Valuation'!$O$12*(1+D$5)/($B9-D$5))*(1+$B9)^(-7)+'DCF Valuation'!$C$24)/'DCF Valuation'!$C$26</f>
        <v/>
      </c>
      <c r="E9" s="67">
        <f>(SUMPRODUCT('DCF Valuation'!$I$12:$O$12,(1+$B9)^(-'DCF Valuation'!$I$13:$O$13))+('DCF Valuation'!$O$12*(1+E$5)/($B9-E$5))*(1+$B9)^(-7)+'DCF Valuation'!$C$24)/'DCF Valuation'!$C$26</f>
        <v/>
      </c>
      <c r="F9" s="67">
        <f>(SUMPRODUCT('DCF Valuation'!$I$12:$O$12,(1+$B9)^(-'DCF Valuation'!$I$13:$O$13))+('DCF Valuation'!$O$12*(1+F$5)/($B9-F$5))*(1+$B9)^(-7)+'DCF Valuation'!$C$24)/'DCF Valuation'!$C$26</f>
        <v/>
      </c>
      <c r="G9" s="67">
        <f>(SUMPRODUCT('DCF Valuation'!$I$12:$O$12,(1+$B9)^(-'DCF Valuation'!$I$13:$O$13))+('DCF Valuation'!$O$12*(1+G$5)/($B9-G$5))*(1+$B9)^(-7)+'DCF Valuation'!$C$24)/'DCF Valuation'!$C$26</f>
        <v/>
      </c>
    </row>
    <row r="10">
      <c r="B10" s="66">
        <f>'Assumptions'!C65+-0.02</f>
        <v/>
      </c>
      <c r="C10" s="67">
        <f>(SUMPRODUCT('DCF Valuation'!$I$12:$O$12,(1+$B10)^(-'DCF Valuation'!$I$13:$O$13))+('DCF Valuation'!$O$12*(1+C$5)/($B10-C$5))*(1+$B10)^(-7)+'DCF Valuation'!$C$24)/'DCF Valuation'!$C$26</f>
        <v/>
      </c>
      <c r="D10" s="67">
        <f>(SUMPRODUCT('DCF Valuation'!$I$12:$O$12,(1+$B10)^(-'DCF Valuation'!$I$13:$O$13))+('DCF Valuation'!$O$12*(1+D$5)/($B10-D$5))*(1+$B10)^(-7)+'DCF Valuation'!$C$24)/'DCF Valuation'!$C$26</f>
        <v/>
      </c>
      <c r="E10" s="67">
        <f>(SUMPRODUCT('DCF Valuation'!$I$12:$O$12,(1+$B10)^(-'DCF Valuation'!$I$13:$O$13))+('DCF Valuation'!$O$12*(1+E$5)/($B10-E$5))*(1+$B10)^(-7)+'DCF Valuation'!$C$24)/'DCF Valuation'!$C$26</f>
        <v/>
      </c>
      <c r="F10" s="67">
        <f>(SUMPRODUCT('DCF Valuation'!$I$12:$O$12,(1+$B10)^(-'DCF Valuation'!$I$13:$O$13))+('DCF Valuation'!$O$12*(1+F$5)/($B10-F$5))*(1+$B10)^(-7)+'DCF Valuation'!$C$24)/'DCF Valuation'!$C$26</f>
        <v/>
      </c>
      <c r="G10" s="67">
        <f>(SUMPRODUCT('DCF Valuation'!$I$12:$O$12,(1+$B10)^(-'DCF Valuation'!$I$13:$O$13))+('DCF Valuation'!$O$12*(1+G$5)/($B10-G$5))*(1+$B10)^(-7)+'DCF Valuation'!$C$24)/'DCF Valuation'!$C$26</f>
        <v/>
      </c>
    </row>
    <row r="12">
      <c r="A12" s="7" t="inlineStr">
        <is>
          <t>Other sensitivities (order inflow, execution, margins, commodities, capex, rates, WC) are on Scenario Analysis and the Assumptions sheet.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548235"/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11" t="inlineStr">
        <is>
          <t>SCENARIO ANALYSIS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3" t="inlineStr">
        <is>
          <t>Bull/Base/Bear via exit EV/EBITDA on FY2033E, discounted to present. Base links to the live model.</t>
        </is>
      </c>
    </row>
    <row r="3">
      <c r="A3" s="11" t="inlineStr">
        <is>
          <t>Scenario drivers &amp; valuation</t>
        </is>
      </c>
      <c r="B3" s="1" t="n"/>
      <c r="C3" s="1" t="n"/>
      <c r="D3" s="1" t="n"/>
    </row>
    <row r="4">
      <c r="A4" s="15" t="inlineStr">
        <is>
          <t>Driver / output</t>
        </is>
      </c>
      <c r="B4" s="15" t="inlineStr">
        <is>
          <t>Bear case</t>
        </is>
      </c>
      <c r="C4" s="15" t="inlineStr">
        <is>
          <t>Base case</t>
        </is>
      </c>
      <c r="D4" s="15" t="inlineStr">
        <is>
          <t>Bull case</t>
        </is>
      </c>
    </row>
    <row r="5">
      <c r="A5" s="5" t="inlineStr">
        <is>
          <t>FY2033E revenue (INR Cr)</t>
        </is>
      </c>
      <c r="B5" s="17" t="n">
        <v>68000</v>
      </c>
      <c r="C5" s="56">
        <f>'Forecast Financial Statements'!O5</f>
        <v/>
      </c>
      <c r="D5" s="17" t="n">
        <v>92000</v>
      </c>
    </row>
    <row r="6">
      <c r="A6" s="5" t="inlineStr">
        <is>
          <t>Terminal EBITDA margin</t>
        </is>
      </c>
      <c r="B6" s="19" t="n">
        <v>0.09</v>
      </c>
      <c r="C6" s="55">
        <f>'Forecast Financial Statements'!O12/'Forecast Financial Statements'!O5</f>
        <v/>
      </c>
      <c r="D6" s="19" t="n">
        <v>0.15</v>
      </c>
    </row>
    <row r="7">
      <c r="A7" s="5" t="inlineStr">
        <is>
          <t>Exit EV/EBITDA multiple (x)</t>
        </is>
      </c>
      <c r="B7" s="60" t="n">
        <v>14</v>
      </c>
      <c r="C7" s="60" t="n">
        <v>18</v>
      </c>
      <c r="D7" s="60" t="n">
        <v>24</v>
      </c>
    </row>
    <row r="8">
      <c r="A8" s="5" t="inlineStr">
        <is>
          <t>WACC</t>
        </is>
      </c>
      <c r="B8" s="19" t="n">
        <v>0.155</v>
      </c>
      <c r="C8" s="55">
        <f>'Assumptions'!C65</f>
        <v/>
      </c>
      <c r="D8" s="19" t="n">
        <v>0.12</v>
      </c>
    </row>
    <row r="9">
      <c r="A9" s="5" t="inlineStr">
        <is>
          <t>FY2033E EBITDA (INR Cr)</t>
        </is>
      </c>
      <c r="B9" s="54">
        <f>B5*B6</f>
        <v/>
      </c>
      <c r="C9" s="54">
        <f>C5*C6</f>
        <v/>
      </c>
      <c r="D9" s="54">
        <f>D5*D6</f>
        <v/>
      </c>
    </row>
    <row r="10">
      <c r="A10" s="5" t="inlineStr">
        <is>
          <t>Terminal EV (INR Cr)</t>
        </is>
      </c>
      <c r="B10" s="54">
        <f>B9*B7</f>
        <v/>
      </c>
      <c r="C10" s="54">
        <f>C9*C7</f>
        <v/>
      </c>
      <c r="D10" s="54">
        <f>D9*D7</f>
        <v/>
      </c>
    </row>
    <row r="11">
      <c r="A11" s="5" t="inlineStr">
        <is>
          <t>PV of EV (discounted 7y)</t>
        </is>
      </c>
      <c r="B11" s="54">
        <f>B10/(1+B8)^7</f>
        <v/>
      </c>
      <c r="C11" s="54">
        <f>C10/(1+C8)^7</f>
        <v/>
      </c>
      <c r="D11" s="54">
        <f>D10/(1+D8)^7</f>
        <v/>
      </c>
    </row>
    <row r="12">
      <c r="A12" s="5" t="inlineStr">
        <is>
          <t>Less: net debt (FY26)</t>
        </is>
      </c>
      <c r="B12" s="56">
        <f>'Forecast Financial Statements'!H72-'Forecast Financial Statements'!H67</f>
        <v/>
      </c>
      <c r="C12" s="56">
        <f>'Forecast Financial Statements'!H72-'Forecast Financial Statements'!H67</f>
        <v/>
      </c>
      <c r="D12" s="56">
        <f>'Forecast Financial Statements'!H72-'Forecast Financial Statements'!H67</f>
        <v/>
      </c>
    </row>
    <row r="13">
      <c r="A13" s="5" t="inlineStr">
        <is>
          <t>Equity value (INR Cr)</t>
        </is>
      </c>
      <c r="B13" s="54">
        <f>B11-B12</f>
        <v/>
      </c>
      <c r="C13" s="54">
        <f>C11-C12</f>
        <v/>
      </c>
      <c r="D13" s="54">
        <f>D11-D12</f>
        <v/>
      </c>
    </row>
    <row r="14">
      <c r="A14" s="4" t="inlineStr">
        <is>
          <t>Target price (INR)</t>
        </is>
      </c>
      <c r="B14" s="58">
        <f>B13/'Assumptions'!C66</f>
        <v/>
      </c>
      <c r="C14" s="58">
        <f>C13/'Assumptions'!C66</f>
        <v/>
      </c>
      <c r="D14" s="58">
        <f>D13/'Assumptions'!C66</f>
        <v/>
      </c>
    </row>
    <row r="15">
      <c r="A15" s="4" t="inlineStr">
        <is>
          <t>Scenario probability</t>
        </is>
      </c>
      <c r="B15" s="19" t="n">
        <v>0.25</v>
      </c>
      <c r="C15" s="19" t="n">
        <v>0.5</v>
      </c>
      <c r="D15" s="19" t="n">
        <v>0.25</v>
      </c>
    </row>
    <row r="17">
      <c r="A17" s="4" t="inlineStr">
        <is>
          <t>Probability-weighted target price (INR)</t>
        </is>
      </c>
      <c r="B17" s="65">
        <f>SUMPRODUCT(B14:D14,B15:D15)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F3864"/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" customWidth="1" min="3" max="3"/>
    <col width="26" customWidth="1" min="4" max="4"/>
    <col width="16" customWidth="1" min="5" max="5"/>
    <col width="4" customWidth="1" min="6" max="6"/>
    <col width="26" customWidth="1" min="7" max="7"/>
    <col width="16" customWidth="1" min="8" max="8"/>
  </cols>
  <sheetData>
    <row r="1">
      <c r="A1" s="11" t="inlineStr">
        <is>
          <t>BHEL  |  EXECUTIVE DASHBOARD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24" t="inlineStr">
        <is>
          <t>DCF value / share (INR)</t>
        </is>
      </c>
      <c r="B3" s="24" t="inlineStr">
        <is>
          <t>Current price (INR)</t>
        </is>
      </c>
      <c r="D3" s="24" t="inlineStr">
        <is>
          <t>Upside / (downside)</t>
        </is>
      </c>
      <c r="E3" s="24" t="inlineStr">
        <is>
          <t>Prob-weighted TP (INR)</t>
        </is>
      </c>
      <c r="G3" s="24" t="inlineStr">
        <is>
          <t>Avg relative TP (INR)</t>
        </is>
      </c>
      <c r="H3" s="24" t="inlineStr">
        <is>
          <t>WACC</t>
        </is>
      </c>
    </row>
    <row r="4">
      <c r="A4" s="68">
        <f>'DCF Valuation'!C27</f>
        <v/>
      </c>
      <c r="B4" s="68">
        <f>'DCF Valuation'!C28</f>
        <v/>
      </c>
      <c r="D4" s="69">
        <f>'DCF Valuation'!C29</f>
        <v/>
      </c>
      <c r="E4" s="68">
        <f>'Scenario Analysis'!B17</f>
        <v/>
      </c>
      <c r="G4" s="68">
        <f>'Relative Valuation'!C29</f>
        <v/>
      </c>
      <c r="H4" s="69">
        <f>'Assumptions'!C65</f>
        <v/>
      </c>
    </row>
    <row r="6">
      <c r="A6" s="24" t="inlineStr">
        <is>
          <t>FY27E revenue (INR Cr)</t>
        </is>
      </c>
      <c r="B6" s="24" t="inlineStr">
        <is>
          <t>FY33E revenue (INR Cr)</t>
        </is>
      </c>
      <c r="D6" s="24" t="inlineStr">
        <is>
          <t>FY27E EBITDA margin</t>
        </is>
      </c>
      <c r="E6" s="24" t="inlineStr">
        <is>
          <t>FY33E EBITDA margin</t>
        </is>
      </c>
      <c r="G6" s="24" t="inlineStr">
        <is>
          <t>FY26 order book (INR Cr)</t>
        </is>
      </c>
      <c r="H6" s="24" t="inlineStr">
        <is>
          <t>FY33E PAT (INR Cr)</t>
        </is>
      </c>
    </row>
    <row r="7">
      <c r="A7" s="70">
        <f>'Forecast Financial Statements'!I5</f>
        <v/>
      </c>
      <c r="B7" s="70">
        <f>'Forecast Financial Statements'!O5</f>
        <v/>
      </c>
      <c r="D7" s="69">
        <f>'Forecast Financial Statements'!I12/'Forecast Financial Statements'!I5</f>
        <v/>
      </c>
      <c r="E7" s="69">
        <f>'Forecast Financial Statements'!O12/'Forecast Financial Statements'!O5</f>
        <v/>
      </c>
      <c r="G7" s="70">
        <f>'Revenue Build-up'!H10</f>
        <v/>
      </c>
      <c r="H7" s="70">
        <f>'Forecast Financial Statements'!O20</f>
        <v/>
      </c>
    </row>
    <row r="9">
      <c r="A9" s="6" t="inlineStr">
        <is>
          <t>DCF bridge (INR Cr)</t>
        </is>
      </c>
    </row>
    <row r="10">
      <c r="A10" s="71" t="inlineStr">
        <is>
          <t>PV of explicit FCFF</t>
        </is>
      </c>
      <c r="B10" s="56">
        <f>'DCF Valuation'!C18</f>
        <v/>
      </c>
    </row>
    <row r="11">
      <c r="A11" s="71" t="inlineStr">
        <is>
          <t>PV of terminal value</t>
        </is>
      </c>
      <c r="B11" s="56">
        <f>'DCF Valuation'!C22</f>
        <v/>
      </c>
    </row>
    <row r="12">
      <c r="A12" s="71" t="inlineStr">
        <is>
          <t>Enterprise value</t>
        </is>
      </c>
      <c r="B12" s="56">
        <f>'DCF Valuation'!C23</f>
        <v/>
      </c>
    </row>
    <row r="13">
      <c r="A13" s="71" t="inlineStr">
        <is>
          <t>Less: net debt</t>
        </is>
      </c>
      <c r="B13" s="56">
        <f>'DCF Valuation'!C24</f>
        <v/>
      </c>
    </row>
    <row r="14">
      <c r="A14" s="71" t="inlineStr">
        <is>
          <t>Equity value</t>
        </is>
      </c>
      <c r="B14" s="56">
        <f>'DCF Valuation'!C25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tabColor rgb="00C00000"/>
    <outlinePr summaryBelow="1" summaryRight="1"/>
    <pageSetUpPr/>
  </sheetPr>
  <dimension ref="A1:O1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>
      <c r="A1" s="11" t="inlineStr">
        <is>
          <t>ERROR CHECKS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3" t="inlineStr">
        <is>
          <t>Automated integrity checks. "OK" = pass (difference &lt; INR 0.5 Cr).</t>
        </is>
      </c>
    </row>
    <row r="4">
      <c r="A4" s="24" t="inlineStr">
        <is>
          <t>Check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>
        <is>
          <t>FY2026</t>
        </is>
      </c>
      <c r="I4" s="15" t="inlineStr">
        <is>
          <t>FY2027</t>
        </is>
      </c>
      <c r="J4" s="15" t="inlineStr">
        <is>
          <t>FY2028</t>
        </is>
      </c>
      <c r="K4" s="15" t="inlineStr">
        <is>
          <t>FY2029</t>
        </is>
      </c>
      <c r="L4" s="15" t="inlineStr">
        <is>
          <t>FY2030</t>
        </is>
      </c>
      <c r="M4" s="15" t="inlineStr">
        <is>
          <t>FY2031</t>
        </is>
      </c>
      <c r="N4" s="15" t="inlineStr">
        <is>
          <t>FY2032</t>
        </is>
      </c>
      <c r="O4" s="15" t="inlineStr">
        <is>
          <t>FY2033</t>
        </is>
      </c>
    </row>
    <row r="5">
      <c r="A5" s="5" t="inlineStr">
        <is>
          <t>Balance sheet balances (TA = TE&amp;L)</t>
        </is>
      </c>
      <c r="B5" s="72">
        <f>IF(ABS('Forecast Financial Statements'!B70-'Forecast Financial Statements'!B49)&lt;0.5,"OK","REVIEW")</f>
        <v/>
      </c>
      <c r="C5" s="72">
        <f>IF(ABS('Forecast Financial Statements'!C70-'Forecast Financial Statements'!C49)&lt;0.5,"OK","REVIEW")</f>
        <v/>
      </c>
      <c r="D5" s="72">
        <f>IF(ABS('Forecast Financial Statements'!D70-'Forecast Financial Statements'!D49)&lt;0.5,"OK","REVIEW")</f>
        <v/>
      </c>
      <c r="E5" s="72">
        <f>IF(ABS('Forecast Financial Statements'!E70-'Forecast Financial Statements'!E49)&lt;0.5,"OK","REVIEW")</f>
        <v/>
      </c>
      <c r="F5" s="72">
        <f>IF(ABS('Forecast Financial Statements'!F70-'Forecast Financial Statements'!F49)&lt;0.5,"OK","REVIEW")</f>
        <v/>
      </c>
      <c r="G5" s="72">
        <f>IF(ABS('Forecast Financial Statements'!G70-'Forecast Financial Statements'!G49)&lt;0.5,"OK","REVIEW")</f>
        <v/>
      </c>
      <c r="H5" s="72">
        <f>IF(ABS('Forecast Financial Statements'!H70-'Forecast Financial Statements'!H49)&lt;0.5,"OK","REVIEW")</f>
        <v/>
      </c>
      <c r="I5" s="72">
        <f>IF(ABS('Forecast Financial Statements'!I70-'Forecast Financial Statements'!I49)&lt;0.5,"OK","REVIEW")</f>
        <v/>
      </c>
      <c r="J5" s="72">
        <f>IF(ABS('Forecast Financial Statements'!J70-'Forecast Financial Statements'!J49)&lt;0.5,"OK","REVIEW")</f>
        <v/>
      </c>
      <c r="K5" s="72">
        <f>IF(ABS('Forecast Financial Statements'!K70-'Forecast Financial Statements'!K49)&lt;0.5,"OK","REVIEW")</f>
        <v/>
      </c>
      <c r="L5" s="72">
        <f>IF(ABS('Forecast Financial Statements'!L70-'Forecast Financial Statements'!L49)&lt;0.5,"OK","REVIEW")</f>
        <v/>
      </c>
      <c r="M5" s="72">
        <f>IF(ABS('Forecast Financial Statements'!M70-'Forecast Financial Statements'!M49)&lt;0.5,"OK","REVIEW")</f>
        <v/>
      </c>
      <c r="N5" s="72">
        <f>IF(ABS('Forecast Financial Statements'!N70-'Forecast Financial Statements'!N49)&lt;0.5,"OK","REVIEW")</f>
        <v/>
      </c>
      <c r="O5" s="72">
        <f>IF(ABS('Forecast Financial Statements'!O70-'Forecast Financial Statements'!O49)&lt;0.5,"OK","REVIEW")</f>
        <v/>
      </c>
    </row>
    <row r="6">
      <c r="A6" s="5" t="inlineStr">
        <is>
          <t>Cash: Balance sheet = Cash flow stmt</t>
        </is>
      </c>
      <c r="I6" s="72">
        <f>IF(ABS('Forecast Financial Statements'!I67-'Cash Flow Statement'!I25)&lt;0.5,"OK","REVIEW")</f>
        <v/>
      </c>
      <c r="J6" s="72">
        <f>IF(ABS('Forecast Financial Statements'!J67-'Cash Flow Statement'!J25)&lt;0.5,"OK","REVIEW")</f>
        <v/>
      </c>
      <c r="K6" s="72">
        <f>IF(ABS('Forecast Financial Statements'!K67-'Cash Flow Statement'!K25)&lt;0.5,"OK","REVIEW")</f>
        <v/>
      </c>
      <c r="L6" s="72">
        <f>IF(ABS('Forecast Financial Statements'!L67-'Cash Flow Statement'!L25)&lt;0.5,"OK","REVIEW")</f>
        <v/>
      </c>
      <c r="M6" s="72">
        <f>IF(ABS('Forecast Financial Statements'!M67-'Cash Flow Statement'!M25)&lt;0.5,"OK","REVIEW")</f>
        <v/>
      </c>
      <c r="N6" s="72">
        <f>IF(ABS('Forecast Financial Statements'!N67-'Cash Flow Statement'!N25)&lt;0.5,"OK","REVIEW")</f>
        <v/>
      </c>
      <c r="O6" s="72">
        <f>IF(ABS('Forecast Financial Statements'!O67-'Cash Flow Statement'!O25)&lt;0.5,"OK","REVIEW")</f>
        <v/>
      </c>
    </row>
    <row r="7">
      <c r="A7" s="5" t="inlineStr">
        <is>
          <t>Retained earnings roll-forward ties</t>
        </is>
      </c>
      <c r="I7" s="72">
        <f>IF(ABS('Forecast Financial Statements'!I29-'Equity Schedule'!I10)&lt;0.5,"OK","REVIEW")</f>
        <v/>
      </c>
      <c r="J7" s="72">
        <f>IF(ABS('Forecast Financial Statements'!J29-'Equity Schedule'!J10)&lt;0.5,"OK","REVIEW")</f>
        <v/>
      </c>
      <c r="K7" s="72">
        <f>IF(ABS('Forecast Financial Statements'!K29-'Equity Schedule'!K10)&lt;0.5,"OK","REVIEW")</f>
        <v/>
      </c>
      <c r="L7" s="72">
        <f>IF(ABS('Forecast Financial Statements'!L29-'Equity Schedule'!L10)&lt;0.5,"OK","REVIEW")</f>
        <v/>
      </c>
      <c r="M7" s="72">
        <f>IF(ABS('Forecast Financial Statements'!M29-'Equity Schedule'!M10)&lt;0.5,"OK","REVIEW")</f>
        <v/>
      </c>
      <c r="N7" s="72">
        <f>IF(ABS('Forecast Financial Statements'!N29-'Equity Schedule'!N10)&lt;0.5,"OK","REVIEW")</f>
        <v/>
      </c>
      <c r="O7" s="72">
        <f>IF(ABS('Forecast Financial Statements'!O29-'Equity Schedule'!O10)&lt;0.5,"OK","REVIEW")</f>
        <v/>
      </c>
    </row>
    <row r="8">
      <c r="A8" s="5" t="inlineStr">
        <is>
          <t>Debt roll-forward ties</t>
        </is>
      </c>
      <c r="I8" s="72">
        <f>IF(ABS('Forecast Financial Statements'!I72-'Debt Schedule'!I9)&lt;0.5,"OK","REVIEW")</f>
        <v/>
      </c>
      <c r="J8" s="72">
        <f>IF(ABS('Forecast Financial Statements'!J72-'Debt Schedule'!J9)&lt;0.5,"OK","REVIEW")</f>
        <v/>
      </c>
      <c r="K8" s="72">
        <f>IF(ABS('Forecast Financial Statements'!K72-'Debt Schedule'!K9)&lt;0.5,"OK","REVIEW")</f>
        <v/>
      </c>
      <c r="L8" s="72">
        <f>IF(ABS('Forecast Financial Statements'!L72-'Debt Schedule'!L9)&lt;0.5,"OK","REVIEW")</f>
        <v/>
      </c>
      <c r="M8" s="72">
        <f>IF(ABS('Forecast Financial Statements'!M72-'Debt Schedule'!M9)&lt;0.5,"OK","REVIEW")</f>
        <v/>
      </c>
      <c r="N8" s="72">
        <f>IF(ABS('Forecast Financial Statements'!N72-'Debt Schedule'!N9)&lt;0.5,"OK","REVIEW")</f>
        <v/>
      </c>
      <c r="O8" s="72">
        <f>IF(ABS('Forecast Financial Statements'!O72-'Debt Schedule'!O9)&lt;0.5,"OK","REVIEW")</f>
        <v/>
      </c>
    </row>
    <row r="9">
      <c r="A9" s="5" t="inlineStr">
        <is>
          <t>Depreciation ties to P&amp;L</t>
        </is>
      </c>
      <c r="I9" s="72">
        <f>IF(ABS('Forecast Financial Statements'!I13-'Depreciation Schedule'!I8)&lt;0.5,"OK","REVIEW")</f>
        <v/>
      </c>
      <c r="J9" s="72">
        <f>IF(ABS('Forecast Financial Statements'!J13-'Depreciation Schedule'!J8)&lt;0.5,"OK","REVIEW")</f>
        <v/>
      </c>
      <c r="K9" s="72">
        <f>IF(ABS('Forecast Financial Statements'!K13-'Depreciation Schedule'!K8)&lt;0.5,"OK","REVIEW")</f>
        <v/>
      </c>
      <c r="L9" s="72">
        <f>IF(ABS('Forecast Financial Statements'!L13-'Depreciation Schedule'!L8)&lt;0.5,"OK","REVIEW")</f>
        <v/>
      </c>
      <c r="M9" s="72">
        <f>IF(ABS('Forecast Financial Statements'!M13-'Depreciation Schedule'!M8)&lt;0.5,"OK","REVIEW")</f>
        <v/>
      </c>
      <c r="N9" s="72">
        <f>IF(ABS('Forecast Financial Statements'!N13-'Depreciation Schedule'!N8)&lt;0.5,"OK","REVIEW")</f>
        <v/>
      </c>
      <c r="O9" s="72">
        <f>IF(ABS('Forecast Financial Statements'!O13-'Depreciation Schedule'!O8)&lt;0.5,"OK","REVIEW")</f>
        <v/>
      </c>
    </row>
    <row r="10">
      <c r="A10" s="5" t="inlineStr">
        <is>
          <t>Revenue ties to Revenue Build-up</t>
        </is>
      </c>
      <c r="I10" s="72">
        <f>IF(ABS('Forecast Financial Statements'!I5-'Revenue Build-up'!I15)&lt;0.5,"OK","REVIEW")</f>
        <v/>
      </c>
      <c r="J10" s="72">
        <f>IF(ABS('Forecast Financial Statements'!J5-'Revenue Build-up'!J15)&lt;0.5,"OK","REVIEW")</f>
        <v/>
      </c>
      <c r="K10" s="72">
        <f>IF(ABS('Forecast Financial Statements'!K5-'Revenue Build-up'!K15)&lt;0.5,"OK","REVIEW")</f>
        <v/>
      </c>
      <c r="L10" s="72">
        <f>IF(ABS('Forecast Financial Statements'!L5-'Revenue Build-up'!L15)&lt;0.5,"OK","REVIEW")</f>
        <v/>
      </c>
      <c r="M10" s="72">
        <f>IF(ABS('Forecast Financial Statements'!M5-'Revenue Build-up'!M15)&lt;0.5,"OK","REVIEW")</f>
        <v/>
      </c>
      <c r="N10" s="72">
        <f>IF(ABS('Forecast Financial Statements'!N5-'Revenue Build-up'!N15)&lt;0.5,"OK","REVIEW")</f>
        <v/>
      </c>
      <c r="O10" s="72">
        <f>IF(ABS('Forecast Financial Statements'!O5-'Revenue Build-up'!O15)&lt;0.5,"OK","REVIEW")</f>
        <v/>
      </c>
    </row>
    <row r="11">
      <c r="A11" s="5" t="inlineStr">
        <is>
          <t>Net fixed assets tie to FA schedule</t>
        </is>
      </c>
      <c r="I11" s="72">
        <f>IF(ABS('Forecast Financial Statements'!I53-'Fixed Asset Schedule'!I10)&lt;0.5,"OK","REVIEW")</f>
        <v/>
      </c>
      <c r="J11" s="72">
        <f>IF(ABS('Forecast Financial Statements'!J53-'Fixed Asset Schedule'!J10)&lt;0.5,"OK","REVIEW")</f>
        <v/>
      </c>
      <c r="K11" s="72">
        <f>IF(ABS('Forecast Financial Statements'!K53-'Fixed Asset Schedule'!K10)&lt;0.5,"OK","REVIEW")</f>
        <v/>
      </c>
      <c r="L11" s="72">
        <f>IF(ABS('Forecast Financial Statements'!L53-'Fixed Asset Schedule'!L10)&lt;0.5,"OK","REVIEW")</f>
        <v/>
      </c>
      <c r="M11" s="72">
        <f>IF(ABS('Forecast Financial Statements'!M53-'Fixed Asset Schedule'!M10)&lt;0.5,"OK","REVIEW")</f>
        <v/>
      </c>
      <c r="N11" s="72">
        <f>IF(ABS('Forecast Financial Statements'!N53-'Fixed Asset Schedule'!N10)&lt;0.5,"OK","REVIEW")</f>
        <v/>
      </c>
      <c r="O11" s="72">
        <f>IF(ABS('Forecast Financial Statements'!O53-'Fixed Asset Schedule'!O10)&lt;0.5,"OK","REVIEW")</f>
        <v/>
      </c>
    </row>
    <row r="13">
      <c r="A13" s="5" t="inlineStr">
        <is>
          <t>Historical balance check max |diff| (FY20-26)</t>
        </is>
      </c>
      <c r="C13" s="73">
        <f>MAX(ABS('Historical Financial Statements'!B38),ABS('Historical Financial Statements'!C38),ABS('Historical Financial Statements'!D38),ABS('Historical Financial Statements'!E38),ABS('Historical Financial Statements'!F38),ABS('Historical Financial Statements'!G38),ABS('Historical Financial Statements'!H38))</f>
        <v/>
      </c>
    </row>
    <row r="14">
      <c r="A14" s="5" t="inlineStr">
        <is>
          <t>Forecast balance check max |diff|</t>
        </is>
      </c>
      <c r="C14" s="73">
        <f>MAX(ABS('Forecast Financial Statements'!I71),ABS('Forecast Financial Statements'!J71),ABS('Forecast Financial Statements'!K71),ABS('Forecast Financial Statements'!L71),ABS('Forecast Financial Statements'!M71),ABS('Forecast Financial Statements'!N71),ABS('Forecast Financial Statements'!O71))</f>
        <v/>
      </c>
    </row>
    <row r="15">
      <c r="A15" s="5" t="inlineStr">
        <is>
          <t>Circular references</t>
        </is>
      </c>
      <c r="C15" s="5" t="inlineStr">
        <is>
          <t>None (interest on opening debt)</t>
        </is>
      </c>
    </row>
    <row r="16">
      <c r="A16" s="4" t="inlineStr">
        <is>
          <t>Overall model status</t>
        </is>
      </c>
      <c r="C16" s="74">
        <f>IF(COUNTIF(B5:O11,"REVIEW")=0,"ALL CHECKS PASS","REVIEW REQUIRED")</f>
        <v/>
      </c>
    </row>
  </sheetData>
  <conditionalFormatting sqref="B5:O11">
    <cfRule type="cellIs" priority="1" operator="equal" dxfId="0">
      <formula>"OK"</formula>
    </cfRule>
    <cfRule type="cellIs" priority="2" operator="equal" dxfId="1">
      <formula>"REVIEW"</formula>
    </cfRule>
  </conditionalFormatting>
  <conditionalFormatting sqref="C16">
    <cfRule type="cellIs" priority="3" operator="equal" dxfId="0">
      <formula>"ALL CHECKS PASS"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2026-06-29T09:53:45Z</dcterms:created>
  <dcterms:modified xsi:type="dcterms:W3CDTF">2026-06-30T11:56:00Z</dcterms:modified>
</cp:coreProperties>
</file>