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drawings/drawing1.xml" ContentType="application/vnd.openxmlformats-officedocument.drawing+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3" autoFilterDateGrouping="1"/>
  </bookViews>
  <sheets>
    <sheet name="Cover Page" sheetId="1" state="visible" r:id="rId1"/>
    <sheet name="Assumptions" sheetId="2" state="visible" r:id="rId2"/>
    <sheet name="Assumptions Rationale" sheetId="3" state="visible" r:id="rId3"/>
    <sheet name="Historical Financial Statements" sheetId="4" state="visible" r:id="rId4"/>
    <sheet name="Historical Ratio Analysis" sheetId="5" state="visible" r:id="rId5"/>
    <sheet name="Operational Drivers" sheetId="6" state="visible" r:id="rId6"/>
    <sheet name="Revenue Build-up" sheetId="7" state="visible" r:id="rId7"/>
    <sheet name="Contract Accounting Schedule" sheetId="8" state="visible" r:id="rId8"/>
    <sheet name="Cost Forecast" sheetId="9" state="visible" r:id="rId9"/>
    <sheet name="Working Capital Schedule" sheetId="10" state="visible" r:id="rId10"/>
    <sheet name="Fixed Asset Schedule" sheetId="11" state="visible" r:id="rId11"/>
    <sheet name="Depreciation Schedule" sheetId="12" state="visible" r:id="rId12"/>
    <sheet name="Debt Schedule" sheetId="13" state="visible" r:id="rId13"/>
    <sheet name="Equity Schedule" sheetId="14" state="visible" r:id="rId14"/>
    <sheet name="Other Assets &amp; Liabilities" sheetId="15" state="visible" r:id="rId15"/>
    <sheet name="Cash Flow Statement" sheetId="16" state="visible" r:id="rId16"/>
    <sheet name="Forecast Financial Statements" sheetId="17" state="visible" r:id="rId17"/>
    <sheet name="Ratio Analysis" sheetId="18" state="visible" r:id="rId18"/>
    <sheet name="DCF Valuation" sheetId="19" state="visible" r:id="rId19"/>
    <sheet name="Relative Valuation" sheetId="20" state="visible" r:id="rId20"/>
    <sheet name="Sensitivity Analysis" sheetId="21" state="visible" r:id="rId21"/>
    <sheet name="Scenario Analysis" sheetId="22" state="visible" r:id="rId22"/>
    <sheet name="Price Targets" sheetId="23" state="visible" r:id="rId23"/>
    <sheet name="Dashboard" sheetId="24" state="visible" r:id="rId24"/>
    <sheet name="Error Checks" sheetId="25" state="visible" r:id="rId25"/>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0)"/>
    <numFmt numFmtId="167" formatCode="0.0&quot;x&quot;"/>
    <numFmt numFmtId="168" formatCode="0.000"/>
    <numFmt numFmtId="169" formatCode="0.0&quot;%&quot;"/>
  </numFmts>
  <fonts count="13">
    <font>
      <name val="Calibri"/>
      <family val="2"/>
      <color theme="1"/>
      <sz val="11"/>
      <scheme val="minor"/>
    </font>
    <font>
      <name val="Calibri"/>
      <b val="1"/>
      <color rgb="00FFFFFF"/>
      <sz val="16"/>
    </font>
    <font>
      <name val="Calibri"/>
      <color rgb="00FFFFFF"/>
      <sz val="11"/>
    </font>
    <font>
      <name val="Calibri"/>
      <b val="1"/>
      <color rgb="00000000"/>
      <sz val="10"/>
    </font>
    <font>
      <name val="Calibri"/>
      <color rgb="00000000"/>
      <sz val="10"/>
    </font>
    <font>
      <name val="Calibri"/>
      <b val="1"/>
      <color rgb="001F3864"/>
      <sz val="11"/>
    </font>
    <font>
      <name val="Calibri"/>
      <i val="1"/>
      <color rgb="00595959"/>
      <sz val="9"/>
    </font>
    <font>
      <name val="Calibri"/>
      <color rgb="000000CC"/>
      <sz val="10"/>
    </font>
    <font>
      <name val="Calibri"/>
      <color rgb="00008000"/>
      <sz val="10"/>
    </font>
    <font>
      <name val="Calibri"/>
      <b val="1"/>
      <color rgb="00FFFFFF"/>
      <sz val="10"/>
    </font>
    <font>
      <name val="Calibri"/>
      <i val="1"/>
      <color rgb="00808080"/>
      <sz val="8"/>
    </font>
    <font>
      <name val="Calibri"/>
      <b val="1"/>
      <color rgb="000000CC"/>
      <sz val="10"/>
    </font>
    <font>
      <name val="Calibri"/>
      <b val="1"/>
      <color rgb="001F3864"/>
      <sz val="14"/>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
      <patternFill patternType="solid">
        <fgColor rgb="00E2EFDA"/>
      </patternFill>
    </fill>
    <fill>
      <patternFill patternType="solid">
        <fgColor rgb="00EAF0FA"/>
      </patternFill>
    </fill>
  </fills>
  <borders count="4">
    <border>
      <left/>
      <right/>
      <top/>
      <bottom/>
      <diagonal/>
    </border>
    <border>
      <left style="thin">
        <color rgb="00BFBFBF"/>
      </left>
      <right style="thin">
        <color rgb="00BFBFBF"/>
      </right>
      <top style="thin">
        <color rgb="00BFBFBF"/>
      </top>
      <bottom style="thin">
        <color rgb="00BFBFBF"/>
      </bottom>
    </border>
    <border>
      <top style="thin">
        <color rgb="00000000"/>
      </top>
    </border>
    <border>
      <top style="thin">
        <color rgb="00000000"/>
      </top>
      <bottom style="double">
        <color rgb="00000000"/>
      </bottom>
    </border>
  </borders>
  <cellStyleXfs count="1">
    <xf numFmtId="0" fontId="0" fillId="0" borderId="0"/>
  </cellStyleXfs>
  <cellXfs count="87">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4" fillId="3" borderId="0" pivotButton="0" quotePrefix="0" xfId="0"/>
    <xf numFmtId="0" fontId="9" fillId="2" borderId="0" pivotButton="0" quotePrefix="0" xfId="0"/>
    <xf numFmtId="0" fontId="3" fillId="3" borderId="1" applyAlignment="1" pivotButton="0" quotePrefix="0" xfId="0">
      <alignment horizontal="center" vertical="center"/>
    </xf>
    <xf numFmtId="0" fontId="10" fillId="0" borderId="0" pivotButton="0" quotePrefix="0" xfId="0"/>
    <xf numFmtId="0" fontId="6" fillId="4" borderId="0" pivotButton="0" quotePrefix="0" xfId="0"/>
    <xf numFmtId="0" fontId="3" fillId="4" borderId="1" applyAlignment="1" pivotButton="0" quotePrefix="0" xfId="0">
      <alignment horizontal="center" vertical="center"/>
    </xf>
    <xf numFmtId="164" fontId="7" fillId="5" borderId="1" applyAlignment="1" pivotButton="0" quotePrefix="0" xfId="0">
      <alignment horizontal="right"/>
    </xf>
    <xf numFmtId="164" fontId="4" fillId="3" borderId="1" applyAlignment="1" pivotButton="0" quotePrefix="0" xfId="0">
      <alignment horizontal="right"/>
    </xf>
    <xf numFmtId="165" fontId="7" fillId="5" borderId="1" applyAlignment="1" pivotButton="0" quotePrefix="0" xfId="0">
      <alignment horizontal="right"/>
    </xf>
    <xf numFmtId="165" fontId="4" fillId="3" borderId="1" applyAlignment="1" pivotButton="0" quotePrefix="0" xfId="0">
      <alignment horizontal="right"/>
    </xf>
    <xf numFmtId="1" fontId="4" fillId="3" borderId="1" applyAlignment="1" pivotButton="0" quotePrefix="0" xfId="0">
      <alignment horizontal="right"/>
    </xf>
    <xf numFmtId="2" fontId="4" fillId="3" borderId="1" applyAlignment="1" pivotButton="0" quotePrefix="0" xfId="0">
      <alignment horizontal="right"/>
    </xf>
    <xf numFmtId="165" fontId="7" fillId="0" borderId="1" applyAlignment="1" pivotButton="0" quotePrefix="0" xfId="0">
      <alignment horizontal="right"/>
    </xf>
    <xf numFmtId="166" fontId="4" fillId="3" borderId="1" applyAlignment="1" pivotButton="0" quotePrefix="0" xfId="0">
      <alignment horizontal="right"/>
    </xf>
    <xf numFmtId="0" fontId="3" fillId="4" borderId="1" pivotButton="0" quotePrefix="0" xfId="0"/>
    <xf numFmtId="0" fontId="5" fillId="7" borderId="0" pivotButton="0" quotePrefix="0" xfId="0"/>
    <xf numFmtId="0" fontId="0" fillId="7" borderId="0" pivotButton="0" quotePrefix="0" xfId="0"/>
    <xf numFmtId="0" fontId="3" fillId="0" borderId="1" pivotButton="0" quotePrefix="0" xfId="0"/>
    <xf numFmtId="0" fontId="4" fillId="0" borderId="1" applyAlignment="1" pivotButton="0" quotePrefix="0" xfId="0">
      <alignment horizontal="center" vertical="center"/>
    </xf>
    <xf numFmtId="0" fontId="4" fillId="0" borderId="1" applyAlignment="1" pivotButton="0" quotePrefix="0" xfId="0">
      <alignment vertical="top" wrapText="1"/>
    </xf>
    <xf numFmtId="164" fontId="4" fillId="0" borderId="0" applyAlignment="1" pivotButton="0" quotePrefix="0" xfId="0">
      <alignment horizontal="right"/>
    </xf>
    <xf numFmtId="164" fontId="7" fillId="0" borderId="2" applyAlignment="1" pivotButton="0" quotePrefix="0" xfId="0">
      <alignment horizontal="right"/>
    </xf>
    <xf numFmtId="164" fontId="7" fillId="5" borderId="2" applyAlignment="1" pivotButton="0" quotePrefix="0" xfId="0">
      <alignment horizontal="right"/>
    </xf>
    <xf numFmtId="164" fontId="7" fillId="0" borderId="0" applyAlignment="1" pivotButton="0" quotePrefix="0" xfId="0">
      <alignment horizontal="right"/>
    </xf>
    <xf numFmtId="164" fontId="7" fillId="5" borderId="3" applyAlignment="1" pivotButton="0" quotePrefix="0" xfId="0">
      <alignment horizontal="right"/>
    </xf>
    <xf numFmtId="2" fontId="7" fillId="0" borderId="0" applyAlignment="1" pivotButton="0" quotePrefix="0" xfId="0">
      <alignment horizontal="right"/>
    </xf>
    <xf numFmtId="165" fontId="8" fillId="0" borderId="0" applyAlignment="1" pivotButton="0" quotePrefix="0" xfId="0">
      <alignment horizontal="right"/>
    </xf>
    <xf numFmtId="167" fontId="8" fillId="0" borderId="0" applyAlignment="1" pivotButton="0" quotePrefix="0" xfId="0">
      <alignment horizontal="right"/>
    </xf>
    <xf numFmtId="1" fontId="4" fillId="0" borderId="0" applyAlignment="1" pivotButton="0" quotePrefix="0" xfId="0">
      <alignment horizontal="right"/>
    </xf>
    <xf numFmtId="167" fontId="7" fillId="0" borderId="0" applyAlignment="1" pivotButton="0" quotePrefix="0" xfId="0">
      <alignment horizontal="right"/>
    </xf>
    <xf numFmtId="165" fontId="7" fillId="0" borderId="0" applyAlignment="1" pivotButton="0" quotePrefix="0" xfId="0">
      <alignment horizontal="right"/>
    </xf>
    <xf numFmtId="3" fontId="4" fillId="0" borderId="0" applyAlignment="1" pivotButton="0" quotePrefix="0" xfId="0">
      <alignment horizontal="right"/>
    </xf>
    <xf numFmtId="165" fontId="4" fillId="0" borderId="0" applyAlignment="1" pivotButton="0" quotePrefix="0" xfId="0">
      <alignment horizontal="right"/>
    </xf>
    <xf numFmtId="164" fontId="8" fillId="0" borderId="0" applyAlignment="1" pivotButton="0" quotePrefix="0" xfId="0">
      <alignment horizontal="right"/>
    </xf>
    <xf numFmtId="164" fontId="7" fillId="5" borderId="0" applyAlignment="1" pivotButton="0" quotePrefix="0" xfId="0">
      <alignment horizontal="right"/>
    </xf>
    <xf numFmtId="164" fontId="8" fillId="0" borderId="1" applyAlignment="1" pivotButton="0" quotePrefix="0" xfId="0">
      <alignment horizontal="right"/>
    </xf>
    <xf numFmtId="164" fontId="6" fillId="0" borderId="1" applyAlignment="1" pivotButton="0" quotePrefix="0" xfId="0">
      <alignment horizontal="right"/>
    </xf>
    <xf numFmtId="0" fontId="6" fillId="0" borderId="1" applyAlignment="1" pivotButton="0" quotePrefix="0" xfId="0">
      <alignment horizontal="center" vertical="center"/>
    </xf>
    <xf numFmtId="167" fontId="3" fillId="0" borderId="1" applyAlignment="1" pivotButton="0" quotePrefix="0" xfId="0">
      <alignment horizontal="right"/>
    </xf>
    <xf numFmtId="168" fontId="3" fillId="6" borderId="1" applyAlignment="1" pivotButton="0" quotePrefix="0" xfId="0">
      <alignment horizontal="right"/>
    </xf>
    <xf numFmtId="0" fontId="3" fillId="6" borderId="1" applyAlignment="1" pivotButton="0" quotePrefix="0" xfId="0">
      <alignment horizontal="center" vertical="center"/>
    </xf>
    <xf numFmtId="167" fontId="4" fillId="0" borderId="1" applyAlignment="1" pivotButton="0" quotePrefix="0" xfId="0">
      <alignment horizontal="right"/>
    </xf>
    <xf numFmtId="168" fontId="4" fillId="0" borderId="1" applyAlignment="1" pivotButton="0" quotePrefix="0" xfId="0">
      <alignment horizontal="right"/>
    </xf>
    <xf numFmtId="0" fontId="3" fillId="0" borderId="1" applyAlignment="1" pivotButton="0" quotePrefix="0" xfId="0">
      <alignment horizontal="center" vertical="center"/>
    </xf>
    <xf numFmtId="1" fontId="4" fillId="0" borderId="1" applyAlignment="1" pivotButton="0" quotePrefix="0" xfId="0">
      <alignment horizontal="right"/>
    </xf>
    <xf numFmtId="165" fontId="4" fillId="0" borderId="1" applyAlignment="1" pivotButton="0" quotePrefix="0" xfId="0">
      <alignment horizontal="right"/>
    </xf>
    <xf numFmtId="164" fontId="4" fillId="0" borderId="1" applyAlignment="1" pivotButton="0" quotePrefix="0" xfId="0">
      <alignment horizontal="right"/>
    </xf>
    <xf numFmtId="164" fontId="4" fillId="6" borderId="1" applyAlignment="1" pivotButton="0" quotePrefix="0" xfId="0">
      <alignment horizontal="right"/>
    </xf>
    <xf numFmtId="165" fontId="4" fillId="4" borderId="1" applyAlignment="1" pivotButton="0" quotePrefix="0" xfId="0">
      <alignment horizontal="center" vertical="center"/>
    </xf>
    <xf numFmtId="164" fontId="7" fillId="0" borderId="1" applyAlignment="1" pivotButton="0" quotePrefix="0" xfId="0">
      <alignment horizontal="right"/>
    </xf>
    <xf numFmtId="164" fontId="7" fillId="6" borderId="1" applyAlignment="1" pivotButton="0" quotePrefix="0" xfId="0">
      <alignment horizontal="right"/>
    </xf>
    <xf numFmtId="164" fontId="8" fillId="5" borderId="0" applyAlignment="1" pivotButton="0" quotePrefix="0" xfId="0">
      <alignment horizontal="right"/>
    </xf>
    <xf numFmtId="164" fontId="4" fillId="3" borderId="0" applyAlignment="1" pivotButton="0" quotePrefix="0" xfId="0">
      <alignment horizontal="right"/>
    </xf>
    <xf numFmtId="0" fontId="3" fillId="4" borderId="0" pivotButton="0" quotePrefix="0" xfId="0"/>
    <xf numFmtId="0" fontId="0" fillId="4" borderId="0" pivotButton="0" quotePrefix="0" xfId="0"/>
    <xf numFmtId="2" fontId="8" fillId="0" borderId="0" applyAlignment="1" pivotButton="0" quotePrefix="0" xfId="0">
      <alignment horizontal="right"/>
    </xf>
    <xf numFmtId="1" fontId="8" fillId="0" borderId="0" applyAlignment="1" pivotButton="0" quotePrefix="0" xfId="0">
      <alignment horizontal="right"/>
    </xf>
    <xf numFmtId="1" fontId="4" fillId="3" borderId="0" applyAlignment="1" pivotButton="0" quotePrefix="0" xfId="0">
      <alignment horizontal="right"/>
    </xf>
    <xf numFmtId="168" fontId="7" fillId="0" borderId="0" applyAlignment="1" pivotButton="0" quotePrefix="0" xfId="0">
      <alignment horizontal="right"/>
    </xf>
    <xf numFmtId="165" fontId="8" fillId="0" borderId="1" applyAlignment="1" pivotButton="0" quotePrefix="0" xfId="0">
      <alignment horizontal="right"/>
    </xf>
    <xf numFmtId="166" fontId="8" fillId="0" borderId="1" applyAlignment="1" pivotButton="0" quotePrefix="0" xfId="0">
      <alignment horizontal="right"/>
    </xf>
    <xf numFmtId="2" fontId="7" fillId="6" borderId="1" applyAlignment="1" pivotButton="0" quotePrefix="0" xfId="0">
      <alignment horizontal="right"/>
    </xf>
    <xf numFmtId="2" fontId="8" fillId="0" borderId="1" applyAlignment="1" pivotButton="0" quotePrefix="0" xfId="0">
      <alignment horizontal="right"/>
    </xf>
    <xf numFmtId="167" fontId="4" fillId="3" borderId="1" applyAlignment="1" pivotButton="0" quotePrefix="0" xfId="0">
      <alignment horizontal="right"/>
    </xf>
    <xf numFmtId="169" fontId="4" fillId="3" borderId="1" applyAlignment="1" pivotButton="0" quotePrefix="0" xfId="0">
      <alignment horizontal="right"/>
    </xf>
    <xf numFmtId="0" fontId="3" fillId="5" borderId="0" pivotButton="0" quotePrefix="0" xfId="0"/>
    <xf numFmtId="167" fontId="7" fillId="5" borderId="1" applyAlignment="1" pivotButton="0" quotePrefix="0" xfId="0">
      <alignment horizontal="right"/>
    </xf>
    <xf numFmtId="169" fontId="7" fillId="5" borderId="1" applyAlignment="1" pivotButton="0" quotePrefix="0" xfId="0">
      <alignment horizontal="right"/>
    </xf>
    <xf numFmtId="2" fontId="7" fillId="0" borderId="1" applyAlignment="1" pivotButton="0" quotePrefix="0" xfId="0">
      <alignment horizontal="right"/>
    </xf>
    <xf numFmtId="2" fontId="7" fillId="5" borderId="1" applyAlignment="1" pivotButton="0" quotePrefix="0" xfId="0">
      <alignment horizontal="right"/>
    </xf>
    <xf numFmtId="2" fontId="12" fillId="5" borderId="1" applyAlignment="1" pivotButton="0" quotePrefix="0" xfId="0">
      <alignment horizontal="center" vertical="center"/>
    </xf>
    <xf numFmtId="165" fontId="12" fillId="5" borderId="1" applyAlignment="1" pivotButton="0" quotePrefix="0" xfId="0">
      <alignment horizontal="center" vertical="center"/>
    </xf>
    <xf numFmtId="164" fontId="12" fillId="5" borderId="1" applyAlignment="1" pivotButton="0" quotePrefix="0" xfId="0">
      <alignment horizontal="center" vertical="center"/>
    </xf>
    <xf numFmtId="0" fontId="4" fillId="0" borderId="1" pivotButton="0" quotePrefix="0" xfId="0"/>
    <xf numFmtId="0" fontId="7" fillId="0" borderId="1" applyAlignment="1" pivotButton="0" quotePrefix="0" xfId="0">
      <alignment horizontal="center" vertical="center"/>
    </xf>
    <xf numFmtId="166" fontId="7" fillId="0" borderId="1" applyAlignment="1" pivotButton="0" quotePrefix="0" xfId="0">
      <alignment horizontal="right"/>
    </xf>
    <xf numFmtId="0" fontId="11" fillId="5" borderId="1" applyAlignment="1" pivotButton="0" quotePrefix="0" xfId="0">
      <alignment horizontal="center" vertical="center"/>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style val="10"/>
  <chart>
    <title>
      <tx>
        <rich>
          <a:bodyPr/>
          <a:p>
            <a:pPr>
              <a:defRPr/>
            </a:pPr>
            <a:r>
              <a:t>Revenue &amp; EBITDA (INR Cr)</a:t>
            </a:r>
          </a:p>
        </rich>
      </tx>
    </title>
    <plotArea>
      <lineChart>
        <grouping val="standard"/>
        <ser>
          <idx val="0"/>
          <order val="0"/>
          <spPr>
            <a:ln>
              <a:prstDash val="solid"/>
            </a:ln>
          </spPr>
          <marker>
            <symbol val="none"/>
            <spPr>
              <a:ln>
                <a:prstDash val="solid"/>
              </a:ln>
            </spPr>
          </marker>
          <cat>
            <numRef>
              <f>'Forecast Financial Statements'!$B$4:$O$4</f>
            </numRef>
          </cat>
          <val>
            <numRef>
              <f>'Forecast Financial Statements'!$B$5:$O$5</f>
            </numRef>
          </val>
        </ser>
        <ser>
          <idx val="1"/>
          <order val="1"/>
          <spPr>
            <a:ln>
              <a:prstDash val="solid"/>
            </a:ln>
          </spPr>
          <marker>
            <symbol val="none"/>
            <spPr>
              <a:ln>
                <a:prstDash val="solid"/>
              </a:ln>
            </spPr>
          </marker>
          <cat>
            <numRef>
              <f>'Forecast Financial Statements'!$B$4:$O$4</f>
            </numRef>
          </cat>
          <val>
            <numRef>
              <f>'Forecast Financial Statements'!$B$12:$O$12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PAT (INR Cr)</a:t>
            </a:r>
          </a:p>
        </rich>
      </tx>
    </title>
    <plotArea>
      <barChart>
        <barDir val="col"/>
        <grouping val="clustered"/>
        <ser>
          <idx val="0"/>
          <order val="0"/>
          <spPr>
            <a:ln>
              <a:prstDash val="solid"/>
            </a:ln>
          </spPr>
          <cat>
            <numRef>
              <f>'Forecast Financial Statements'!$B$4:$O$4</f>
            </numRef>
          </cat>
          <val>
            <numRef>
              <f>'Forecast Financial Statements'!$B$20:$O$20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1"/>
  <chart>
    <title>
      <tx>
        <rich>
          <a:bodyPr/>
          <a:p>
            <a:pPr>
              <a:defRPr/>
            </a:pPr>
            <a:r>
              <a:t>Closing order book (INR Cr)</a:t>
            </a:r>
          </a:p>
        </rich>
      </tx>
    </title>
    <plotArea>
      <lineChart>
        <grouping val="standard"/>
        <ser>
          <idx val="0"/>
          <order val="0"/>
          <spPr>
            <a:ln>
              <a:prstDash val="solid"/>
            </a:ln>
          </spPr>
          <marker>
            <symbol val="none"/>
            <spPr>
              <a:ln>
                <a:prstDash val="solid"/>
              </a:ln>
            </spPr>
          </marker>
          <cat>
            <numRef>
              <f>'Revenue Build-up'!$B$4:$O$4</f>
            </numRef>
          </cat>
          <val>
            <numRef>
              <f>'Revenue Build-up'!$B$10:$O$10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3"/>
  <chart>
    <title>
      <tx>
        <rich>
          <a:bodyPr/>
          <a:p>
            <a:pPr>
              <a:defRPr/>
            </a:pPr>
            <a:r>
              <a:t>FCFF (INR Cr, FY27-33)</a:t>
            </a:r>
          </a:p>
        </rich>
      </tx>
    </title>
    <plotArea>
      <barChart>
        <barDir val="col"/>
        <grouping val="clustered"/>
        <ser>
          <idx val="0"/>
          <order val="0"/>
          <spPr>
            <a:ln>
              <a:prstDash val="solid"/>
            </a:ln>
          </spPr>
          <cat>
            <numRef>
              <f>'DCF Valuation'!$I$4:$O$4</f>
            </numRef>
          </cat>
          <val>
            <numRef>
              <f>'DCF Valuation'!$I$12:$O$12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Valuation football field (INR/share)</a:t>
            </a:r>
          </a:p>
        </rich>
      </tx>
    </title>
    <plotArea>
      <barChart>
        <barDir val="bar"/>
        <grouping val="stacked"/>
        <ser>
          <idx val="0"/>
          <order val="0"/>
          <spPr>
            <a:noFill/>
            <a:ln>
              <a:prstDash val="solid"/>
            </a:ln>
          </spPr>
          <cat>
            <numRef>
              <f>'Dashboard'!$J$51:$J$55</f>
            </numRef>
          </cat>
          <val>
            <numRef>
              <f>'Dashboard'!$K$51:$K$55</f>
            </numRef>
          </val>
        </ser>
        <ser>
          <idx val="1"/>
          <order val="1"/>
          <spPr>
            <a:ln>
              <a:prstDash val="solid"/>
            </a:ln>
          </spPr>
          <cat>
            <numRef>
              <f>'Dashboard'!$J$51:$J$55</f>
            </numRef>
          </cat>
          <val>
            <numRef>
              <f>'Dashboard'!$L$51:$L$55</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16</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16</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32</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49</row>
      <rowOff>0</rowOff>
    </from>
    <ext cx="61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3864"/>
    <outlinePr summaryBelow="1" summaryRight="1"/>
    <pageSetUpPr/>
  </sheetPr>
  <dimension ref="A1:G32"/>
  <sheetViews>
    <sheetView showGridLines="0" workbookViewId="0">
      <selection activeCell="A1" sqref="A1"/>
    </sheetView>
  </sheetViews>
  <sheetFormatPr baseColWidth="8" defaultRowHeight="15"/>
  <cols>
    <col width="3" customWidth="1" min="1" max="1"/>
    <col width="32" customWidth="1" min="2" max="2"/>
    <col width="24" customWidth="1" min="3" max="3"/>
    <col width="24" customWidth="1" min="4" max="4"/>
    <col width="24" customWidth="1" min="5" max="5"/>
    <col width="24" customWidth="1" min="6" max="6"/>
    <col width="24" customWidth="1" min="7" max="7"/>
  </cols>
  <sheetData>
    <row r="1">
      <c r="A1" s="1" t="n"/>
      <c r="B1" s="1" t="n"/>
      <c r="C1" s="1" t="n"/>
      <c r="D1" s="1" t="n"/>
      <c r="E1" s="1" t="n"/>
      <c r="F1" s="1" t="n"/>
      <c r="G1" s="1" t="n"/>
    </row>
    <row r="2">
      <c r="A2" s="1" t="n"/>
      <c r="B2" s="2" t="inlineStr">
        <is>
          <t>BHARAT HEAVY ELECTRICALS LIMITED (BHEL)</t>
        </is>
      </c>
      <c r="C2" s="1" t="n"/>
      <c r="D2" s="1" t="n"/>
      <c r="E2" s="1" t="n"/>
      <c r="F2" s="1" t="n"/>
      <c r="G2" s="1" t="n"/>
    </row>
    <row r="3">
      <c r="A3" s="1" t="n"/>
      <c r="B3" s="3" t="inlineStr">
        <is>
          <t>Integrated Financial Model &amp; Equity Valuation  |  NSE: BHEL  |  BSE: 500103</t>
        </is>
      </c>
      <c r="C3" s="1" t="n"/>
      <c r="D3" s="1" t="n"/>
      <c r="E3" s="1" t="n"/>
      <c r="F3" s="1" t="n"/>
      <c r="G3" s="1" t="n"/>
    </row>
    <row r="6">
      <c r="B6" s="4" t="inlineStr">
        <is>
          <t>Company</t>
        </is>
      </c>
      <c r="C6" s="5" t="inlineStr">
        <is>
          <t>Bharat Heavy Electricals Ltd (Maharatna CPSE, Govt. of India)</t>
        </is>
      </c>
    </row>
    <row r="7">
      <c r="B7" s="4" t="inlineStr">
        <is>
          <t>Sector</t>
        </is>
      </c>
      <c r="C7" s="5" t="inlineStr">
        <is>
          <t>Capital Goods / Heavy Electrical Equipment</t>
        </is>
      </c>
    </row>
    <row r="8">
      <c r="B8" s="4" t="inlineStr">
        <is>
          <t>Reporting basis</t>
        </is>
      </c>
      <c r="C8" s="5" t="inlineStr">
        <is>
          <t>Consolidated, Indian Accounting Standards (Ind-AS)</t>
        </is>
      </c>
    </row>
    <row r="9">
      <c r="B9" s="4" t="inlineStr">
        <is>
          <t>Currency / Units</t>
        </is>
      </c>
      <c r="C9" s="5" t="inlineStr">
        <is>
          <t>INR Crore (per-share in INR)</t>
        </is>
      </c>
    </row>
    <row r="10">
      <c r="B10" s="4" t="inlineStr">
        <is>
          <t>Historical period</t>
        </is>
      </c>
      <c r="C10" s="5" t="inlineStr">
        <is>
          <t>FY2020 - FY2026 (reported)</t>
        </is>
      </c>
    </row>
    <row r="11">
      <c r="B11" s="4" t="inlineStr">
        <is>
          <t>Forecast period</t>
        </is>
      </c>
      <c r="C11" s="5" t="inlineStr">
        <is>
          <t>FY2027 - FY2033 (7 years, analyst projections)</t>
        </is>
      </c>
    </row>
    <row r="12">
      <c r="B12" s="4" t="inlineStr">
        <is>
          <t>Valuation date</t>
        </is>
      </c>
      <c r="C12" s="5" t="inlineStr">
        <is>
          <t>27-Jun-2026</t>
        </is>
      </c>
    </row>
    <row r="13">
      <c r="B13" s="4" t="inlineStr">
        <is>
          <t>Last traded price</t>
        </is>
      </c>
      <c r="C13" s="5" t="inlineStr">
        <is>
          <t>INR 403 (25-Jun-2026)</t>
        </is>
      </c>
    </row>
    <row r="14">
      <c r="B14" s="4" t="inlineStr">
        <is>
          <t>Shares outstanding</t>
        </is>
      </c>
      <c r="C14" s="5" t="inlineStr">
        <is>
          <t>~348.0 crore (Face value INR 2)</t>
        </is>
      </c>
    </row>
    <row r="15">
      <c r="B15" s="4" t="inlineStr">
        <is>
          <t>Promoter (Govt. of India)</t>
        </is>
      </c>
      <c r="C15" s="5" t="inlineStr">
        <is>
          <t>58.17%</t>
        </is>
      </c>
    </row>
    <row r="17">
      <c r="B17" s="6" t="inlineStr">
        <is>
          <t>Income statement format</t>
        </is>
      </c>
    </row>
    <row r="18">
      <c r="B18" s="7" t="inlineStr">
        <is>
          <t>Sales - COGS = Gross Profit; less Operating Expenses (Employee, Selling &amp; admin) = EBITDA;</t>
        </is>
      </c>
    </row>
    <row r="19">
      <c r="B19" s="7" t="inlineStr">
        <is>
          <t>less D&amp;A = EBIT; +Other Income -Interest = PBT; less Tax +/- Adjustments = PAT.</t>
        </is>
      </c>
    </row>
    <row r="21">
      <c r="B21" s="6" t="inlineStr">
        <is>
          <t>Formatting legend</t>
        </is>
      </c>
    </row>
    <row r="22">
      <c r="B22" s="5" t="inlineStr">
        <is>
          <t>Black</t>
        </is>
      </c>
      <c r="C22" s="5" t="inlineStr">
        <is>
          <t>Hardcoded input / reported data</t>
        </is>
      </c>
    </row>
    <row r="23">
      <c r="B23" s="8" t="inlineStr">
        <is>
          <t>Blue</t>
        </is>
      </c>
      <c r="C23" s="5" t="inlineStr">
        <is>
          <t>In-sheet formula</t>
        </is>
      </c>
    </row>
    <row r="24">
      <c r="B24" s="9" t="inlineStr">
        <is>
          <t>Green</t>
        </is>
      </c>
      <c r="C24" s="5" t="inlineStr">
        <is>
          <t>Link to another worksheet</t>
        </is>
      </c>
    </row>
    <row r="25">
      <c r="B25" s="10" t="inlineStr">
        <is>
          <t>Gold fill</t>
        </is>
      </c>
      <c r="C25" s="5" t="inlineStr">
        <is>
          <t>Editable assumption / input</t>
        </is>
      </c>
    </row>
    <row r="27">
      <c r="B27" s="6" t="inlineStr">
        <is>
          <t>Data sources &amp; caveats</t>
        </is>
      </c>
    </row>
    <row r="28">
      <c r="B28" s="7" t="inlineStr">
        <is>
          <t>Historical financials FY2020-FY2026: AUDITED consolidated statements from BHEL Annual Reports</t>
        </is>
      </c>
    </row>
    <row r="29">
      <c r="B29" s="7" t="inlineStr">
        <is>
          <t xml:space="preserve">  (FY20-21, FY22-23, FY24-25) and the FY2026 BSE integrated filing - full P&amp;L, balance sheet &amp; cash flow.</t>
        </is>
      </c>
    </row>
    <row r="30">
      <c r="B30" s="7" t="inlineStr">
        <is>
          <t>By-nature P&amp;L costs are mapped to the gross-profit format; each year reproduces audited PBT &amp; PAT exactly.</t>
        </is>
      </c>
    </row>
    <row r="31">
      <c r="B31" s="7" t="inlineStr">
        <is>
          <t>Order book, inflow &amp; segment data: BHEL results releases &amp; Directors' Report (standalone basis).</t>
        </is>
      </c>
    </row>
    <row r="32">
      <c r="B32" s="7" t="inlineStr">
        <is>
          <t>Peer multiples on Relative Valuation are indicative; refresh with live data before use.</t>
        </is>
      </c>
    </row>
  </sheetData>
  <pageMargins left="0.75" right="0.75" top="1" bottom="1" header="0.5" footer="0.5"/>
</worksheet>
</file>

<file path=xl/worksheets/sheet2.xml><?xml version="1.0" encoding="utf-8"?>
<worksheet xmlns="http://schemas.openxmlformats.org/spreadsheetml/2006/main">
  <sheetPr>
    <tabColor rgb="00BF8F00"/>
    <outlinePr summaryBelow="1" summaryRight="1"/>
    <pageSetUpPr/>
  </sheetPr>
  <dimension ref="A1:P7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ASSUMPTIONS</t>
        </is>
      </c>
      <c r="B1" s="1" t="n"/>
      <c r="C1" s="1" t="n"/>
      <c r="D1" s="1" t="n"/>
      <c r="E1" s="1" t="n"/>
      <c r="F1" s="1" t="n"/>
      <c r="G1" s="1" t="n"/>
      <c r="H1" s="1" t="n"/>
      <c r="I1" s="1" t="n"/>
      <c r="J1" s="1" t="n"/>
      <c r="K1" s="1" t="n"/>
      <c r="L1" s="1" t="n"/>
      <c r="M1" s="1" t="n"/>
      <c r="N1" s="1" t="n"/>
      <c r="O1" s="1" t="n"/>
    </row>
    <row r="2">
      <c r="B2" s="4" t="inlineStr">
        <is>
          <t>Scenario Switch</t>
        </is>
      </c>
      <c r="D2" s="12" t="inlineStr">
        <is>
          <t>Base</t>
        </is>
      </c>
      <c r="F2" s="13" t="inlineStr">
        <is>
          <t>&lt;- toggles the VARIABLE drivers below; revenue, margins, cash flow &amp; valuation recalculate</t>
        </is>
      </c>
    </row>
    <row r="3">
      <c r="A3" s="6" t="inlineStr">
        <is>
          <t>A.  VARIABLE ASSUMPTIONS  (Base / Best / Bear - selected by Scenario Switch)</t>
        </is>
      </c>
      <c r="I3" s="13" t="inlineStr">
        <is>
          <t>Sales growth is DERIVED (Revenue Build-up): Revenue = Execution rate x Opening order book; Closing OB = Opening + Inflow - Revenue.</t>
        </is>
      </c>
    </row>
    <row r="4">
      <c r="A4" s="14" t="inlineStr">
        <is>
          <t>ratios / 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4" t="inlineStr">
        <is>
          <t>New order inflow (INR Cr)  [revenue driver]</t>
        </is>
      </c>
      <c r="I5" s="16">
        <f>IF($D$2="Best",I7,IF($D$2="Bear",I8,I6))</f>
        <v/>
      </c>
      <c r="J5" s="16">
        <f>IF($D$2="Best",J7,IF($D$2="Bear",J8,J6))</f>
        <v/>
      </c>
      <c r="K5" s="16">
        <f>IF($D$2="Best",K7,IF($D$2="Bear",K8,K6))</f>
        <v/>
      </c>
      <c r="L5" s="16">
        <f>IF($D$2="Best",L7,IF($D$2="Bear",L8,L6))</f>
        <v/>
      </c>
      <c r="M5" s="16">
        <f>IF($D$2="Best",M7,IF($D$2="Bear",M8,M6))</f>
        <v/>
      </c>
      <c r="N5" s="16">
        <f>IF($D$2="Best",N7,IF($D$2="Bear",N8,N6))</f>
        <v/>
      </c>
      <c r="O5" s="16">
        <f>IF($D$2="Best",O7,IF($D$2="Bear",O8,O6))</f>
        <v/>
      </c>
      <c r="P5" s="13" t="inlineStr">
        <is>
          <t>Demand driver: thermal/T&amp;D/defence ordering. Best=accelerated power capex cycle; Bear=delayed ordering.</t>
        </is>
      </c>
    </row>
    <row r="6">
      <c r="A6" s="7" t="inlineStr">
        <is>
          <t xml:space="preserve">   Base</t>
        </is>
      </c>
      <c r="I6" s="17" t="n">
        <v>78000</v>
      </c>
      <c r="J6" s="17" t="n">
        <v>82000</v>
      </c>
      <c r="K6" s="17" t="n">
        <v>86000</v>
      </c>
      <c r="L6" s="17" t="n">
        <v>90000</v>
      </c>
      <c r="M6" s="17" t="n">
        <v>92000</v>
      </c>
      <c r="N6" s="17" t="n">
        <v>94000</v>
      </c>
      <c r="O6" s="17" t="n">
        <v>96000</v>
      </c>
    </row>
    <row r="7">
      <c r="A7" s="7" t="inlineStr">
        <is>
          <t xml:space="preserve">   Best</t>
        </is>
      </c>
      <c r="I7" s="17" t="n">
        <v>90000</v>
      </c>
      <c r="J7" s="17" t="n">
        <v>95000</v>
      </c>
      <c r="K7" s="17" t="n">
        <v>100000</v>
      </c>
      <c r="L7" s="17" t="n">
        <v>105000</v>
      </c>
      <c r="M7" s="17" t="n">
        <v>108000</v>
      </c>
      <c r="N7" s="17" t="n">
        <v>110000</v>
      </c>
      <c r="O7" s="17" t="n">
        <v>112000</v>
      </c>
    </row>
    <row r="8">
      <c r="A8" s="7" t="inlineStr">
        <is>
          <t xml:space="preserve">   Bear</t>
        </is>
      </c>
      <c r="I8" s="17" t="n">
        <v>62000</v>
      </c>
      <c r="J8" s="17" t="n">
        <v>64000</v>
      </c>
      <c r="K8" s="17" t="n">
        <v>66000</v>
      </c>
      <c r="L8" s="17" t="n">
        <v>68000</v>
      </c>
      <c r="M8" s="17" t="n">
        <v>70000</v>
      </c>
      <c r="N8" s="17" t="n">
        <v>72000</v>
      </c>
      <c r="O8" s="17" t="n">
        <v>74000</v>
      </c>
    </row>
    <row r="10">
      <c r="A10" s="4" t="inlineStr">
        <is>
          <t>Execution rate (revenue / opening order book)  [revenue driver]</t>
        </is>
      </c>
      <c r="I10" s="18">
        <f>IF($D$2="Best",I12,IF($D$2="Bear",I13,I11))</f>
        <v/>
      </c>
      <c r="J10" s="18">
        <f>IF($D$2="Best",J12,IF($D$2="Bear",J13,J11))</f>
        <v/>
      </c>
      <c r="K10" s="18">
        <f>IF($D$2="Best",K12,IF($D$2="Bear",K13,K11))</f>
        <v/>
      </c>
      <c r="L10" s="18">
        <f>IF($D$2="Best",L12,IF($D$2="Bear",L13,L11))</f>
        <v/>
      </c>
      <c r="M10" s="18">
        <f>IF($D$2="Best",M12,IF($D$2="Bear",M13,M11))</f>
        <v/>
      </c>
      <c r="N10" s="18">
        <f>IF($D$2="Best",N12,IF($D$2="Bear",N13,N11))</f>
        <v/>
      </c>
      <c r="O10" s="18">
        <f>IF($D$2="Best",O12,IF($D$2="Bear",O13,O11))</f>
        <v/>
      </c>
      <c r="P10" s="13" t="inlineStr">
        <is>
          <t>Order-book-to-revenue conversion; rises with capacity utilisation &amp; supply-chain normalisation.</t>
        </is>
      </c>
    </row>
    <row r="11">
      <c r="A11" s="7" t="inlineStr">
        <is>
          <t xml:space="preserve">   Base</t>
        </is>
      </c>
      <c r="I11" s="19" t="n">
        <v>0.165</v>
      </c>
      <c r="J11" s="19" t="n">
        <v>0.17</v>
      </c>
      <c r="K11" s="19" t="n">
        <v>0.175</v>
      </c>
      <c r="L11" s="19" t="n">
        <v>0.18</v>
      </c>
      <c r="M11" s="19" t="n">
        <v>0.185</v>
      </c>
      <c r="N11" s="19" t="n">
        <v>0.19</v>
      </c>
      <c r="O11" s="19" t="n">
        <v>0.195</v>
      </c>
    </row>
    <row r="12">
      <c r="A12" s="7" t="inlineStr">
        <is>
          <t xml:space="preserve">   Best</t>
        </is>
      </c>
      <c r="I12" s="19" t="n">
        <v>0.175</v>
      </c>
      <c r="J12" s="19" t="n">
        <v>0.182</v>
      </c>
      <c r="K12" s="19" t="n">
        <v>0.19</v>
      </c>
      <c r="L12" s="19" t="n">
        <v>0.197</v>
      </c>
      <c r="M12" s="19" t="n">
        <v>0.205</v>
      </c>
      <c r="N12" s="19" t="n">
        <v>0.21</v>
      </c>
      <c r="O12" s="19" t="n">
        <v>0.215</v>
      </c>
    </row>
    <row r="13">
      <c r="A13" s="7" t="inlineStr">
        <is>
          <t xml:space="preserve">   Bear</t>
        </is>
      </c>
      <c r="I13" s="19" t="n">
        <v>0.15</v>
      </c>
      <c r="J13" s="19" t="n">
        <v>0.152</v>
      </c>
      <c r="K13" s="19" t="n">
        <v>0.155</v>
      </c>
      <c r="L13" s="19" t="n">
        <v>0.158</v>
      </c>
      <c r="M13" s="19" t="n">
        <v>0.16</v>
      </c>
      <c r="N13" s="19" t="n">
        <v>0.162</v>
      </c>
      <c r="O13" s="19" t="n">
        <v>0.165</v>
      </c>
    </row>
    <row r="15">
      <c r="A15" s="4" t="inlineStr">
        <is>
          <t>EBITDA margin (% revenue)</t>
        </is>
      </c>
      <c r="I15" s="18">
        <f>IF($D$2="Best",I17,IF($D$2="Bear",I18,I16))</f>
        <v/>
      </c>
      <c r="J15" s="18">
        <f>IF($D$2="Best",J17,IF($D$2="Bear",J18,J16))</f>
        <v/>
      </c>
      <c r="K15" s="18">
        <f>IF($D$2="Best",K17,IF($D$2="Bear",K18,K16))</f>
        <v/>
      </c>
      <c r="L15" s="18">
        <f>IF($D$2="Best",L17,IF($D$2="Bear",L18,L16))</f>
        <v/>
      </c>
      <c r="M15" s="18">
        <f>IF($D$2="Best",M17,IF($D$2="Bear",M18,M16))</f>
        <v/>
      </c>
      <c r="N15" s="18">
        <f>IF($D$2="Best",N17,IF($D$2="Bear",N18,N16))</f>
        <v/>
      </c>
      <c r="O15" s="18">
        <f>IF($D$2="Best",O17,IF($D$2="Bear",O18,O16))</f>
        <v/>
      </c>
      <c r="P15" s="13" t="inlineStr">
        <is>
          <t>Operating leverage on a largely fixed cost base; commodity (steel/copper) &amp; pricing risk.</t>
        </is>
      </c>
    </row>
    <row r="16">
      <c r="A16" s="7" t="inlineStr">
        <is>
          <t xml:space="preserve">   Base</t>
        </is>
      </c>
      <c r="I16" s="19" t="n">
        <v>0.075</v>
      </c>
      <c r="J16" s="19" t="n">
        <v>0.08500000000000001</v>
      </c>
      <c r="K16" s="19" t="n">
        <v>0.095</v>
      </c>
      <c r="L16" s="19" t="n">
        <v>0.105</v>
      </c>
      <c r="M16" s="19" t="n">
        <v>0.11</v>
      </c>
      <c r="N16" s="19" t="n">
        <v>0.115</v>
      </c>
      <c r="O16" s="19" t="n">
        <v>0.12</v>
      </c>
    </row>
    <row r="17">
      <c r="A17" s="7" t="inlineStr">
        <is>
          <t xml:space="preserve">   Best</t>
        </is>
      </c>
      <c r="I17" s="19" t="n">
        <v>0.09</v>
      </c>
      <c r="J17" s="19" t="n">
        <v>0.1</v>
      </c>
      <c r="K17" s="19" t="n">
        <v>0.11</v>
      </c>
      <c r="L17" s="19" t="n">
        <v>0.12</v>
      </c>
      <c r="M17" s="19" t="n">
        <v>0.125</v>
      </c>
      <c r="N17" s="19" t="n">
        <v>0.13</v>
      </c>
      <c r="O17" s="19" t="n">
        <v>0.135</v>
      </c>
    </row>
    <row r="18">
      <c r="A18" s="7" t="inlineStr">
        <is>
          <t xml:space="preserve">   Bear</t>
        </is>
      </c>
      <c r="I18" s="19" t="n">
        <v>0.06</v>
      </c>
      <c r="J18" s="19" t="n">
        <v>0.065</v>
      </c>
      <c r="K18" s="19" t="n">
        <v>0.07199999999999999</v>
      </c>
      <c r="L18" s="19" t="n">
        <v>0.08</v>
      </c>
      <c r="M18" s="19" t="n">
        <v>0.08500000000000001</v>
      </c>
      <c r="N18" s="19" t="n">
        <v>0.09</v>
      </c>
      <c r="O18" s="19" t="n">
        <v>0.095</v>
      </c>
    </row>
    <row r="20">
      <c r="A20" s="6" t="inlineStr">
        <is>
          <t>B.  FIXED ASSUMPTIONS  (structural / policy - constant across scenarios)</t>
        </is>
      </c>
    </row>
    <row r="21">
      <c r="A21" s="14" t="inlineStr">
        <is>
          <t>ratios / INR Crore</t>
        </is>
      </c>
      <c r="B21" s="15" t="inlineStr">
        <is>
          <t>FY2020</t>
        </is>
      </c>
      <c r="C21" s="15" t="inlineStr">
        <is>
          <t>FY2021</t>
        </is>
      </c>
      <c r="D21" s="15" t="inlineStr">
        <is>
          <t>FY2022</t>
        </is>
      </c>
      <c r="E21" s="15" t="inlineStr">
        <is>
          <t>FY2023</t>
        </is>
      </c>
      <c r="F21" s="15" t="inlineStr">
        <is>
          <t>FY2024</t>
        </is>
      </c>
      <c r="G21" s="15" t="inlineStr">
        <is>
          <t>FY2025</t>
        </is>
      </c>
      <c r="H21" s="15" t="inlineStr">
        <is>
          <t>FY2026</t>
        </is>
      </c>
      <c r="I21" s="15" t="inlineStr">
        <is>
          <t>FY2027</t>
        </is>
      </c>
      <c r="J21" s="15" t="inlineStr">
        <is>
          <t>FY2028</t>
        </is>
      </c>
      <c r="K21" s="15" t="inlineStr">
        <is>
          <t>FY2029</t>
        </is>
      </c>
      <c r="L21" s="15" t="inlineStr">
        <is>
          <t>FY2030</t>
        </is>
      </c>
      <c r="M21" s="15" t="inlineStr">
        <is>
          <t>FY2031</t>
        </is>
      </c>
      <c r="N21" s="15" t="inlineStr">
        <is>
          <t>FY2032</t>
        </is>
      </c>
      <c r="O21" s="15" t="inlineStr">
        <is>
          <t>FY2033</t>
        </is>
      </c>
    </row>
    <row r="22">
      <c r="A22" s="5" t="inlineStr">
        <is>
          <t>Consolidation uplift (consol vs standalone rev) %</t>
        </is>
      </c>
      <c r="I22" s="19" t="n">
        <v>0.02</v>
      </c>
      <c r="J22" s="19" t="n">
        <v>0.02</v>
      </c>
      <c r="K22" s="19" t="n">
        <v>0.02</v>
      </c>
      <c r="L22" s="19" t="n">
        <v>0.02</v>
      </c>
      <c r="M22" s="19" t="n">
        <v>0.02</v>
      </c>
      <c r="N22" s="19" t="n">
        <v>0.02</v>
      </c>
      <c r="O22" s="19" t="n">
        <v>0.02</v>
      </c>
      <c r="P22" s="13" t="inlineStr">
        <is>
          <t>Subsidiary/JV contribution to revenue; historical 0-6% (FY26 ~0%).</t>
        </is>
      </c>
    </row>
    <row r="23">
      <c r="A23" s="5" t="inlineStr">
        <is>
          <t>Other income (% revenue)</t>
        </is>
      </c>
      <c r="I23" s="19" t="n">
        <v>0.024</v>
      </c>
      <c r="J23" s="19" t="n">
        <v>0.024</v>
      </c>
      <c r="K23" s="19" t="n">
        <v>0.024</v>
      </c>
      <c r="L23" s="19" t="n">
        <v>0.024</v>
      </c>
      <c r="M23" s="19" t="n">
        <v>0.024</v>
      </c>
      <c r="N23" s="19" t="n">
        <v>0.024</v>
      </c>
      <c r="O23" s="19" t="n">
        <v>0.024</v>
      </c>
    </row>
    <row r="24">
      <c r="A24" s="5" t="inlineStr">
        <is>
          <t>Employee cost (% revenue)</t>
        </is>
      </c>
      <c r="I24" s="19" t="n">
        <v>0.185</v>
      </c>
      <c r="J24" s="19" t="n">
        <v>0.178</v>
      </c>
      <c r="K24" s="19" t="n">
        <v>0.17</v>
      </c>
      <c r="L24" s="19" t="n">
        <v>0.163</v>
      </c>
      <c r="M24" s="19" t="n">
        <v>0.155</v>
      </c>
      <c r="N24" s="19" t="n">
        <v>0.148</v>
      </c>
      <c r="O24" s="19" t="n">
        <v>0.14</v>
      </c>
    </row>
    <row r="25">
      <c r="A25" s="5" t="inlineStr">
        <is>
          <t>Subcontracting &amp; erection (% revenue, in COGS)</t>
        </is>
      </c>
      <c r="I25" s="19" t="n">
        <v>0.08500000000000001</v>
      </c>
      <c r="J25" s="19" t="n">
        <v>0.08500000000000001</v>
      </c>
      <c r="K25" s="19" t="n">
        <v>0.08500000000000001</v>
      </c>
      <c r="L25" s="19" t="n">
        <v>0.08500000000000001</v>
      </c>
      <c r="M25" s="19" t="n">
        <v>0.08500000000000001</v>
      </c>
      <c r="N25" s="19" t="n">
        <v>0.08500000000000001</v>
      </c>
      <c r="O25" s="19" t="n">
        <v>0.08500000000000001</v>
      </c>
    </row>
    <row r="26">
      <c r="A26" s="5" t="inlineStr">
        <is>
          <t>Selling &amp; admin (% revenue)</t>
        </is>
      </c>
      <c r="I26" s="19" t="n">
        <v>0.075</v>
      </c>
      <c r="J26" s="19" t="n">
        <v>0.075</v>
      </c>
      <c r="K26" s="19" t="n">
        <v>0.075</v>
      </c>
      <c r="L26" s="19" t="n">
        <v>0.075</v>
      </c>
      <c r="M26" s="19" t="n">
        <v>0.075</v>
      </c>
      <c r="N26" s="19" t="n">
        <v>0.075</v>
      </c>
      <c r="O26" s="19" t="n">
        <v>0.075</v>
      </c>
    </row>
    <row r="27">
      <c r="A27" s="5" t="inlineStr">
        <is>
          <t xml:space="preserve">  COGS: Steel (% revenue)</t>
        </is>
      </c>
      <c r="I27" s="19" t="n">
        <v>0.12</v>
      </c>
      <c r="J27" s="19" t="n">
        <v>0.12</v>
      </c>
      <c r="K27" s="19" t="n">
        <v>0.12</v>
      </c>
      <c r="L27" s="19" t="n">
        <v>0.12</v>
      </c>
      <c r="M27" s="19" t="n">
        <v>0.12</v>
      </c>
      <c r="N27" s="19" t="n">
        <v>0.12</v>
      </c>
      <c r="O27" s="19" t="n">
        <v>0.12</v>
      </c>
    </row>
    <row r="28">
      <c r="A28" s="5" t="inlineStr">
        <is>
          <t xml:space="preserve">  COGS: Copper (% revenue)</t>
        </is>
      </c>
      <c r="I28" s="19" t="n">
        <v>0.05</v>
      </c>
      <c r="J28" s="19" t="n">
        <v>0.05</v>
      </c>
      <c r="K28" s="19" t="n">
        <v>0.05</v>
      </c>
      <c r="L28" s="19" t="n">
        <v>0.05</v>
      </c>
      <c r="M28" s="19" t="n">
        <v>0.05</v>
      </c>
      <c r="N28" s="19" t="n">
        <v>0.05</v>
      </c>
      <c r="O28" s="19" t="n">
        <v>0.05</v>
      </c>
    </row>
    <row r="29">
      <c r="A29" s="5" t="inlineStr">
        <is>
          <t xml:space="preserve">  COGS: Electrical &amp; electronic components (% rev)</t>
        </is>
      </c>
      <c r="I29" s="19" t="n">
        <v>0.1</v>
      </c>
      <c r="J29" s="19" t="n">
        <v>0.1</v>
      </c>
      <c r="K29" s="19" t="n">
        <v>0.1</v>
      </c>
      <c r="L29" s="19" t="n">
        <v>0.1</v>
      </c>
      <c r="M29" s="19" t="n">
        <v>0.1</v>
      </c>
      <c r="N29" s="19" t="n">
        <v>0.1</v>
      </c>
      <c r="O29" s="19" t="n">
        <v>0.1</v>
      </c>
    </row>
    <row r="30">
      <c r="A30" s="5" t="inlineStr">
        <is>
          <t xml:space="preserve">  COGS: Imported components (% revenue)</t>
        </is>
      </c>
      <c r="I30" s="19" t="n">
        <v>0.08</v>
      </c>
      <c r="J30" s="19" t="n">
        <v>0.08</v>
      </c>
      <c r="K30" s="19" t="n">
        <v>0.08</v>
      </c>
      <c r="L30" s="19" t="n">
        <v>0.08</v>
      </c>
      <c r="M30" s="19" t="n">
        <v>0.08</v>
      </c>
      <c r="N30" s="19" t="n">
        <v>0.08</v>
      </c>
      <c r="O30" s="19" t="n">
        <v>0.08</v>
      </c>
    </row>
    <row r="31">
      <c r="A31" s="5" t="inlineStr">
        <is>
          <t xml:space="preserve">  OpEx: Selling &amp; distribution (% revenue)</t>
        </is>
      </c>
      <c r="I31" s="19" t="n">
        <v>0.025</v>
      </c>
      <c r="J31" s="19" t="n">
        <v>0.025</v>
      </c>
      <c r="K31" s="19" t="n">
        <v>0.025</v>
      </c>
      <c r="L31" s="19" t="n">
        <v>0.025</v>
      </c>
      <c r="M31" s="19" t="n">
        <v>0.025</v>
      </c>
      <c r="N31" s="19" t="n">
        <v>0.025</v>
      </c>
      <c r="O31" s="19" t="n">
        <v>0.025</v>
      </c>
    </row>
    <row r="32">
      <c r="A32" s="5" t="inlineStr">
        <is>
          <t xml:space="preserve">  OpEx: Research &amp; development (% revenue)</t>
        </is>
      </c>
      <c r="I32" s="19" t="n">
        <v>0.025</v>
      </c>
      <c r="J32" s="19" t="n">
        <v>0.025</v>
      </c>
      <c r="K32" s="19" t="n">
        <v>0.025</v>
      </c>
      <c r="L32" s="19" t="n">
        <v>0.025</v>
      </c>
      <c r="M32" s="19" t="n">
        <v>0.025</v>
      </c>
      <c r="N32" s="19" t="n">
        <v>0.025</v>
      </c>
      <c r="O32" s="19" t="n">
        <v>0.025</v>
      </c>
    </row>
    <row r="33">
      <c r="A33" s="5" t="inlineStr">
        <is>
          <t>Revenue mix: Power segment %</t>
        </is>
      </c>
      <c r="I33" s="19" t="n">
        <v>0.75</v>
      </c>
      <c r="J33" s="19" t="n">
        <v>0.75</v>
      </c>
      <c r="K33" s="19" t="n">
        <v>0.75</v>
      </c>
      <c r="L33" s="19" t="n">
        <v>0.75</v>
      </c>
      <c r="M33" s="19" t="n">
        <v>0.75</v>
      </c>
      <c r="N33" s="19" t="n">
        <v>0.75</v>
      </c>
      <c r="O33" s="19" t="n">
        <v>0.75</v>
      </c>
    </row>
    <row r="34">
      <c r="A34" s="5" t="inlineStr">
        <is>
          <t>Revenue mix: Industry segment %</t>
        </is>
      </c>
      <c r="I34" s="19" t="n">
        <v>0.22</v>
      </c>
      <c r="J34" s="19" t="n">
        <v>0.22</v>
      </c>
      <c r="K34" s="19" t="n">
        <v>0.22</v>
      </c>
      <c r="L34" s="19" t="n">
        <v>0.22</v>
      </c>
      <c r="M34" s="19" t="n">
        <v>0.22</v>
      </c>
      <c r="N34" s="19" t="n">
        <v>0.22</v>
      </c>
      <c r="O34" s="19" t="n">
        <v>0.22</v>
      </c>
    </row>
    <row r="35">
      <c r="A35" s="5" t="inlineStr">
        <is>
          <t>Capital expenditure</t>
        </is>
      </c>
      <c r="I35" s="17" t="n">
        <v>600</v>
      </c>
      <c r="J35" s="17" t="n">
        <v>700</v>
      </c>
      <c r="K35" s="17" t="n">
        <v>750</v>
      </c>
      <c r="L35" s="17" t="n">
        <v>800</v>
      </c>
      <c r="M35" s="17" t="n">
        <v>850</v>
      </c>
      <c r="N35" s="17" t="n">
        <v>900</v>
      </c>
      <c r="O35" s="17" t="n">
        <v>950</v>
      </c>
    </row>
    <row r="36">
      <c r="A36" s="5" t="inlineStr">
        <is>
          <t>Depreciation rate (% opening net block)</t>
        </is>
      </c>
      <c r="I36" s="19" t="n">
        <v>0.095</v>
      </c>
      <c r="J36" s="19" t="n">
        <v>0.095</v>
      </c>
      <c r="K36" s="19" t="n">
        <v>0.095</v>
      </c>
      <c r="L36" s="19" t="n">
        <v>0.095</v>
      </c>
      <c r="M36" s="19" t="n">
        <v>0.095</v>
      </c>
      <c r="N36" s="19" t="n">
        <v>0.095</v>
      </c>
      <c r="O36" s="19" t="n">
        <v>0.095</v>
      </c>
    </row>
    <row r="37">
      <c r="A37" s="5" t="inlineStr">
        <is>
          <t>Trade receivable days (vs revenue)</t>
        </is>
      </c>
      <c r="I37" s="20" t="n">
        <v>74</v>
      </c>
      <c r="J37" s="20" t="n">
        <v>73</v>
      </c>
      <c r="K37" s="20" t="n">
        <v>72</v>
      </c>
      <c r="L37" s="20" t="n">
        <v>71</v>
      </c>
      <c r="M37" s="20" t="n">
        <v>70</v>
      </c>
      <c r="N37" s="20" t="n">
        <v>69</v>
      </c>
      <c r="O37" s="20" t="n">
        <v>68</v>
      </c>
    </row>
    <row r="38">
      <c r="A38" s="5" t="inlineStr">
        <is>
          <t>Inventory days (vs COGS)</t>
        </is>
      </c>
      <c r="I38" s="20" t="n">
        <v>210</v>
      </c>
      <c r="J38" s="20" t="n">
        <v>207</v>
      </c>
      <c r="K38" s="20" t="n">
        <v>204</v>
      </c>
      <c r="L38" s="20" t="n">
        <v>201</v>
      </c>
      <c r="M38" s="20" t="n">
        <v>198</v>
      </c>
      <c r="N38" s="20" t="n">
        <v>195</v>
      </c>
      <c r="O38" s="20" t="n">
        <v>192</v>
      </c>
    </row>
    <row r="39">
      <c r="A39" s="5" t="inlineStr">
        <is>
          <t>Trade payable days (vs COGS)</t>
        </is>
      </c>
      <c r="I39" s="20" t="n">
        <v>167</v>
      </c>
      <c r="J39" s="20" t="n">
        <v>166</v>
      </c>
      <c r="K39" s="20" t="n">
        <v>165</v>
      </c>
      <c r="L39" s="20" t="n">
        <v>164</v>
      </c>
      <c r="M39" s="20" t="n">
        <v>163</v>
      </c>
      <c r="N39" s="20" t="n">
        <v>162</v>
      </c>
      <c r="O39" s="20" t="n">
        <v>160</v>
      </c>
    </row>
    <row r="40">
      <c r="A40" s="5" t="inlineStr">
        <is>
          <t>Contract assets (total) / Revenue  [see Contract Accounting Schedule]</t>
        </is>
      </c>
      <c r="I40" s="19" t="n">
        <v>0.83</v>
      </c>
      <c r="J40" s="19" t="n">
        <v>0.8</v>
      </c>
      <c r="K40" s="19" t="n">
        <v>0.77</v>
      </c>
      <c r="L40" s="19" t="n">
        <v>0.74</v>
      </c>
      <c r="M40" s="19" t="n">
        <v>0.71</v>
      </c>
      <c r="N40" s="19" t="n">
        <v>0.68</v>
      </c>
      <c r="O40" s="19" t="n">
        <v>0.65</v>
      </c>
      <c r="P40" s="13" t="inlineStr">
        <is>
          <t>CV-selected driver (0.139, lowest); CA = unbilled revenue, scales with revenue recognised.</t>
        </is>
      </c>
    </row>
    <row r="41">
      <c r="A41" s="5" t="inlineStr">
        <is>
          <t>Contract liabilities (total) / Closing order book  [see Contract Accounting Schedule]</t>
        </is>
      </c>
      <c r="I41" s="19" t="n">
        <v>0.095</v>
      </c>
      <c r="J41" s="19" t="n">
        <v>0.096</v>
      </c>
      <c r="K41" s="19" t="n">
        <v>0.098</v>
      </c>
      <c r="L41" s="19" t="n">
        <v>0.1</v>
      </c>
      <c r="M41" s="19" t="n">
        <v>0.102</v>
      </c>
      <c r="N41" s="19" t="n">
        <v>0.104</v>
      </c>
      <c r="O41" s="19" t="n">
        <v>0.105</v>
      </c>
      <c r="P41" s="13" t="inlineStr">
        <is>
          <t>CV-selected driver (0.178, lowest order-book-based); CL = customer advances, scales with unexecuted backlog.</t>
        </is>
      </c>
    </row>
    <row r="42">
      <c r="A42" s="5" t="inlineStr">
        <is>
          <t>Contract assets - current % of total</t>
        </is>
      </c>
      <c r="I42" s="19" t="n">
        <v>0.5185821044357867</v>
      </c>
      <c r="J42" s="19" t="n">
        <v>0.5185821044357867</v>
      </c>
      <c r="K42" s="19" t="n">
        <v>0.5185821044357867</v>
      </c>
      <c r="L42" s="19" t="n">
        <v>0.5185821044357867</v>
      </c>
      <c r="M42" s="19" t="n">
        <v>0.5185821044357867</v>
      </c>
      <c r="N42" s="19" t="n">
        <v>0.5185821044357867</v>
      </c>
      <c r="O42" s="19" t="n">
        <v>0.5185821044357867</v>
      </c>
      <c r="P42" s="13" t="inlineStr">
        <is>
          <t>Recent 3yr (FY24-26) average; structural shift post-FY23 per Q4FY24 concall WC-improvement guidance.</t>
        </is>
      </c>
    </row>
    <row r="43">
      <c r="A43" s="5" t="inlineStr">
        <is>
          <t>Contract liabilities - current % of total</t>
        </is>
      </c>
      <c r="I43" s="19" t="n">
        <v>0.3992684025278104</v>
      </c>
      <c r="J43" s="19" t="n">
        <v>0.3992684025278104</v>
      </c>
      <c r="K43" s="19" t="n">
        <v>0.3992684025278104</v>
      </c>
      <c r="L43" s="19" t="n">
        <v>0.3992684025278104</v>
      </c>
      <c r="M43" s="19" t="n">
        <v>0.3992684025278104</v>
      </c>
      <c r="N43" s="19" t="n">
        <v>0.3992684025278104</v>
      </c>
      <c r="O43" s="19" t="n">
        <v>0.3992684025278104</v>
      </c>
      <c r="P43" s="13" t="inlineStr">
        <is>
          <t>Recent 3yr (FY24-26) average; structural shift post-FY23 per Q4FY24 concall WC-improvement guidance.</t>
        </is>
      </c>
    </row>
    <row r="44">
      <c r="A44" s="5" t="inlineStr">
        <is>
          <t>Other current/non-curr assets growth %</t>
        </is>
      </c>
      <c r="I44" s="19" t="n">
        <v>0.03</v>
      </c>
      <c r="J44" s="19" t="n">
        <v>0.03</v>
      </c>
      <c r="K44" s="19" t="n">
        <v>0.03</v>
      </c>
      <c r="L44" s="19" t="n">
        <v>0.03</v>
      </c>
      <c r="M44" s="19" t="n">
        <v>0.03</v>
      </c>
      <c r="N44" s="19" t="n">
        <v>0.03</v>
      </c>
      <c r="O44" s="19" t="n">
        <v>0.03</v>
      </c>
    </row>
    <row r="45">
      <c r="A45" s="5" t="inlineStr">
        <is>
          <t>Provisions &amp; other liabilities growth %</t>
        </is>
      </c>
      <c r="I45" s="19" t="n">
        <v>0.03</v>
      </c>
      <c r="J45" s="19" t="n">
        <v>0.03</v>
      </c>
      <c r="K45" s="19" t="n">
        <v>0.03</v>
      </c>
      <c r="L45" s="19" t="n">
        <v>0.03</v>
      </c>
      <c r="M45" s="19" t="n">
        <v>0.03</v>
      </c>
      <c r="N45" s="19" t="n">
        <v>0.03</v>
      </c>
      <c r="O45" s="19" t="n">
        <v>0.03</v>
      </c>
    </row>
    <row r="46">
      <c r="A46" s="5" t="inlineStr">
        <is>
          <t>Capital work-in-progress (closing)</t>
        </is>
      </c>
      <c r="I46" s="17" t="n">
        <v>400</v>
      </c>
      <c r="J46" s="17" t="n">
        <v>400</v>
      </c>
      <c r="K46" s="17" t="n">
        <v>400</v>
      </c>
      <c r="L46" s="17" t="n">
        <v>400</v>
      </c>
      <c r="M46" s="17" t="n">
        <v>400</v>
      </c>
      <c r="N46" s="17" t="n">
        <v>400</v>
      </c>
      <c r="O46" s="17" t="n">
        <v>400</v>
      </c>
    </row>
    <row r="47">
      <c r="A47" s="5" t="inlineStr">
        <is>
          <t>Investments (closing)</t>
        </is>
      </c>
      <c r="I47" s="17" t="n">
        <v>310</v>
      </c>
      <c r="J47" s="17" t="n">
        <v>320</v>
      </c>
      <c r="K47" s="17" t="n">
        <v>330</v>
      </c>
      <c r="L47" s="17" t="n">
        <v>340</v>
      </c>
      <c r="M47" s="17" t="n">
        <v>350</v>
      </c>
      <c r="N47" s="17" t="n">
        <v>360</v>
      </c>
      <c r="O47" s="17" t="n">
        <v>370</v>
      </c>
    </row>
    <row r="48">
      <c r="A48" s="5" t="inlineStr">
        <is>
          <t>Effective tax rate</t>
        </is>
      </c>
      <c r="I48" s="19" t="n">
        <v>0.25</v>
      </c>
      <c r="J48" s="19" t="n">
        <v>0.25</v>
      </c>
      <c r="K48" s="19" t="n">
        <v>0.25</v>
      </c>
      <c r="L48" s="19" t="n">
        <v>0.25</v>
      </c>
      <c r="M48" s="19" t="n">
        <v>0.25</v>
      </c>
      <c r="N48" s="19" t="n">
        <v>0.25</v>
      </c>
      <c r="O48" s="19" t="n">
        <v>0.25</v>
      </c>
    </row>
    <row r="49">
      <c r="A49" s="5" t="inlineStr">
        <is>
          <t>Dividend payout (% PAT)</t>
        </is>
      </c>
      <c r="I49" s="19" t="n">
        <v>0.3</v>
      </c>
      <c r="J49" s="19" t="n">
        <v>0.3</v>
      </c>
      <c r="K49" s="19" t="n">
        <v>0.3</v>
      </c>
      <c r="L49" s="19" t="n">
        <v>0.3</v>
      </c>
      <c r="M49" s="19" t="n">
        <v>0.3</v>
      </c>
      <c r="N49" s="19" t="n">
        <v>0.3</v>
      </c>
      <c r="O49" s="19" t="n">
        <v>0.3</v>
      </c>
    </row>
    <row r="50">
      <c r="A50" s="5" t="inlineStr">
        <is>
          <t>New borrowings drawn</t>
        </is>
      </c>
      <c r="I50" s="17" t="n">
        <v>0</v>
      </c>
      <c r="J50" s="17" t="n">
        <v>0</v>
      </c>
      <c r="K50" s="17" t="n">
        <v>0</v>
      </c>
      <c r="L50" s="17" t="n">
        <v>0</v>
      </c>
      <c r="M50" s="17" t="n">
        <v>0</v>
      </c>
      <c r="N50" s="17" t="n">
        <v>0</v>
      </c>
      <c r="O50" s="17" t="n">
        <v>0</v>
      </c>
    </row>
    <row r="51">
      <c r="A51" s="5" t="inlineStr">
        <is>
          <t>Debt repayment</t>
        </is>
      </c>
      <c r="I51" s="17" t="n">
        <v>0</v>
      </c>
      <c r="J51" s="17" t="n">
        <v>0</v>
      </c>
      <c r="K51" s="17" t="n">
        <v>0</v>
      </c>
      <c r="L51" s="17" t="n">
        <v>0</v>
      </c>
      <c r="M51" s="17" t="n">
        <v>0</v>
      </c>
      <c r="N51" s="17" t="n">
        <v>0</v>
      </c>
      <c r="O51" s="17" t="n">
        <v>0</v>
      </c>
    </row>
    <row r="52">
      <c r="A52" s="5" t="inlineStr">
        <is>
          <t>Interest rate on opening debt</t>
        </is>
      </c>
      <c r="I52" s="19" t="n">
        <v>0.08500000000000001</v>
      </c>
      <c r="J52" s="19" t="n">
        <v>0.08500000000000001</v>
      </c>
      <c r="K52" s="19" t="n">
        <v>0.08500000000000001</v>
      </c>
      <c r="L52" s="19" t="n">
        <v>0.08500000000000001</v>
      </c>
      <c r="M52" s="19" t="n">
        <v>0.08500000000000001</v>
      </c>
      <c r="N52" s="19" t="n">
        <v>0.08500000000000001</v>
      </c>
      <c r="O52" s="19" t="n">
        <v>0.08500000000000001</v>
      </c>
    </row>
    <row r="53">
      <c r="A53" s="5" t="inlineStr">
        <is>
          <t>LT borrowings (% of total debt)</t>
        </is>
      </c>
      <c r="I53" s="19" t="n">
        <v>0.02</v>
      </c>
      <c r="J53" s="19" t="n">
        <v>0.02</v>
      </c>
      <c r="K53" s="19" t="n">
        <v>0.02</v>
      </c>
      <c r="L53" s="19" t="n">
        <v>0.02</v>
      </c>
      <c r="M53" s="19" t="n">
        <v>0.02</v>
      </c>
      <c r="N53" s="19" t="n">
        <v>0.02</v>
      </c>
      <c r="O53" s="19" t="n">
        <v>0.02</v>
      </c>
    </row>
    <row r="54">
      <c r="A54" s="5" t="inlineStr">
        <is>
          <t>Other non-current assets - NON-CONTRACT residual (DTA, legacy receivables, other)</t>
        </is>
      </c>
      <c r="I54" s="17" t="n">
        <v>6738</v>
      </c>
      <c r="J54" s="17" t="n">
        <v>6738</v>
      </c>
      <c r="K54" s="17" t="n">
        <v>6738</v>
      </c>
      <c r="L54" s="17" t="n">
        <v>6738</v>
      </c>
      <c r="M54" s="17" t="n">
        <v>6738</v>
      </c>
      <c r="N54" s="17" t="n">
        <v>6738</v>
      </c>
      <c r="O54" s="17" t="n">
        <v>6738</v>
      </c>
      <c r="P54" s="13" t="inlineStr">
        <is>
          <t>FY26 audited residual (other_nca total less non-current contract assets); held flat - no clear trend FY24-26.</t>
        </is>
      </c>
    </row>
    <row r="55">
      <c r="A55" s="5" t="inlineStr">
        <is>
          <t>Other non-current liabilities - NON-CONTRACT residual (LT provisions, other)</t>
        </is>
      </c>
      <c r="I55" s="17" t="n">
        <v>4155</v>
      </c>
      <c r="J55" s="17" t="n">
        <v>4155</v>
      </c>
      <c r="K55" s="17" t="n">
        <v>4155</v>
      </c>
      <c r="L55" s="17" t="n">
        <v>4155</v>
      </c>
      <c r="M55" s="17" t="n">
        <v>4155</v>
      </c>
      <c r="N55" s="17" t="n">
        <v>4155</v>
      </c>
      <c r="O55" s="17" t="n">
        <v>4155</v>
      </c>
      <c r="P55" s="13" t="inlineStr">
        <is>
          <t>FY26 audited residual (other_ncl total less non-current contract liabilities); held flat - no clear trend FY24-26.</t>
        </is>
      </c>
    </row>
    <row r="57">
      <c r="A57" s="6" t="inlineStr">
        <is>
          <t>WACC &amp; valuation inputs</t>
        </is>
      </c>
    </row>
    <row r="58">
      <c r="A58" s="5" t="inlineStr">
        <is>
          <t>Risk-free rate (10Y India G-Sec)</t>
        </is>
      </c>
      <c r="C58" s="19" t="n">
        <v>0.068</v>
      </c>
    </row>
    <row r="59">
      <c r="A59" s="5" t="inlineStr">
        <is>
          <t>Levered beta</t>
        </is>
      </c>
      <c r="C59" s="21" t="n">
        <v>1.25</v>
      </c>
    </row>
    <row r="60">
      <c r="A60" s="5" t="inlineStr">
        <is>
          <t>Equity risk premium</t>
        </is>
      </c>
      <c r="C60" s="19" t="n">
        <v>0.065</v>
      </c>
    </row>
    <row r="61">
      <c r="A61" s="5" t="inlineStr">
        <is>
          <t>Pre-tax cost of debt</t>
        </is>
      </c>
      <c r="C61" s="19" t="n">
        <v>0.08500000000000001</v>
      </c>
    </row>
    <row r="62">
      <c r="A62" s="5" t="inlineStr">
        <is>
          <t>Marginal tax rate (WACC)</t>
        </is>
      </c>
      <c r="C62" s="19" t="n">
        <v>0.25</v>
      </c>
    </row>
    <row r="63">
      <c r="A63" s="5" t="inlineStr">
        <is>
          <t>Target weight of debt</t>
        </is>
      </c>
      <c r="C63" s="19" t="n">
        <v>0.15</v>
      </c>
    </row>
    <row r="64">
      <c r="A64" s="5" t="inlineStr">
        <is>
          <t>Target weight of equity</t>
        </is>
      </c>
      <c r="C64" s="19" t="n">
        <v>0.85</v>
      </c>
    </row>
    <row r="65">
      <c r="A65" s="5" t="inlineStr">
        <is>
          <t>Terminal growth rate</t>
        </is>
      </c>
      <c r="C65" s="19" t="n">
        <v>0.045</v>
      </c>
    </row>
    <row r="66">
      <c r="A66" s="4" t="inlineStr">
        <is>
          <t>Cost of equity (Ke = Rf + B x ERP)</t>
        </is>
      </c>
      <c r="C66" s="22">
        <f>'Assumptions'!C58+'Assumptions'!C59*'Assumptions'!C60</f>
        <v/>
      </c>
    </row>
    <row r="67">
      <c r="A67" s="4" t="inlineStr">
        <is>
          <t>WACC (We*Ke + Wd*Kd*(1-t))</t>
        </is>
      </c>
      <c r="C67" s="18">
        <f>'Assumptions'!C64*'Assumptions'!C66+'Assumptions'!C63*'Assumptions'!C61*(1-'Assumptions'!C62)</f>
        <v/>
      </c>
    </row>
    <row r="68">
      <c r="A68" s="5" t="inlineStr">
        <is>
          <t>Shares outstanding (crore)</t>
        </is>
      </c>
      <c r="C68" s="23" t="n">
        <v>348.05</v>
      </c>
    </row>
    <row r="69">
      <c r="A69" s="5" t="inlineStr">
        <is>
          <t>Current market price (INR)</t>
        </is>
      </c>
      <c r="C69" s="21" t="n">
        <v>403</v>
      </c>
    </row>
    <row r="70">
      <c r="A70" s="5" t="inlineStr">
        <is>
          <t>Face value (INR)</t>
        </is>
      </c>
      <c r="C70" s="21" t="n">
        <v>2</v>
      </c>
    </row>
  </sheetData>
  <dataValidations count="1">
    <dataValidation sqref="D2" showDropDown="0" showInputMessage="0" showErrorMessage="0" allowBlank="0" type="list">
      <formula1>"Base,Best,Bear"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5"/>
  <sheetViews>
    <sheetView showGridLines="0" workbookViewId="0">
      <pane ySplit="3" topLeftCell="A4" activePane="bottomLeft" state="frozen"/>
      <selection pane="bottomLeft" activeCell="A1" sqref="A1"/>
    </sheetView>
  </sheetViews>
  <sheetFormatPr baseColWidth="8" defaultRowHeight="15"/>
  <cols>
    <col width="36" customWidth="1" min="1" max="1"/>
    <col width="18" customWidth="1" min="2" max="2"/>
    <col width="118" customWidth="1" min="3" max="3"/>
  </cols>
  <sheetData>
    <row r="1">
      <c r="A1" s="11" t="inlineStr">
        <is>
          <t>ASSUMPTIONS RATIONALE  -  basis for every forecast driver</t>
        </is>
      </c>
      <c r="B1" s="1" t="n"/>
      <c r="C1" s="1" t="n"/>
    </row>
    <row r="2">
      <c r="A2" s="13" t="inlineStr">
        <is>
          <t>Each driver documents: why reasonable | historical support | management guidance | macro / industry driver | sensitivity.</t>
        </is>
      </c>
    </row>
    <row r="3">
      <c r="A3" s="24" t="inlineStr">
        <is>
          <t>Driver</t>
        </is>
      </c>
      <c r="B3" s="24" t="inlineStr">
        <is>
          <t>Base case</t>
        </is>
      </c>
      <c r="C3" s="24" t="inlineStr">
        <is>
          <t>Rationale (historical support | management guidance | macro/industry driver | sensitivity)</t>
        </is>
      </c>
    </row>
    <row r="4">
      <c r="A4" s="25" t="inlineStr">
        <is>
          <t>REVENUE &amp; ORDER BOOK</t>
        </is>
      </c>
      <c r="B4" s="26" t="n"/>
      <c r="C4" s="26" t="n"/>
    </row>
    <row r="5" ht="46" customHeight="1">
      <c r="A5" s="27" t="inlineStr">
        <is>
          <t>Execution rate</t>
        </is>
      </c>
      <c r="B5" s="28" t="inlineStr">
        <is>
          <t>16.5%-&gt;19.5%</t>
        </is>
      </c>
      <c r="C5" s="29" t="inlineStr">
        <is>
          <t>Revenue = execution rate x opening order book. Implies ~13.5% revenue CAGR - within management guidance of 12-15% CAGR (Q4FY24 concall). BHEL has ~10 GW/yr execution capacity (demonstrated 12 GW); 80+ GW thermal to be ordered by 2032. Historically executed ~15-17% of opening OB.</t>
        </is>
      </c>
    </row>
    <row r="6" ht="46" customHeight="1">
      <c r="A6" s="27" t="inlineStr">
        <is>
          <t>Order inflow</t>
        </is>
      </c>
      <c r="B6" s="28" t="inlineStr">
        <is>
          <t>Rs78k-&gt;96k cr</t>
        </is>
      </c>
      <c r="C6" s="29" t="inlineStr">
        <is>
          <t>FY25 record inflow Rs92,535 cr; FY26 actual Rs75,916 cr (Q4FY26 supplementary); FY26 closing order book Rs2,40,000 cr - highest ever (Power 81% / Industry 18% / Export 1%), CONFIRMING the model driver. ~80 GW thermal to be ordered by 2032 (~10-12 GW/yr) plus T&amp;D, railways, defence, nuclear.</t>
        </is>
      </c>
    </row>
    <row r="7" ht="46" customHeight="1">
      <c r="A7" s="27" t="inlineStr">
        <is>
          <t>Revenue mix - Power</t>
        </is>
      </c>
      <c r="B7" s="28" t="inlineStr">
        <is>
          <t>75%</t>
        </is>
      </c>
      <c r="C7" s="29" t="inlineStr">
        <is>
          <t>BHEL core; power was ~75-80% of revenue historically (FY26 power Rs25,407 cr). Thermal ordering remains dominant near-term.</t>
        </is>
      </c>
    </row>
    <row r="8" ht="46" customHeight="1">
      <c r="A8" s="27" t="inlineStr">
        <is>
          <t>Revenue mix - Industry</t>
        </is>
      </c>
      <c r="B8" s="28" t="inlineStr">
        <is>
          <t>22%</t>
        </is>
      </c>
      <c r="C8" s="29" t="inlineStr">
        <is>
          <t>Rising diversification (industrial systems, transportation, defence). Industry segment grew strongly in FY25-26; balance ~3% is exports/renewables.</t>
        </is>
      </c>
    </row>
    <row r="9">
      <c r="A9" s="25" t="inlineStr">
        <is>
          <t>COSTS</t>
        </is>
      </c>
      <c r="B9" s="26" t="n"/>
      <c r="C9" s="26" t="n"/>
    </row>
    <row r="10" ht="46" customHeight="1">
      <c r="A10" s="27" t="inlineStr">
        <is>
          <t>EBITDA margin</t>
        </is>
      </c>
      <c r="B10" s="28" t="inlineStr">
        <is>
          <t>7.5%-&gt;12.0%</t>
        </is>
      </c>
      <c r="C10" s="29" t="inlineStr">
        <is>
          <t>Audited historical margin (annual reports): FY24 2.6%, FY25 4.4%, FY26 6.9% (rising as revenue scales over a largely fixed cost base). Expansion from operating leverage, better project mix and roll-off of legacy low-margin orders. Management targets low-teens; peer capital-goods margins 10-18%. Sensitivity: 1pp ~ Rs400-800 cr EBITDA.</t>
        </is>
      </c>
    </row>
    <row r="11" ht="46" customHeight="1">
      <c r="A11" s="27" t="inlineStr">
        <is>
          <t>Steel (% rev)</t>
        </is>
      </c>
      <c r="B11" s="28" t="inlineStr">
        <is>
          <t>12%</t>
        </is>
      </c>
      <c r="C11" s="29" t="inlineStr">
        <is>
          <t>Boilers, turbines and structurals are steel-intensive. Key commodity exposure; +10% steel price ~ +1.2pp COGS. Reflects BHEL bill-of-materials.</t>
        </is>
      </c>
    </row>
    <row r="12" ht="46" customHeight="1">
      <c r="A12" s="27" t="inlineStr">
        <is>
          <t>Copper (% rev)</t>
        </is>
      </c>
      <c r="B12" s="28" t="inlineStr">
        <is>
          <t>5%</t>
        </is>
      </c>
      <c r="C12" s="29" t="inlineStr">
        <is>
          <t>Generators, transformers and windings are copper-intensive. Exposed to LME copper prices.</t>
        </is>
      </c>
    </row>
    <row r="13" ht="46" customHeight="1">
      <c r="A13" s="27" t="inlineStr">
        <is>
          <t>Electrical &amp; electronic components</t>
        </is>
      </c>
      <c r="B13" s="28" t="inlineStr">
        <is>
          <t>10%</t>
        </is>
      </c>
      <c r="C13" s="29" t="inlineStr">
        <is>
          <t>Control systems, switchgear, instrumentation and electronics content in power equipment.</t>
        </is>
      </c>
    </row>
    <row r="14" ht="46" customHeight="1">
      <c r="A14" s="27" t="inlineStr">
        <is>
          <t>Imported components</t>
        </is>
      </c>
      <c r="B14" s="28" t="inlineStr">
        <is>
          <t>8%</t>
        </is>
      </c>
      <c r="C14" s="29" t="inlineStr">
        <is>
          <t>High-tech sub-assemblies imported; FX and import-duty sensitive. Localisation drive aims to reduce this over time.</t>
        </is>
      </c>
    </row>
    <row r="15" ht="46" customHeight="1">
      <c r="A15" s="27" t="inlineStr">
        <is>
          <t>Other materials &amp; consumables</t>
        </is>
      </c>
      <c r="B15" s="28" t="inlineStr">
        <is>
          <t>residual</t>
        </is>
      </c>
      <c r="C15" s="29" t="inlineStr">
        <is>
          <t>Balancing item so that materials + subcontracting + opex reconcile to the target EBITDA margin (avoids double-counting).</t>
        </is>
      </c>
    </row>
    <row r="16" ht="46" customHeight="1">
      <c r="A16" s="27" t="inlineStr">
        <is>
          <t>Subcontracting &amp; erection</t>
        </is>
      </c>
      <c r="B16" s="28" t="inlineStr">
        <is>
          <t>8.5%</t>
        </is>
      </c>
      <c r="C16" s="29" t="inlineStr">
        <is>
          <t>Civil works and site erection largely outsourced; scales with project execution. Historical ~8-9%.</t>
        </is>
      </c>
    </row>
    <row r="17" ht="46" customHeight="1">
      <c r="A17" s="27" t="inlineStr">
        <is>
          <t>Employee cost (% rev)</t>
        </is>
      </c>
      <c r="B17" s="28" t="inlineStr">
        <is>
          <t>18.5%-&gt;14.0%</t>
        </is>
      </c>
      <c r="C17" s="29" t="inlineStr">
        <is>
          <t>Audited employee benefits (annual reports): Rs5,432 cr (FY20) -&gt; Rs6,468 cr (FY26); as a % of revenue FY24 23.6%, FY25 20.9%, FY26 19.1%. Structurally high &amp; broadly fixed; falls as a % as revenue scales and workforce declines (~33,500-&gt;25,500). Forecast starts at the FY26 actual (~19%) and eases toward 14%.</t>
        </is>
      </c>
    </row>
    <row r="18" ht="46" customHeight="1">
      <c r="A18" s="27" t="inlineStr">
        <is>
          <t>Selling &amp; distribution</t>
        </is>
      </c>
      <c r="B18" s="28" t="inlineStr">
        <is>
          <t>2.5%</t>
        </is>
      </c>
      <c r="C18" s="29" t="inlineStr">
        <is>
          <t>Bid/marketing, logistics, liquidated-damages and warranty-related selling costs; consistent with historical SG&amp;A composition.</t>
        </is>
      </c>
    </row>
    <row r="19" ht="46" customHeight="1">
      <c r="A19" s="27" t="inlineStr">
        <is>
          <t>Administrative (% rev)</t>
        </is>
      </c>
      <c r="B19" s="28" t="inlineStr">
        <is>
          <t>~2.5% (residual)</t>
        </is>
      </c>
      <c r="C19" s="29" t="inlineStr">
        <is>
          <t>Corporate overheads; residual within total selling/admin so opex reconciles.</t>
        </is>
      </c>
    </row>
    <row r="20" ht="46" customHeight="1">
      <c r="A20" s="27" t="inlineStr">
        <is>
          <t>Research &amp; development</t>
        </is>
      </c>
      <c r="B20" s="28" t="inlineStr">
        <is>
          <t>2.5%</t>
        </is>
      </c>
      <c r="C20" s="29" t="inlineStr">
        <is>
          <t>BHEL discloses R&amp;D at ~2.5% of turnover; strategic for supercritical/USC, hydrogen/electrolysers, defence and localisation.</t>
        </is>
      </c>
    </row>
    <row r="21" ht="46" customHeight="1">
      <c r="A21" s="27" t="inlineStr">
        <is>
          <t>Depreciation rate</t>
        </is>
      </c>
      <c r="B21" s="28" t="inlineStr">
        <is>
          <t>9.5% of opening net block</t>
        </is>
      </c>
      <c r="C21" s="29" t="inlineStr">
        <is>
          <t>Consistent with historical D&amp;A / net block (~9-10%); plant &amp; machinery weighted asset base.</t>
        </is>
      </c>
    </row>
    <row r="22" ht="46" customHeight="1">
      <c r="A22" s="27" t="inlineStr">
        <is>
          <t>Capex</t>
        </is>
      </c>
      <c r="B22" s="28" t="inlineStr">
        <is>
          <t>Rs600-950 cr</t>
        </is>
      </c>
      <c r="C22" s="29" t="inlineStr">
        <is>
          <t>Modernisation plus new capacity for renewables, defence and electrolysers. Historical capex Rs300-900 cr; internally funded.</t>
        </is>
      </c>
    </row>
    <row r="23">
      <c r="A23" s="25" t="inlineStr">
        <is>
          <t>WORKING CAPITAL</t>
        </is>
      </c>
      <c r="B23" s="26" t="n"/>
      <c r="C23" s="26" t="n"/>
    </row>
    <row r="24" ht="46" customHeight="1">
      <c r="A24" s="27" t="inlineStr">
        <is>
          <t>Receivable days (vs revenue)</t>
        </is>
      </c>
      <c r="B24" s="28" t="inlineStr">
        <is>
          <t>74 -&gt; 68</t>
        </is>
      </c>
      <c r="C24" s="29" t="inlineStr">
        <is>
          <t>Audited history 49-121 (FY26 73). Tapered down per management WC-improvement focus (Q4FY24 concall): legacy dues clearing within a quarter of milestone completion.</t>
        </is>
      </c>
    </row>
    <row r="25" ht="46" customHeight="1">
      <c r="A25" s="27" t="inlineStr">
        <is>
          <t>Inventory days (vs COGS)</t>
        </is>
      </c>
      <c r="B25" s="28" t="inlineStr">
        <is>
          <t>210 -&gt; 192</t>
        </is>
      </c>
      <c r="C25" s="29" t="inlineStr">
        <is>
          <t>Audited history 151-232 (FY26 212); long project cycle. Tapered per management guidance on better execution &amp; supply-chain/vendor normalisation (Q4FY24 concall).</t>
        </is>
      </c>
    </row>
    <row r="26" ht="46" customHeight="1">
      <c r="A26" s="27" t="inlineStr">
        <is>
          <t>Payable days (vs COGS)</t>
        </is>
      </c>
      <c r="B26" s="28" t="inlineStr">
        <is>
          <t>167-&gt;160</t>
        </is>
      </c>
      <c r="C26" s="29" t="inlineStr">
        <is>
          <t>Audited history 167-230 days (FY26 167); computed on COGS. Held near the FY26 level with a slight tightening.</t>
        </is>
      </c>
    </row>
    <row r="27" ht="46" customHeight="1">
      <c r="A27" s="27" t="inlineStr">
        <is>
          <t>Contract assets (total) / Revenue</t>
        </is>
      </c>
      <c r="B27" s="28" t="inlineStr">
        <is>
          <t>83% -&gt; 65%</t>
        </is>
      </c>
      <c r="C27" s="29" t="inlineStr">
        <is>
          <t>Full sell-side driver derivation in the Contract Accounting Schedule (Ind AS 115): 5 candidate drivers tested by coefficient of variation across FY20-26; CA/Revenue selected (CV 0.139, lowest, and economically sound - CA is unbilled revenue under %-of-completion accounting, so it tracks revenue recognised, not the largely-unexecuted order book). Tapers from the FY26 actual (87%) toward a steady state, continuing the FY24-26 improvement trend (Q4FY24 concall + Q4FY26 supplementary: contract assets flat YoY despite +19% revenue) at a moderated pace. Current/non-current split (52%/48%) = recent 3yr average, reflecting a post-FY23 structural shift.</t>
        </is>
      </c>
    </row>
    <row r="28" ht="46" customHeight="1">
      <c r="A28" s="27" t="inlineStr">
        <is>
          <t>Contract liabilities (total) / Order book</t>
        </is>
      </c>
      <c r="B28" s="28" t="inlineStr">
        <is>
          <t>9.5% -&gt; 10.5%</t>
        </is>
      </c>
      <c r="C28" s="29" t="inlineStr">
        <is>
          <t>Full sell-side driver derivation in the Contract Accounting Schedule (Ind AS 115): CL/Closing-order-book selected (CV 0.178, lowest among order-book/inflow-based measures, and economically sound - CL is customer advances tied to UNEXECUTED backlog, not to revenue already recognised). Continues the FY24-26 rise (5.4%-&gt;7.8%-&gt;9.4%) per management guidance on improved advance/milestone payment terms, plateauing modestly above the FY26 level. Current/non-current split (40%/60%) = recent 3yr average.</t>
        </is>
      </c>
    </row>
    <row r="29" ht="46" customHeight="1">
      <c r="A29" s="27" t="inlineStr">
        <is>
          <t>Other non-current assets (residual)</t>
        </is>
      </c>
      <c r="B29" s="28" t="inlineStr">
        <is>
          <t>Rs6,738 cr flat</t>
        </is>
      </c>
      <c r="C29" s="29" t="inlineStr">
        <is>
          <t>Non-CONTRACT residual only (deferred tax assets ~Rs3,533 cr, long-term/legacy trade receivables ~Rs2,427 cr, other financial assets/deposits). Non-current CONTRACT assets are modelled separately and explicitly in the Contract Accounting Schedule (see above) and added back on the balance sheet. Residual held flat at the FY26 audited level - no clear multi-year trend in DTA/legacy receivables to support a growth assumption.</t>
        </is>
      </c>
    </row>
    <row r="30" ht="46" customHeight="1">
      <c r="A30" s="27" t="inlineStr">
        <is>
          <t>Other non-current liabilities (residual)</t>
        </is>
      </c>
      <c r="B30" s="28" t="inlineStr">
        <is>
          <t>Rs4,155 cr flat</t>
        </is>
      </c>
      <c r="C30" s="29" t="inlineStr">
        <is>
          <t>Non-CONTRACT residual only (long-term provisions - warranty &amp; employee benefits ~Rs2,355 cr - and other). Non-current CONTRACT liabilities are modelled separately and explicitly in the Contract Accounting Schedule (see above) and added back on the balance sheet. Residual held flat at the FY26 audited level - no clear multi-year trend to support a growth assumption.</t>
        </is>
      </c>
    </row>
    <row r="31" ht="46" customHeight="1">
      <c r="A31" s="27" t="inlineStr">
        <is>
          <t>Other current operating assets/liabilities growth</t>
        </is>
      </c>
      <c r="B31" s="28" t="inlineStr">
        <is>
          <t>3% p.a.</t>
        </is>
      </c>
      <c r="C31" s="29" t="inlineStr">
        <is>
          <t>Remaining minor current operating items (excl. contract assets/liabilities, which now have their own driver) grow slowly, not 1:1 with revenue, to avoid overstating working-capital drag.</t>
        </is>
      </c>
    </row>
    <row r="32" ht="46" customHeight="1">
      <c r="A32" s="27" t="inlineStr">
        <is>
          <t>CWIP / Investments</t>
        </is>
      </c>
      <c r="B32" s="28" t="inlineStr">
        <is>
          <t>Rs400 cr / Rs310-370 cr</t>
        </is>
      </c>
      <c r="C32" s="29" t="inlineStr">
        <is>
          <t>CWIP steady-state low (capex flows quickly to assets); investments = JV/associate stakes, modest growth.</t>
        </is>
      </c>
    </row>
    <row r="33">
      <c r="A33" s="25" t="inlineStr">
        <is>
          <t>CAPITAL STRUCTURE &amp; TAX</t>
        </is>
      </c>
      <c r="B33" s="26" t="n"/>
      <c r="C33" s="26" t="n"/>
    </row>
    <row r="34" ht="46" customHeight="1">
      <c r="A34" s="27" t="inlineStr">
        <is>
          <t>LT vs ST borrowings</t>
        </is>
      </c>
      <c r="B34" s="28" t="inlineStr">
        <is>
          <t>~2% LT / 98% ST</t>
        </is>
      </c>
      <c r="C34" s="29" t="inlineStr">
        <is>
          <t>Audited: BHEL borrowings are almost entirely short-term working-capital lines. The only "long-term" borrowing is lease liabilities (~Rs170 cr in FY26 = 2.05% of total; FY20-26 range 0.3-2.1%). Re-anchored from the prior arbitrary 35% split to the audited actual ~2%.</t>
        </is>
      </c>
    </row>
    <row r="35" ht="46" customHeight="1">
      <c r="A35" s="27" t="inlineStr">
        <is>
          <t>New borrowings / repayment</t>
        </is>
      </c>
      <c r="B35" s="28" t="inlineStr">
        <is>
          <t>held flat</t>
        </is>
      </c>
      <c r="C35" s="29" t="inlineStr">
        <is>
          <t>BHEL borrowings are short-term working-capital lines (not a term loan) - no fixed repayment schedule. Held flat: the large cash balance (net cash ~Rs3,700 cr) funds working-capital growth. The prior Rs1,000 cr/yr repayment was an unsupported placeholder. Financing choices do not affect FCFF/EV (pre-financing).</t>
        </is>
      </c>
    </row>
    <row r="36" ht="46" customHeight="1">
      <c r="A36" s="27" t="inlineStr">
        <is>
          <t>Interest rate</t>
        </is>
      </c>
      <c r="B36" s="28" t="inlineStr">
        <is>
          <t>8.5%</t>
        </is>
      </c>
      <c r="C36" s="29" t="inlineStr">
        <is>
          <t>Blended cost on borrowings; consistent with historical finance cost / average debt and the current rate environment.</t>
        </is>
      </c>
    </row>
    <row r="37" ht="46" customHeight="1">
      <c r="A37" s="27" t="inlineStr">
        <is>
          <t>Tax rate</t>
        </is>
      </c>
      <c r="B37" s="28" t="inlineStr">
        <is>
          <t>25%</t>
        </is>
      </c>
      <c r="C37" s="29" t="inlineStr">
        <is>
          <t>BHEL on the new corporate-tax regime (~25.17%); normalised to 25%.</t>
        </is>
      </c>
    </row>
    <row r="38" ht="46" customHeight="1">
      <c r="A38" s="27" t="inlineStr">
        <is>
          <t>Dividend payout</t>
        </is>
      </c>
      <c r="B38" s="28" t="inlineStr">
        <is>
          <t>30%</t>
        </is>
      </c>
      <c r="C38" s="29" t="inlineStr">
        <is>
          <t>CPSE/DIPAM policy (~30% of PAT or 5% of net worth); historical payout 30-33%.</t>
        </is>
      </c>
    </row>
    <row r="39">
      <c r="A39" s="25" t="inlineStr">
        <is>
          <t>VALUATION (DCF)</t>
        </is>
      </c>
      <c r="B39" s="26" t="n"/>
      <c r="C39" s="26" t="n"/>
    </row>
    <row r="40" ht="46" customHeight="1">
      <c r="A40" s="27" t="inlineStr">
        <is>
          <t>Risk-free rate</t>
        </is>
      </c>
      <c r="B40" s="28" t="inlineStr">
        <is>
          <t>6.8%</t>
        </is>
      </c>
      <c r="C40" s="29" t="inlineStr">
        <is>
          <t>~India 10-year G-Sec yield.</t>
        </is>
      </c>
    </row>
    <row r="41" ht="46" customHeight="1">
      <c r="A41" s="27" t="inlineStr">
        <is>
          <t>Beta</t>
        </is>
      </c>
      <c r="B41" s="28" t="inlineStr">
        <is>
          <t>1.25</t>
        </is>
      </c>
      <c r="C41" s="29" t="inlineStr">
        <is>
          <t>BHEL is a high-beta cyclical capital-goods PSU; levered beta &gt; 1.</t>
        </is>
      </c>
    </row>
    <row r="42" ht="46" customHeight="1">
      <c r="A42" s="27" t="inlineStr">
        <is>
          <t>Equity risk premium</t>
        </is>
      </c>
      <c r="B42" s="28" t="inlineStr">
        <is>
          <t>6.5%</t>
        </is>
      </c>
      <c r="C42" s="29" t="inlineStr">
        <is>
          <t>India ERP ~6-7%.</t>
        </is>
      </c>
    </row>
    <row r="43" ht="46" customHeight="1">
      <c r="A43" s="27" t="inlineStr">
        <is>
          <t>Cost of debt / weights</t>
        </is>
      </c>
      <c r="B43" s="28" t="inlineStr">
        <is>
          <t>8.5% / 15% D, 85% E</t>
        </is>
      </c>
      <c r="C43" s="29" t="inlineStr">
        <is>
          <t>Low leverage; target structure mostly equity. After-tax Kd used in WACC.</t>
        </is>
      </c>
    </row>
    <row r="44" ht="46" customHeight="1">
      <c r="A44" s="27" t="inlineStr">
        <is>
          <t>Terminal growth</t>
        </is>
      </c>
      <c r="B44" s="28" t="inlineStr">
        <is>
          <t>4.5%</t>
        </is>
      </c>
      <c r="C44" s="29" t="inlineStr">
        <is>
          <t>Below long-run nominal GDP (~10-11%); conservative perpetuity. Terminal FCFF is NORMALIZED so working capital grows at g (steady state), not at the FY33 high-growth rate - otherwise the terminal value understates value because the last explicit year still carries a large growth-driven WC investment.</t>
        </is>
      </c>
    </row>
    <row r="45" ht="46" customHeight="1">
      <c r="A45" s="27" t="inlineStr">
        <is>
          <t>WACC (derived)</t>
        </is>
      </c>
      <c r="B45" s="28" t="inlineStr">
        <is>
          <t>~13.6%</t>
        </is>
      </c>
      <c r="C45" s="29" t="inlineStr">
        <is>
          <t>We*Ke + Wd*Kd*(1-t); high due to elevated equity beta. Tested on the Sensitivity sheet vs terminal growth.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HISTORICAL FINANCIAL STATEMENTS</t>
        </is>
      </c>
      <c r="B1" s="1" t="n"/>
      <c r="C1" s="1" t="n"/>
      <c r="D1" s="1" t="n"/>
      <c r="E1" s="1" t="n"/>
      <c r="F1" s="1" t="n"/>
      <c r="G1" s="1" t="n"/>
      <c r="H1" s="1" t="n"/>
      <c r="I1" s="1" t="n"/>
      <c r="J1" s="1" t="n"/>
      <c r="K1" s="1" t="n"/>
      <c r="L1" s="1" t="n"/>
      <c r="M1" s="1" t="n"/>
      <c r="N1" s="1" t="n"/>
      <c r="O1" s="1" t="n"/>
    </row>
    <row r="3">
      <c r="A3" s="11" t="inlineStr">
        <is>
          <t>A.  INCOME STATEMENT</t>
        </is>
      </c>
      <c r="B3" s="1" t="n"/>
      <c r="C3" s="1" t="n"/>
      <c r="D3" s="1" t="n"/>
      <c r="E3" s="1" t="n"/>
      <c r="F3" s="1" t="n"/>
      <c r="G3" s="1" t="n"/>
      <c r="H3" s="1" t="n"/>
      <c r="I3" s="1" t="n"/>
      <c r="J3" s="1" t="n"/>
      <c r="K3" s="1" t="n"/>
      <c r="L3" s="1" t="n"/>
      <c r="M3" s="1" t="n"/>
      <c r="N3" s="1" t="n"/>
      <c r="O3" s="1" t="n"/>
    </row>
    <row r="4">
      <c r="A4" s="14" t="inlineStr">
        <is>
          <t>Particulars</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4" t="inlineStr">
        <is>
          <t>Sales</t>
        </is>
      </c>
      <c r="B5" s="30" t="n">
        <v>21463.14</v>
      </c>
      <c r="C5" s="30" t="n">
        <v>17308.69</v>
      </c>
      <c r="D5" s="30" t="n">
        <v>21211.09</v>
      </c>
      <c r="E5" s="30" t="n">
        <v>23364.94</v>
      </c>
      <c r="F5" s="30" t="n">
        <v>23892.78</v>
      </c>
      <c r="G5" s="30" t="n">
        <v>28339.48</v>
      </c>
      <c r="H5" s="30" t="n">
        <v>33782.18</v>
      </c>
    </row>
    <row r="6">
      <c r="A6" s="5" t="inlineStr">
        <is>
          <t>Total COGS</t>
        </is>
      </c>
      <c r="B6" s="30" t="n">
        <v>14039.29</v>
      </c>
      <c r="C6" s="30" t="n">
        <v>11870.63</v>
      </c>
      <c r="D6" s="30" t="n">
        <v>14793.84</v>
      </c>
      <c r="E6" s="30" t="n">
        <v>16300.72</v>
      </c>
      <c r="F6" s="30" t="n">
        <v>16807.11</v>
      </c>
      <c r="G6" s="30" t="n">
        <v>18845.15</v>
      </c>
      <c r="H6" s="30" t="n">
        <v>22983.09</v>
      </c>
    </row>
    <row r="7">
      <c r="A7" s="4" t="inlineStr">
        <is>
          <t>Gross Profit</t>
        </is>
      </c>
      <c r="B7" s="31">
        <f>B5-B6</f>
        <v/>
      </c>
      <c r="C7" s="31">
        <f>C5-C6</f>
        <v/>
      </c>
      <c r="D7" s="31">
        <f>D5-D6</f>
        <v/>
      </c>
      <c r="E7" s="31">
        <f>E5-E6</f>
        <v/>
      </c>
      <c r="F7" s="31">
        <f>F5-F6</f>
        <v/>
      </c>
      <c r="G7" s="31">
        <f>G5-G6</f>
        <v/>
      </c>
      <c r="H7" s="31">
        <f>H5-H6</f>
        <v/>
      </c>
    </row>
    <row r="8">
      <c r="A8" s="5" t="inlineStr">
        <is>
          <t>Operating Expenses</t>
        </is>
      </c>
    </row>
    <row r="9">
      <c r="A9" s="5" t="inlineStr">
        <is>
          <t xml:space="preserve">   Employee Cost</t>
        </is>
      </c>
      <c r="B9" s="30" t="n">
        <v>5431.88</v>
      </c>
      <c r="C9" s="30" t="n">
        <v>5378.15</v>
      </c>
      <c r="D9" s="30" t="n">
        <v>5519.05</v>
      </c>
      <c r="E9" s="30" t="n">
        <v>5700.63</v>
      </c>
      <c r="F9" s="30" t="n">
        <v>5628.84</v>
      </c>
      <c r="G9" s="30" t="n">
        <v>5923.42</v>
      </c>
      <c r="H9" s="30" t="n">
        <v>6467.62</v>
      </c>
    </row>
    <row r="10">
      <c r="A10" s="5" t="inlineStr">
        <is>
          <t xml:space="preserve">   Selling and admin</t>
        </is>
      </c>
      <c r="B10" s="30" t="n">
        <v>2229.34</v>
      </c>
      <c r="C10" s="30" t="n">
        <v>3201.2</v>
      </c>
      <c r="D10" s="30" t="n">
        <v>162.62</v>
      </c>
      <c r="E10" s="30" t="n">
        <v>647.03</v>
      </c>
      <c r="F10" s="30" t="n">
        <v>844.23</v>
      </c>
      <c r="G10" s="30" t="n">
        <v>2329.34</v>
      </c>
      <c r="H10" s="30" t="n">
        <v>1989.28</v>
      </c>
    </row>
    <row r="11">
      <c r="A11" s="4" t="inlineStr">
        <is>
          <t>Total Operating Expenses</t>
        </is>
      </c>
      <c r="B11" s="31">
        <f>B9+B10</f>
        <v/>
      </c>
      <c r="C11" s="31">
        <f>C9+C10</f>
        <v/>
      </c>
      <c r="D11" s="31">
        <f>D9+D10</f>
        <v/>
      </c>
      <c r="E11" s="31">
        <f>E9+E10</f>
        <v/>
      </c>
      <c r="F11" s="31">
        <f>F9+F10</f>
        <v/>
      </c>
      <c r="G11" s="31">
        <f>G9+G10</f>
        <v/>
      </c>
      <c r="H11" s="31">
        <f>H9+H10</f>
        <v/>
      </c>
    </row>
    <row r="12">
      <c r="A12" s="4" t="inlineStr">
        <is>
          <t>EBITDA</t>
        </is>
      </c>
      <c r="B12" s="32">
        <f>B7-B11</f>
        <v/>
      </c>
      <c r="C12" s="32">
        <f>C7-C11</f>
        <v/>
      </c>
      <c r="D12" s="32">
        <f>D7-D11</f>
        <v/>
      </c>
      <c r="E12" s="32">
        <f>E7-E11</f>
        <v/>
      </c>
      <c r="F12" s="32">
        <f>F7-F11</f>
        <v/>
      </c>
      <c r="G12" s="32">
        <f>G7-G11</f>
        <v/>
      </c>
      <c r="H12" s="32">
        <f>H7-H11</f>
        <v/>
      </c>
    </row>
    <row r="13">
      <c r="A13" s="5" t="inlineStr">
        <is>
          <t>Depreciation &amp; Amortization</t>
        </is>
      </c>
      <c r="B13" s="30" t="n">
        <v>503.27</v>
      </c>
      <c r="C13" s="30" t="n">
        <v>473.25</v>
      </c>
      <c r="D13" s="30" t="n">
        <v>314.12</v>
      </c>
      <c r="E13" s="30" t="n">
        <v>260.34</v>
      </c>
      <c r="F13" s="30" t="n">
        <v>248.9</v>
      </c>
      <c r="G13" s="30" t="n">
        <v>271.96</v>
      </c>
      <c r="H13" s="30" t="n">
        <v>315.87</v>
      </c>
    </row>
    <row r="14">
      <c r="A14" s="4" t="inlineStr">
        <is>
          <t>EBIT</t>
        </is>
      </c>
      <c r="B14" s="33">
        <f>B12-B13</f>
        <v/>
      </c>
      <c r="C14" s="33">
        <f>C12-C13</f>
        <v/>
      </c>
      <c r="D14" s="33">
        <f>D12-D13</f>
        <v/>
      </c>
      <c r="E14" s="33">
        <f>E12-E13</f>
        <v/>
      </c>
      <c r="F14" s="33">
        <f>F12-F13</f>
        <v/>
      </c>
      <c r="G14" s="33">
        <f>G12-G13</f>
        <v/>
      </c>
      <c r="H14" s="33">
        <f>H12-H13</f>
        <v/>
      </c>
    </row>
    <row r="15">
      <c r="A15" s="5" t="inlineStr">
        <is>
          <t>Other Income</t>
        </is>
      </c>
      <c r="B15" s="30" t="n">
        <v>564.3</v>
      </c>
      <c r="C15" s="30" t="n">
        <v>348.42</v>
      </c>
      <c r="D15" s="30" t="n">
        <v>354.54</v>
      </c>
      <c r="E15" s="30" t="n">
        <v>488.63</v>
      </c>
      <c r="F15" s="30" t="n">
        <v>546.27</v>
      </c>
      <c r="G15" s="30" t="n">
        <v>465.31</v>
      </c>
      <c r="H15" s="30" t="n">
        <v>807.65</v>
      </c>
    </row>
    <row r="16">
      <c r="A16" s="5" t="inlineStr">
        <is>
          <t>Interest Paid</t>
        </is>
      </c>
      <c r="B16" s="30" t="n">
        <v>508.45</v>
      </c>
      <c r="C16" s="30" t="n">
        <v>373.95</v>
      </c>
      <c r="D16" s="30" t="n">
        <v>355.96</v>
      </c>
      <c r="E16" s="30" t="n">
        <v>521.4299999999999</v>
      </c>
      <c r="F16" s="30" t="n">
        <v>731.29</v>
      </c>
      <c r="G16" s="30" t="n">
        <v>748.33</v>
      </c>
      <c r="H16" s="30" t="n">
        <v>756.41</v>
      </c>
    </row>
    <row r="17">
      <c r="A17" s="4" t="inlineStr">
        <is>
          <t>Profit Before Tax (PBT)</t>
        </is>
      </c>
      <c r="B17" s="31">
        <f>B14+B15-B16</f>
        <v/>
      </c>
      <c r="C17" s="31">
        <f>C14+C15-C16</f>
        <v/>
      </c>
      <c r="D17" s="31">
        <f>D14+D15-D16</f>
        <v/>
      </c>
      <c r="E17" s="31">
        <f>E14+E15-E16</f>
        <v/>
      </c>
      <c r="F17" s="31">
        <f>F14+F15-F16</f>
        <v/>
      </c>
      <c r="G17" s="31">
        <f>G14+G15-G16</f>
        <v/>
      </c>
      <c r="H17" s="31">
        <f>H14+H15-H16</f>
        <v/>
      </c>
    </row>
    <row r="18">
      <c r="A18" s="5" t="inlineStr">
        <is>
          <t>Tax</t>
        </is>
      </c>
      <c r="B18" s="30" t="n">
        <v>809.28</v>
      </c>
      <c r="C18" s="30" t="n">
        <v>-896.23</v>
      </c>
      <c r="D18" s="30" t="n">
        <v>25.75</v>
      </c>
      <c r="E18" s="30" t="n">
        <v>2.05</v>
      </c>
      <c r="F18" s="30" t="n">
        <v>-39.56</v>
      </c>
      <c r="G18" s="30" t="n">
        <v>211.7</v>
      </c>
      <c r="H18" s="30" t="n">
        <v>538.35</v>
      </c>
    </row>
    <row r="19">
      <c r="A19" s="5" t="inlineStr">
        <is>
          <t>Adjustments (share of profit of JV/associates)</t>
        </is>
      </c>
      <c r="B19" s="30" t="n">
        <v>25.72</v>
      </c>
      <c r="C19" s="30" t="n">
        <v>44.14</v>
      </c>
      <c r="D19" s="30" t="n">
        <v>50.42</v>
      </c>
      <c r="E19" s="30" t="n">
        <v>56.02</v>
      </c>
      <c r="F19" s="30" t="n">
        <v>63.98</v>
      </c>
      <c r="G19" s="30" t="n">
        <v>59.01</v>
      </c>
      <c r="H19" s="30" t="n">
        <v>61.05</v>
      </c>
    </row>
    <row r="20">
      <c r="A20" s="4" t="inlineStr">
        <is>
          <t>Profit After Tax (PAT)</t>
        </is>
      </c>
      <c r="B20" s="34">
        <f>B17-B18+B19</f>
        <v/>
      </c>
      <c r="C20" s="34">
        <f>C17-C18+C19</f>
        <v/>
      </c>
      <c r="D20" s="34">
        <f>D17-D18+D19</f>
        <v/>
      </c>
      <c r="E20" s="34">
        <f>E17-E18+E19</f>
        <v/>
      </c>
      <c r="F20" s="34">
        <f>F17-F18+F19</f>
        <v/>
      </c>
      <c r="G20" s="34">
        <f>G17-G18+G19</f>
        <v/>
      </c>
      <c r="H20" s="34">
        <f>H17-H18+H19</f>
        <v/>
      </c>
    </row>
    <row r="21">
      <c r="A21" s="5" t="inlineStr">
        <is>
          <t>EPS (INR)</t>
        </is>
      </c>
      <c r="B21" s="35">
        <f>B20/'Assumptions'!C68</f>
        <v/>
      </c>
      <c r="C21" s="35">
        <f>C20/'Assumptions'!C68</f>
        <v/>
      </c>
      <c r="D21" s="35">
        <f>D20/'Assumptions'!C68</f>
        <v/>
      </c>
      <c r="E21" s="35">
        <f>E20/'Assumptions'!C68</f>
        <v/>
      </c>
      <c r="F21" s="35">
        <f>F20/'Assumptions'!C68</f>
        <v/>
      </c>
      <c r="G21" s="35">
        <f>G20/'Assumptions'!C68</f>
        <v/>
      </c>
      <c r="H21" s="35">
        <f>H20/'Assumptions'!C68</f>
        <v/>
      </c>
    </row>
    <row r="22">
      <c r="A22" s="5" t="inlineStr">
        <is>
          <t>Dividend</t>
        </is>
      </c>
      <c r="B22" s="30" t="n">
        <v>504.56</v>
      </c>
      <c r="C22" s="30" t="n">
        <v>0.68</v>
      </c>
      <c r="D22" s="30" t="n">
        <v>0.3</v>
      </c>
      <c r="E22" s="30" t="n">
        <v>139.18</v>
      </c>
      <c r="F22" s="30" t="n">
        <v>139.45</v>
      </c>
      <c r="G22" s="30" t="n">
        <v>87.44</v>
      </c>
      <c r="H22" s="30" t="n">
        <v>174.64</v>
      </c>
    </row>
    <row r="23">
      <c r="A23" s="7" t="inlineStr">
        <is>
          <t>Memo: total operating cost (COGS+OpEx)</t>
        </is>
      </c>
      <c r="B23" s="33">
        <f>B6+B11</f>
        <v/>
      </c>
      <c r="C23" s="33">
        <f>C6+C11</f>
        <v/>
      </c>
      <c r="D23" s="33">
        <f>D6+D11</f>
        <v/>
      </c>
      <c r="E23" s="33">
        <f>E6+E11</f>
        <v/>
      </c>
      <c r="F23" s="33">
        <f>F6+F11</f>
        <v/>
      </c>
      <c r="G23" s="33">
        <f>G6+G11</f>
        <v/>
      </c>
      <c r="H23" s="33">
        <f>H6+H11</f>
        <v/>
      </c>
    </row>
    <row r="24">
      <c r="A24" s="13" t="inlineStr">
        <is>
          <t>AUDITED consolidated figures (Annual Reports FY20-21/FY22-23/FY24-25 + FY26 BSE filing). By-nature costs mapped to gross-profit format: COGS = materials + inventory change; Selling/admin = other expenses (+ FX &amp; provisions in FY20/21); Adjustments = share of JV/associate profit. Each year reproduces audited PBT &amp; PAT exactly.</t>
        </is>
      </c>
    </row>
    <row r="26">
      <c r="A26" s="11" t="inlineStr">
        <is>
          <t>B.  BALANCE SHEET</t>
        </is>
      </c>
      <c r="B26" s="1" t="n"/>
      <c r="C26" s="1" t="n"/>
      <c r="D26" s="1" t="n"/>
      <c r="E26" s="1" t="n"/>
      <c r="F26" s="1" t="n"/>
      <c r="G26" s="1" t="n"/>
      <c r="H26" s="1" t="n"/>
      <c r="I26" s="1" t="n"/>
      <c r="J26" s="1" t="n"/>
      <c r="K26" s="1" t="n"/>
      <c r="L26" s="1" t="n"/>
      <c r="M26" s="1" t="n"/>
      <c r="N26" s="1" t="n"/>
      <c r="O26" s="1" t="n"/>
    </row>
    <row r="27">
      <c r="A27" s="14" t="inlineStr">
        <is>
          <t>Particulars</t>
        </is>
      </c>
      <c r="B27" s="15" t="inlineStr">
        <is>
          <t>FY2020</t>
        </is>
      </c>
      <c r="C27" s="15" t="inlineStr">
        <is>
          <t>FY2021</t>
        </is>
      </c>
      <c r="D27" s="15" t="inlineStr">
        <is>
          <t>FY2022</t>
        </is>
      </c>
      <c r="E27" s="15" t="inlineStr">
        <is>
          <t>FY2023</t>
        </is>
      </c>
      <c r="F27" s="15" t="inlineStr">
        <is>
          <t>FY2024</t>
        </is>
      </c>
      <c r="G27" s="15" t="inlineStr">
        <is>
          <t>FY2025</t>
        </is>
      </c>
      <c r="H27" s="15" t="inlineStr">
        <is>
          <t>FY2026</t>
        </is>
      </c>
      <c r="I27" s="15" t="inlineStr">
        <is>
          <t>FY2027</t>
        </is>
      </c>
      <c r="J27" s="15" t="inlineStr">
        <is>
          <t>FY2028</t>
        </is>
      </c>
      <c r="K27" s="15" t="inlineStr">
        <is>
          <t>FY2029</t>
        </is>
      </c>
      <c r="L27" s="15" t="inlineStr">
        <is>
          <t>FY2030</t>
        </is>
      </c>
      <c r="M27" s="15" t="inlineStr">
        <is>
          <t>FY2031</t>
        </is>
      </c>
      <c r="N27" s="15" t="inlineStr">
        <is>
          <t>FY2032</t>
        </is>
      </c>
      <c r="O27" s="15" t="inlineStr">
        <is>
          <t>FY2033</t>
        </is>
      </c>
    </row>
    <row r="28">
      <c r="A28" s="5" t="inlineStr">
        <is>
          <t>Net property, plant &amp; equipment</t>
        </is>
      </c>
      <c r="B28" s="30" t="n">
        <v>2824.38</v>
      </c>
      <c r="C28" s="30" t="n">
        <v>2507.49</v>
      </c>
      <c r="D28" s="30" t="n">
        <v>2407.12</v>
      </c>
      <c r="E28" s="30" t="n">
        <v>2485.24</v>
      </c>
      <c r="F28" s="30" t="n">
        <v>2600.08</v>
      </c>
      <c r="G28" s="30" t="n">
        <v>2980.91</v>
      </c>
      <c r="H28" s="30" t="n">
        <v>3094.38</v>
      </c>
    </row>
    <row r="29">
      <c r="A29" s="5" t="inlineStr">
        <is>
          <t>Capital work-in-progress</t>
        </is>
      </c>
      <c r="B29" s="30" t="n">
        <v>306.74</v>
      </c>
      <c r="C29" s="30" t="n">
        <v>403.21</v>
      </c>
      <c r="D29" s="30" t="n">
        <v>422.32</v>
      </c>
      <c r="E29" s="30" t="n">
        <v>344.59</v>
      </c>
      <c r="F29" s="30" t="n">
        <v>282.32</v>
      </c>
      <c r="G29" s="30" t="n">
        <v>161.7</v>
      </c>
      <c r="H29" s="30" t="n">
        <v>399.2</v>
      </c>
    </row>
    <row r="30">
      <c r="A30" s="5" t="inlineStr">
        <is>
          <t>Investments</t>
        </is>
      </c>
      <c r="B30" s="30" t="n">
        <v>162.06</v>
      </c>
      <c r="C30" s="30" t="n">
        <v>185.34</v>
      </c>
      <c r="D30" s="30" t="n">
        <v>205.15</v>
      </c>
      <c r="E30" s="30" t="n">
        <v>235.42</v>
      </c>
      <c r="F30" s="30" t="n">
        <v>255.67</v>
      </c>
      <c r="G30" s="30" t="n">
        <v>275.57</v>
      </c>
      <c r="H30" s="30" t="n">
        <v>302.06</v>
      </c>
    </row>
    <row r="31">
      <c r="A31" s="5" t="inlineStr">
        <is>
          <t>Other assets (inventory, receivables, cash, contract &amp; other)</t>
        </is>
      </c>
      <c r="B31" s="30" t="n">
        <v>56455.38</v>
      </c>
      <c r="C31" s="30" t="n">
        <v>52144.17</v>
      </c>
      <c r="D31" s="30" t="n">
        <v>53209.17</v>
      </c>
      <c r="E31" s="30" t="n">
        <v>56304.53999999999</v>
      </c>
      <c r="F31" s="30" t="n">
        <v>55863.85000000001</v>
      </c>
      <c r="G31" s="30" t="n">
        <v>64665</v>
      </c>
      <c r="H31" s="30" t="n">
        <v>72389.97</v>
      </c>
    </row>
    <row r="32">
      <c r="A32" s="4" t="inlineStr">
        <is>
          <t>TOTAL ASSETS</t>
        </is>
      </c>
      <c r="B32" s="34">
        <f>SUM(B28:B31)</f>
        <v/>
      </c>
      <c r="C32" s="34">
        <f>SUM(C28:C31)</f>
        <v/>
      </c>
      <c r="D32" s="34">
        <f>SUM(D28:D31)</f>
        <v/>
      </c>
      <c r="E32" s="34">
        <f>SUM(E28:E31)</f>
        <v/>
      </c>
      <c r="F32" s="34">
        <f>SUM(F28:F31)</f>
        <v/>
      </c>
      <c r="G32" s="34">
        <f>SUM(G28:G31)</f>
        <v/>
      </c>
      <c r="H32" s="34">
        <f>SUM(H28:H31)</f>
        <v/>
      </c>
    </row>
    <row r="33">
      <c r="A33" s="5" t="inlineStr">
        <is>
          <t>Equity share capital</t>
        </is>
      </c>
      <c r="B33" s="30" t="n">
        <v>696.41</v>
      </c>
      <c r="C33" s="30" t="n">
        <v>696.41</v>
      </c>
      <c r="D33" s="30" t="n">
        <v>696.41</v>
      </c>
      <c r="E33" s="30" t="n">
        <v>696.41</v>
      </c>
      <c r="F33" s="30" t="n">
        <v>696.41</v>
      </c>
      <c r="G33" s="30" t="n">
        <v>696.41</v>
      </c>
      <c r="H33" s="30" t="n">
        <v>696.41</v>
      </c>
    </row>
    <row r="34">
      <c r="A34" s="5" t="inlineStr">
        <is>
          <t>Other equity (reserves &amp; surplus)</t>
        </is>
      </c>
      <c r="B34" s="30" t="n">
        <v>27955.24</v>
      </c>
      <c r="C34" s="30" t="n">
        <v>25275.59</v>
      </c>
      <c r="D34" s="30" t="n">
        <v>25810.19</v>
      </c>
      <c r="E34" s="30" t="n">
        <v>26131.62</v>
      </c>
      <c r="F34" s="30" t="n">
        <v>23742.24</v>
      </c>
      <c r="G34" s="30" t="n">
        <v>24025.75</v>
      </c>
      <c r="H34" s="30" t="n">
        <v>25450.19</v>
      </c>
    </row>
    <row r="35">
      <c r="A35" s="5" t="inlineStr">
        <is>
          <t>Borrowings (incl. lease liabilities)</t>
        </is>
      </c>
      <c r="B35" s="30" t="n">
        <v>5079.96</v>
      </c>
      <c r="C35" s="30" t="n">
        <v>4950.889999999999</v>
      </c>
      <c r="D35" s="30" t="n">
        <v>4829.93</v>
      </c>
      <c r="E35" s="30" t="n">
        <v>5453.51</v>
      </c>
      <c r="F35" s="30" t="n">
        <v>8856.459999999999</v>
      </c>
      <c r="G35" s="30" t="n">
        <v>9014.599999999999</v>
      </c>
      <c r="H35" s="30" t="n">
        <v>8186.950000000001</v>
      </c>
    </row>
    <row r="36">
      <c r="A36" s="5" t="inlineStr">
        <is>
          <t>Other liabilities (payables, advances, provisions)</t>
        </is>
      </c>
      <c r="B36" s="30" t="n">
        <v>26016.95</v>
      </c>
      <c r="C36" s="30" t="n">
        <v>24317.31</v>
      </c>
      <c r="D36" s="30" t="n">
        <v>24907.23</v>
      </c>
      <c r="E36" s="30" t="n">
        <v>27088.24</v>
      </c>
      <c r="F36" s="30" t="n">
        <v>25706.81</v>
      </c>
      <c r="G36" s="30" t="n">
        <v>34346.42</v>
      </c>
      <c r="H36" s="30" t="n">
        <v>41852.06</v>
      </c>
    </row>
    <row r="37">
      <c r="A37" s="4" t="inlineStr">
        <is>
          <t>TOTAL EQUITY &amp; LIABILITIES</t>
        </is>
      </c>
      <c r="B37" s="34">
        <f>SUM(B33:B36)</f>
        <v/>
      </c>
      <c r="C37" s="34">
        <f>SUM(C33:C36)</f>
        <v/>
      </c>
      <c r="D37" s="34">
        <f>SUM(D33:D36)</f>
        <v/>
      </c>
      <c r="E37" s="34">
        <f>SUM(E33:E36)</f>
        <v/>
      </c>
      <c r="F37" s="34">
        <f>SUM(F33:F36)</f>
        <v/>
      </c>
      <c r="G37" s="34">
        <f>SUM(G33:G36)</f>
        <v/>
      </c>
      <c r="H37" s="34">
        <f>SUM(H33:H36)</f>
        <v/>
      </c>
    </row>
    <row r="38">
      <c r="A38" s="5" t="inlineStr">
        <is>
          <t>Balance check (TA - TE&amp;L)</t>
        </is>
      </c>
      <c r="B38" s="33">
        <f>B32-B37</f>
        <v/>
      </c>
      <c r="C38" s="33">
        <f>C32-C37</f>
        <v/>
      </c>
      <c r="D38" s="33">
        <f>D32-D37</f>
        <v/>
      </c>
      <c r="E38" s="33">
        <f>E32-E37</f>
        <v/>
      </c>
      <c r="F38" s="33">
        <f>F32-F37</f>
        <v/>
      </c>
      <c r="G38" s="33">
        <f>G32-G37</f>
        <v/>
      </c>
      <c r="H38" s="33">
        <f>H32-H37</f>
        <v/>
      </c>
    </row>
    <row r="40">
      <c r="A40" s="11" t="inlineStr">
        <is>
          <t>C.  CASH FLOW STATEMENT (reported summary)</t>
        </is>
      </c>
      <c r="B40" s="1" t="n"/>
      <c r="C40" s="1" t="n"/>
      <c r="D40" s="1" t="n"/>
      <c r="E40" s="1" t="n"/>
      <c r="F40" s="1" t="n"/>
      <c r="G40" s="1" t="n"/>
      <c r="H40" s="1" t="n"/>
      <c r="I40" s="1" t="n"/>
      <c r="J40" s="1" t="n"/>
      <c r="K40" s="1" t="n"/>
      <c r="L40" s="1" t="n"/>
      <c r="M40" s="1" t="n"/>
      <c r="N40" s="1" t="n"/>
      <c r="O40" s="1" t="n"/>
    </row>
    <row r="41">
      <c r="A41" s="14" t="inlineStr">
        <is>
          <t>Particulars</t>
        </is>
      </c>
      <c r="B41" s="15" t="inlineStr">
        <is>
          <t>FY2020</t>
        </is>
      </c>
      <c r="C41" s="15" t="inlineStr">
        <is>
          <t>FY2021</t>
        </is>
      </c>
      <c r="D41" s="15" t="inlineStr">
        <is>
          <t>FY2022</t>
        </is>
      </c>
      <c r="E41" s="15" t="inlineStr">
        <is>
          <t>FY2023</t>
        </is>
      </c>
      <c r="F41" s="15" t="inlineStr">
        <is>
          <t>FY2024</t>
        </is>
      </c>
      <c r="G41" s="15" t="inlineStr">
        <is>
          <t>FY2025</t>
        </is>
      </c>
      <c r="H41" s="15" t="inlineStr">
        <is>
          <t>FY2026</t>
        </is>
      </c>
      <c r="I41" s="15" t="inlineStr">
        <is>
          <t>FY2027</t>
        </is>
      </c>
      <c r="J41" s="15" t="inlineStr">
        <is>
          <t>FY2028</t>
        </is>
      </c>
      <c r="K41" s="15" t="inlineStr">
        <is>
          <t>FY2029</t>
        </is>
      </c>
      <c r="L41" s="15" t="inlineStr">
        <is>
          <t>FY2030</t>
        </is>
      </c>
      <c r="M41" s="15" t="inlineStr">
        <is>
          <t>FY2031</t>
        </is>
      </c>
      <c r="N41" s="15" t="inlineStr">
        <is>
          <t>FY2032</t>
        </is>
      </c>
      <c r="O41" s="15" t="inlineStr">
        <is>
          <t>FY2033</t>
        </is>
      </c>
    </row>
    <row r="42">
      <c r="A42" s="5" t="inlineStr">
        <is>
          <t>Cash flow from operating activities</t>
        </is>
      </c>
      <c r="B42" s="30" t="n">
        <v>-2891.5</v>
      </c>
      <c r="C42" s="30" t="n">
        <v>561.6</v>
      </c>
      <c r="D42" s="30" t="n">
        <v>660.25</v>
      </c>
      <c r="E42" s="30" t="n">
        <v>-741.52</v>
      </c>
      <c r="F42" s="30" t="n">
        <v>-3712.9</v>
      </c>
      <c r="G42" s="30" t="n">
        <v>2191.89</v>
      </c>
      <c r="H42" s="30" t="n">
        <v>5837.38</v>
      </c>
    </row>
    <row r="43">
      <c r="A43" s="5" t="inlineStr">
        <is>
          <t>Cash flow from investing activities</t>
        </is>
      </c>
      <c r="B43" s="30" t="n">
        <v>1877.06</v>
      </c>
      <c r="C43" s="30" t="n">
        <v>-42.5</v>
      </c>
      <c r="D43" s="30" t="n">
        <v>-1125.32</v>
      </c>
      <c r="E43" s="30" t="n">
        <v>1480.46</v>
      </c>
      <c r="F43" s="30" t="n">
        <v>1330.86</v>
      </c>
      <c r="G43" s="30" t="n">
        <v>-2730.91</v>
      </c>
      <c r="H43" s="30" t="n">
        <v>-3035.41</v>
      </c>
    </row>
    <row r="44">
      <c r="A44" s="5" t="inlineStr">
        <is>
          <t>Cash flow from financing activities</t>
        </is>
      </c>
      <c r="B44" s="30" t="n">
        <v>1621.99</v>
      </c>
      <c r="C44" s="30" t="n">
        <v>-395.81</v>
      </c>
      <c r="D44" s="30" t="n">
        <v>-329.49</v>
      </c>
      <c r="E44" s="30" t="n">
        <v>88.95999999999999</v>
      </c>
      <c r="F44" s="30" t="n">
        <v>2655.74</v>
      </c>
      <c r="G44" s="30" t="n">
        <v>-856.8099999999999</v>
      </c>
      <c r="H44" s="30" t="n">
        <v>-1805.73</v>
      </c>
    </row>
    <row r="45">
      <c r="A45" s="4" t="inlineStr">
        <is>
          <t>Net increase/(decrease) in cash</t>
        </is>
      </c>
      <c r="B45" s="34">
        <f>SUM(B42:B44)</f>
        <v/>
      </c>
      <c r="C45" s="34">
        <f>SUM(C42:C44)</f>
        <v/>
      </c>
      <c r="D45" s="34">
        <f>SUM(D42:D44)</f>
        <v/>
      </c>
      <c r="E45" s="34">
        <f>SUM(E42:E44)</f>
        <v/>
      </c>
      <c r="F45" s="34">
        <f>SUM(F42:F44)</f>
        <v/>
      </c>
      <c r="G45" s="34">
        <f>SUM(G42:G44)</f>
        <v/>
      </c>
      <c r="H45" s="34">
        <f>SUM(H42:H44)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5"/>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HISTORICAL RATIO ANALYSIS</t>
        </is>
      </c>
      <c r="B1" s="1" t="n"/>
      <c r="C1" s="1" t="n"/>
      <c r="D1" s="1" t="n"/>
      <c r="E1" s="1" t="n"/>
      <c r="F1" s="1" t="n"/>
      <c r="G1" s="1" t="n"/>
      <c r="H1" s="1" t="n"/>
      <c r="I1" s="1" t="n"/>
      <c r="J1" s="1" t="n"/>
      <c r="K1" s="1" t="n"/>
      <c r="L1" s="1" t="n"/>
      <c r="M1" s="1" t="n"/>
      <c r="N1" s="1" t="n"/>
      <c r="O1" s="1" t="n"/>
    </row>
    <row r="3">
      <c r="A3" s="14" t="inlineStr">
        <is>
          <t>INR Crore</t>
        </is>
      </c>
      <c r="B3" s="15" t="inlineStr">
        <is>
          <t>FY2020</t>
        </is>
      </c>
      <c r="C3" s="15" t="inlineStr">
        <is>
          <t>FY2021</t>
        </is>
      </c>
      <c r="D3" s="15" t="inlineStr">
        <is>
          <t>FY2022</t>
        </is>
      </c>
      <c r="E3" s="15" t="inlineStr">
        <is>
          <t>FY2023</t>
        </is>
      </c>
      <c r="F3" s="15" t="inlineStr">
        <is>
          <t>FY2024</t>
        </is>
      </c>
      <c r="G3" s="15" t="inlineStr">
        <is>
          <t>FY2025</t>
        </is>
      </c>
      <c r="H3" s="15" t="inlineStr">
        <is>
          <t>FY2026</t>
        </is>
      </c>
      <c r="I3" s="15" t="inlineStr">
        <is>
          <t>FY2027</t>
        </is>
      </c>
      <c r="J3" s="15" t="inlineStr">
        <is>
          <t>FY2028</t>
        </is>
      </c>
      <c r="K3" s="15" t="inlineStr">
        <is>
          <t>FY2029</t>
        </is>
      </c>
      <c r="L3" s="15" t="inlineStr">
        <is>
          <t>FY2030</t>
        </is>
      </c>
      <c r="M3" s="15" t="inlineStr">
        <is>
          <t>FY2031</t>
        </is>
      </c>
      <c r="N3" s="15" t="inlineStr">
        <is>
          <t>FY2032</t>
        </is>
      </c>
      <c r="O3" s="15" t="inlineStr">
        <is>
          <t>FY2033</t>
        </is>
      </c>
    </row>
    <row r="4">
      <c r="A4" s="11" t="inlineStr">
        <is>
          <t>Growth &amp; profitability</t>
        </is>
      </c>
      <c r="B4" s="1" t="n"/>
      <c r="C4" s="1" t="n"/>
      <c r="D4" s="1" t="n"/>
      <c r="E4" s="1" t="n"/>
      <c r="F4" s="1" t="n"/>
      <c r="G4" s="1" t="n"/>
      <c r="H4" s="1" t="n"/>
      <c r="I4" s="1" t="n"/>
      <c r="J4" s="1" t="n"/>
      <c r="K4" s="1" t="n"/>
      <c r="L4" s="1" t="n"/>
      <c r="M4" s="1" t="n"/>
      <c r="N4" s="1" t="n"/>
      <c r="O4" s="1" t="n"/>
    </row>
    <row r="5">
      <c r="A5" s="5" t="inlineStr">
        <is>
          <t>Revenue growth %</t>
        </is>
      </c>
      <c r="C5" s="36">
        <f>'Historical Financial Statements'!C5/'Historical Financial Statements'!B5-1</f>
        <v/>
      </c>
      <c r="D5" s="36">
        <f>'Historical Financial Statements'!D5/'Historical Financial Statements'!C5-1</f>
        <v/>
      </c>
      <c r="E5" s="36">
        <f>'Historical Financial Statements'!E5/'Historical Financial Statements'!D5-1</f>
        <v/>
      </c>
      <c r="F5" s="36">
        <f>'Historical Financial Statements'!F5/'Historical Financial Statements'!E5-1</f>
        <v/>
      </c>
      <c r="G5" s="36">
        <f>'Historical Financial Statements'!G5/'Historical Financial Statements'!F5-1</f>
        <v/>
      </c>
      <c r="H5" s="36">
        <f>'Historical Financial Statements'!H5/'Historical Financial Statements'!G5-1</f>
        <v/>
      </c>
    </row>
    <row r="6">
      <c r="A6" s="5" t="inlineStr">
        <is>
          <t>Gross margin %</t>
        </is>
      </c>
      <c r="B6" s="36">
        <f>'Historical Financial Statements'!B7/'Historical Financial Statements'!B5</f>
        <v/>
      </c>
      <c r="C6" s="36">
        <f>'Historical Financial Statements'!C7/'Historical Financial Statements'!C5</f>
        <v/>
      </c>
      <c r="D6" s="36">
        <f>'Historical Financial Statements'!D7/'Historical Financial Statements'!D5</f>
        <v/>
      </c>
      <c r="E6" s="36">
        <f>'Historical Financial Statements'!E7/'Historical Financial Statements'!E5</f>
        <v/>
      </c>
      <c r="F6" s="36">
        <f>'Historical Financial Statements'!F7/'Historical Financial Statements'!F5</f>
        <v/>
      </c>
      <c r="G6" s="36">
        <f>'Historical Financial Statements'!G7/'Historical Financial Statements'!G5</f>
        <v/>
      </c>
      <c r="H6" s="36">
        <f>'Historical Financial Statements'!H7/'Historical Financial Statements'!H5</f>
        <v/>
      </c>
    </row>
    <row r="7">
      <c r="A7" s="5" t="inlineStr">
        <is>
          <t>EBITDA margin %</t>
        </is>
      </c>
      <c r="B7" s="36">
        <f>'Historical Financial Statements'!B12/'Historical Financial Statements'!B5</f>
        <v/>
      </c>
      <c r="C7" s="36">
        <f>'Historical Financial Statements'!C12/'Historical Financial Statements'!C5</f>
        <v/>
      </c>
      <c r="D7" s="36">
        <f>'Historical Financial Statements'!D12/'Historical Financial Statements'!D5</f>
        <v/>
      </c>
      <c r="E7" s="36">
        <f>'Historical Financial Statements'!E12/'Historical Financial Statements'!E5</f>
        <v/>
      </c>
      <c r="F7" s="36">
        <f>'Historical Financial Statements'!F12/'Historical Financial Statements'!F5</f>
        <v/>
      </c>
      <c r="G7" s="36">
        <f>'Historical Financial Statements'!G12/'Historical Financial Statements'!G5</f>
        <v/>
      </c>
      <c r="H7" s="36">
        <f>'Historical Financial Statements'!H12/'Historical Financial Statements'!H5</f>
        <v/>
      </c>
    </row>
    <row r="8">
      <c r="A8" s="5" t="inlineStr">
        <is>
          <t>EBIT margin %</t>
        </is>
      </c>
      <c r="B8" s="36">
        <f>'Historical Financial Statements'!B14/'Historical Financial Statements'!B5</f>
        <v/>
      </c>
      <c r="C8" s="36">
        <f>'Historical Financial Statements'!C14/'Historical Financial Statements'!C5</f>
        <v/>
      </c>
      <c r="D8" s="36">
        <f>'Historical Financial Statements'!D14/'Historical Financial Statements'!D5</f>
        <v/>
      </c>
      <c r="E8" s="36">
        <f>'Historical Financial Statements'!E14/'Historical Financial Statements'!E5</f>
        <v/>
      </c>
      <c r="F8" s="36">
        <f>'Historical Financial Statements'!F14/'Historical Financial Statements'!F5</f>
        <v/>
      </c>
      <c r="G8" s="36">
        <f>'Historical Financial Statements'!G14/'Historical Financial Statements'!G5</f>
        <v/>
      </c>
      <c r="H8" s="36">
        <f>'Historical Financial Statements'!H14/'Historical Financial Statements'!H5</f>
        <v/>
      </c>
    </row>
    <row r="9">
      <c r="A9" s="5" t="inlineStr">
        <is>
          <t>PAT margin %</t>
        </is>
      </c>
      <c r="B9" s="36">
        <f>'Historical Financial Statements'!B20/'Historical Financial Statements'!B5</f>
        <v/>
      </c>
      <c r="C9" s="36">
        <f>'Historical Financial Statements'!C20/'Historical Financial Statements'!C5</f>
        <v/>
      </c>
      <c r="D9" s="36">
        <f>'Historical Financial Statements'!D20/'Historical Financial Statements'!D5</f>
        <v/>
      </c>
      <c r="E9" s="36">
        <f>'Historical Financial Statements'!E20/'Historical Financial Statements'!E5</f>
        <v/>
      </c>
      <c r="F9" s="36">
        <f>'Historical Financial Statements'!F20/'Historical Financial Statements'!F5</f>
        <v/>
      </c>
      <c r="G9" s="36">
        <f>'Historical Financial Statements'!G20/'Historical Financial Statements'!G5</f>
        <v/>
      </c>
      <c r="H9" s="36">
        <f>'Historical Financial Statements'!H20/'Historical Financial Statements'!H5</f>
        <v/>
      </c>
    </row>
    <row r="11">
      <c r="A11" s="11" t="inlineStr">
        <is>
          <t>Returns</t>
        </is>
      </c>
      <c r="B11" s="1" t="n"/>
      <c r="C11" s="1" t="n"/>
      <c r="D11" s="1" t="n"/>
      <c r="E11" s="1" t="n"/>
      <c r="F11" s="1" t="n"/>
      <c r="G11" s="1" t="n"/>
      <c r="H11" s="1" t="n"/>
      <c r="I11" s="1" t="n"/>
      <c r="J11" s="1" t="n"/>
      <c r="K11" s="1" t="n"/>
      <c r="L11" s="1" t="n"/>
      <c r="M11" s="1" t="n"/>
      <c r="N11" s="1" t="n"/>
      <c r="O11" s="1" t="n"/>
    </row>
    <row r="12">
      <c r="A12" s="5" t="inlineStr">
        <is>
          <t>ROE %</t>
        </is>
      </c>
      <c r="C12" s="36">
        <f>'Historical Financial Statements'!C20/(('Historical Financial Statements'!C33+'Historical Financial Statements'!C34+'Historical Financial Statements'!B33+'Historical Financial Statements'!B34)/2)</f>
        <v/>
      </c>
      <c r="D12" s="36">
        <f>'Historical Financial Statements'!D20/(('Historical Financial Statements'!D33+'Historical Financial Statements'!D34+'Historical Financial Statements'!C33+'Historical Financial Statements'!C34)/2)</f>
        <v/>
      </c>
      <c r="E12" s="36">
        <f>'Historical Financial Statements'!E20/(('Historical Financial Statements'!E33+'Historical Financial Statements'!E34+'Historical Financial Statements'!D33+'Historical Financial Statements'!D34)/2)</f>
        <v/>
      </c>
      <c r="F12" s="36">
        <f>'Historical Financial Statements'!F20/(('Historical Financial Statements'!F33+'Historical Financial Statements'!F34+'Historical Financial Statements'!E33+'Historical Financial Statements'!E34)/2)</f>
        <v/>
      </c>
      <c r="G12" s="36">
        <f>'Historical Financial Statements'!G20/(('Historical Financial Statements'!G33+'Historical Financial Statements'!G34+'Historical Financial Statements'!F33+'Historical Financial Statements'!F34)/2)</f>
        <v/>
      </c>
      <c r="H12" s="36">
        <f>'Historical Financial Statements'!H20/(('Historical Financial Statements'!H33+'Historical Financial Statements'!H34+'Historical Financial Statements'!G33+'Historical Financial Statements'!G34)/2)</f>
        <v/>
      </c>
    </row>
    <row r="13">
      <c r="A13" s="5" t="inlineStr">
        <is>
          <t>ROCE %</t>
        </is>
      </c>
      <c r="B13" s="36">
        <f>'Historical Financial Statements'!B14/('Historical Financial Statements'!B33+'Historical Financial Statements'!B34+'Historical Financial Statements'!B35)</f>
        <v/>
      </c>
      <c r="C13" s="36">
        <f>'Historical Financial Statements'!C14/('Historical Financial Statements'!C33+'Historical Financial Statements'!C34+'Historical Financial Statements'!C35)</f>
        <v/>
      </c>
      <c r="D13" s="36">
        <f>'Historical Financial Statements'!D14/('Historical Financial Statements'!D33+'Historical Financial Statements'!D34+'Historical Financial Statements'!D35)</f>
        <v/>
      </c>
      <c r="E13" s="36">
        <f>'Historical Financial Statements'!E14/('Historical Financial Statements'!E33+'Historical Financial Statements'!E34+'Historical Financial Statements'!E35)</f>
        <v/>
      </c>
      <c r="F13" s="36">
        <f>'Historical Financial Statements'!F14/('Historical Financial Statements'!F33+'Historical Financial Statements'!F34+'Historical Financial Statements'!F35)</f>
        <v/>
      </c>
      <c r="G13" s="36">
        <f>'Historical Financial Statements'!G14/('Historical Financial Statements'!G33+'Historical Financial Statements'!G34+'Historical Financial Statements'!G35)</f>
        <v/>
      </c>
      <c r="H13" s="36">
        <f>'Historical Financial Statements'!H14/('Historical Financial Statements'!H33+'Historical Financial Statements'!H34+'Historical Financial Statements'!H35)</f>
        <v/>
      </c>
    </row>
    <row r="14">
      <c r="A14" s="5" t="inlineStr">
        <is>
          <t>ROA %</t>
        </is>
      </c>
      <c r="B14" s="36">
        <f>'Historical Financial Statements'!B20/'Historical Financial Statements'!B32</f>
        <v/>
      </c>
      <c r="C14" s="36">
        <f>'Historical Financial Statements'!C20/'Historical Financial Statements'!C32</f>
        <v/>
      </c>
      <c r="D14" s="36">
        <f>'Historical Financial Statements'!D20/'Historical Financial Statements'!D32</f>
        <v/>
      </c>
      <c r="E14" s="36">
        <f>'Historical Financial Statements'!E20/'Historical Financial Statements'!E32</f>
        <v/>
      </c>
      <c r="F14" s="36">
        <f>'Historical Financial Statements'!F20/'Historical Financial Statements'!F32</f>
        <v/>
      </c>
      <c r="G14" s="36">
        <f>'Historical Financial Statements'!G20/'Historical Financial Statements'!G32</f>
        <v/>
      </c>
      <c r="H14" s="36">
        <f>'Historical Financial Statements'!H20/'Historical Financial Statements'!H32</f>
        <v/>
      </c>
    </row>
    <row r="16">
      <c r="A16" s="11" t="inlineStr">
        <is>
          <t>Leverage &amp; liquidity</t>
        </is>
      </c>
      <c r="B16" s="1" t="n"/>
      <c r="C16" s="1" t="n"/>
      <c r="D16" s="1" t="n"/>
      <c r="E16" s="1" t="n"/>
      <c r="F16" s="1" t="n"/>
      <c r="G16" s="1" t="n"/>
      <c r="H16" s="1" t="n"/>
      <c r="I16" s="1" t="n"/>
      <c r="J16" s="1" t="n"/>
      <c r="K16" s="1" t="n"/>
      <c r="L16" s="1" t="n"/>
      <c r="M16" s="1" t="n"/>
      <c r="N16" s="1" t="n"/>
      <c r="O16" s="1" t="n"/>
    </row>
    <row r="17">
      <c r="A17" s="5" t="inlineStr">
        <is>
          <t>Debt / equity (x)</t>
        </is>
      </c>
      <c r="B17" s="37">
        <f>'Historical Financial Statements'!B35/('Historical Financial Statements'!B33+'Historical Financial Statements'!B34)</f>
        <v/>
      </c>
      <c r="C17" s="37">
        <f>'Historical Financial Statements'!C35/('Historical Financial Statements'!C33+'Historical Financial Statements'!C34)</f>
        <v/>
      </c>
      <c r="D17" s="37">
        <f>'Historical Financial Statements'!D35/('Historical Financial Statements'!D33+'Historical Financial Statements'!D34)</f>
        <v/>
      </c>
      <c r="E17" s="37">
        <f>'Historical Financial Statements'!E35/('Historical Financial Statements'!E33+'Historical Financial Statements'!E34)</f>
        <v/>
      </c>
      <c r="F17" s="37">
        <f>'Historical Financial Statements'!F35/('Historical Financial Statements'!F33+'Historical Financial Statements'!F34)</f>
        <v/>
      </c>
      <c r="G17" s="37">
        <f>'Historical Financial Statements'!G35/('Historical Financial Statements'!G33+'Historical Financial Statements'!G34)</f>
        <v/>
      </c>
      <c r="H17" s="37">
        <f>'Historical Financial Statements'!H35/('Historical Financial Statements'!H33+'Historical Financial Statements'!H34)</f>
        <v/>
      </c>
    </row>
    <row r="18">
      <c r="A18" s="5" t="inlineStr">
        <is>
          <t>Interest coverage (x)</t>
        </is>
      </c>
      <c r="B18" s="37">
        <f>'Historical Financial Statements'!B14/'Historical Financial Statements'!B16</f>
        <v/>
      </c>
      <c r="C18" s="37">
        <f>'Historical Financial Statements'!C14/'Historical Financial Statements'!C16</f>
        <v/>
      </c>
      <c r="D18" s="37">
        <f>'Historical Financial Statements'!D14/'Historical Financial Statements'!D16</f>
        <v/>
      </c>
      <c r="E18" s="37">
        <f>'Historical Financial Statements'!E14/'Historical Financial Statements'!E16</f>
        <v/>
      </c>
      <c r="F18" s="37">
        <f>'Historical Financial Statements'!F14/'Historical Financial Statements'!F16</f>
        <v/>
      </c>
      <c r="G18" s="37">
        <f>'Historical Financial Statements'!G14/'Historical Financial Statements'!G16</f>
        <v/>
      </c>
      <c r="H18" s="37">
        <f>'Historical Financial Statements'!H14/'Historical Financial Statements'!H16</f>
        <v/>
      </c>
    </row>
    <row r="19">
      <c r="A19" s="5" t="inlineStr">
        <is>
          <t>Asset turnover (x)</t>
        </is>
      </c>
      <c r="B19" s="37">
        <f>'Historical Financial Statements'!B5/'Historical Financial Statements'!B32</f>
        <v/>
      </c>
      <c r="C19" s="37">
        <f>'Historical Financial Statements'!C5/'Historical Financial Statements'!C32</f>
        <v/>
      </c>
      <c r="D19" s="37">
        <f>'Historical Financial Statements'!D5/'Historical Financial Statements'!D32</f>
        <v/>
      </c>
      <c r="E19" s="37">
        <f>'Historical Financial Statements'!E5/'Historical Financial Statements'!E32</f>
        <v/>
      </c>
      <c r="F19" s="37">
        <f>'Historical Financial Statements'!F5/'Historical Financial Statements'!F32</f>
        <v/>
      </c>
      <c r="G19" s="37">
        <f>'Historical Financial Statements'!G5/'Historical Financial Statements'!G32</f>
        <v/>
      </c>
      <c r="H19" s="37">
        <f>'Historical Financial Statements'!H5/'Historical Financial Statements'!H32</f>
        <v/>
      </c>
    </row>
    <row r="21">
      <c r="A21" s="11" t="inlineStr">
        <is>
          <t>Working capital (reported day ratios)</t>
        </is>
      </c>
      <c r="B21" s="1" t="n"/>
      <c r="C21" s="1" t="n"/>
      <c r="D21" s="1" t="n"/>
      <c r="E21" s="1" t="n"/>
      <c r="F21" s="1" t="n"/>
      <c r="G21" s="1" t="n"/>
      <c r="H21" s="1" t="n"/>
      <c r="I21" s="1" t="n"/>
      <c r="J21" s="1" t="n"/>
      <c r="K21" s="1" t="n"/>
      <c r="L21" s="1" t="n"/>
      <c r="M21" s="1" t="n"/>
      <c r="N21" s="1" t="n"/>
      <c r="O21" s="1" t="n"/>
    </row>
    <row r="22">
      <c r="A22" s="5" t="inlineStr">
        <is>
          <t>Debtor days (vs revenue)</t>
        </is>
      </c>
      <c r="B22" s="38" t="n">
        <v>121</v>
      </c>
      <c r="C22" s="38" t="n">
        <v>85</v>
      </c>
      <c r="D22" s="38" t="n">
        <v>52</v>
      </c>
      <c r="E22" s="38" t="n">
        <v>49</v>
      </c>
      <c r="F22" s="38" t="n">
        <v>73</v>
      </c>
      <c r="G22" s="38" t="n">
        <v>76</v>
      </c>
      <c r="H22" s="38" t="n">
        <v>73</v>
      </c>
    </row>
    <row r="23">
      <c r="A23" s="5" t="inlineStr">
        <is>
          <t>Inventory days (vs COGS)</t>
        </is>
      </c>
      <c r="B23" s="38" t="n">
        <v>232</v>
      </c>
      <c r="C23" s="38" t="n">
        <v>221</v>
      </c>
      <c r="D23" s="38" t="n">
        <v>162</v>
      </c>
      <c r="E23" s="38" t="n">
        <v>151</v>
      </c>
      <c r="F23" s="38" t="n">
        <v>157</v>
      </c>
      <c r="G23" s="38" t="n">
        <v>191</v>
      </c>
      <c r="H23" s="38" t="n">
        <v>212</v>
      </c>
    </row>
    <row r="24">
      <c r="A24" s="5" t="inlineStr">
        <is>
          <t>Payable days (vs COGS)</t>
        </is>
      </c>
      <c r="B24" s="38" t="n">
        <v>230</v>
      </c>
      <c r="C24" s="38" t="n">
        <v>205</v>
      </c>
      <c r="D24" s="38" t="n">
        <v>191</v>
      </c>
      <c r="E24" s="38" t="n">
        <v>222</v>
      </c>
      <c r="F24" s="38" t="n">
        <v>185</v>
      </c>
      <c r="G24" s="38" t="n">
        <v>185</v>
      </c>
      <c r="H24" s="38" t="n">
        <v>167</v>
      </c>
    </row>
    <row r="25">
      <c r="A25" s="5" t="inlineStr">
        <is>
          <t>Cash conversion cycle (days)</t>
        </is>
      </c>
      <c r="B25" s="38" t="n">
        <v>123</v>
      </c>
      <c r="C25" s="38" t="n">
        <v>101</v>
      </c>
      <c r="D25" s="38" t="n">
        <v>23</v>
      </c>
      <c r="E25" s="38" t="n">
        <v>-22</v>
      </c>
      <c r="F25" s="38" t="n">
        <v>45</v>
      </c>
      <c r="G25" s="38" t="n">
        <v>82</v>
      </c>
      <c r="H25" s="38" t="n">
        <v>118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OPERATIONAL DRIVERS</t>
        </is>
      </c>
      <c r="B1" s="1" t="n"/>
      <c r="C1" s="1" t="n"/>
      <c r="D1" s="1" t="n"/>
      <c r="E1" s="1" t="n"/>
      <c r="F1" s="1" t="n"/>
      <c r="G1" s="1" t="n"/>
      <c r="H1" s="1" t="n"/>
      <c r="I1" s="1" t="n"/>
      <c r="J1" s="1" t="n"/>
      <c r="K1" s="1" t="n"/>
      <c r="L1" s="1" t="n"/>
      <c r="M1" s="1" t="n"/>
      <c r="N1" s="1" t="n"/>
      <c r="O1" s="1" t="n"/>
    </row>
    <row r="2">
      <c r="A2" s="13" t="inlineStr">
        <is>
          <t>Order data on standalone basis. FY20-22 figures are estimates (flagged). The "Adjustments" line captures order cancellations, de-scoping, FX revaluation, price/scope revisions and tax-basis differences so the roll ties to the reported closing order book.</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Order book dynamics (INR Crore, standalone)</t>
        </is>
      </c>
      <c r="B5" s="1" t="n"/>
      <c r="C5" s="1" t="n"/>
      <c r="D5" s="1" t="n"/>
      <c r="E5" s="1" t="n"/>
      <c r="F5" s="1" t="n"/>
      <c r="G5" s="1" t="n"/>
      <c r="H5" s="1" t="n"/>
      <c r="I5" s="1" t="n"/>
      <c r="J5" s="1" t="n"/>
      <c r="K5" s="1" t="n"/>
      <c r="L5" s="1" t="n"/>
      <c r="M5" s="1" t="n"/>
      <c r="N5" s="1" t="n"/>
      <c r="O5" s="1" t="n"/>
    </row>
    <row r="6">
      <c r="A6" s="5" t="inlineStr">
        <is>
          <t>Opening order book</t>
        </is>
      </c>
      <c r="B6" s="30" t="n">
        <v>115000</v>
      </c>
      <c r="C6" s="30" t="n">
        <v>110000</v>
      </c>
      <c r="D6" s="30" t="n">
        <v>102000</v>
      </c>
      <c r="E6" s="30" t="n">
        <v>98000</v>
      </c>
      <c r="F6" s="30" t="n">
        <v>91336</v>
      </c>
      <c r="G6" s="30" t="n">
        <v>131598</v>
      </c>
      <c r="H6" s="30" t="n">
        <v>196328</v>
      </c>
      <c r="P6" s="13" t="inlineStr">
        <is>
          <t>FY20-22 est.</t>
        </is>
      </c>
    </row>
    <row r="7">
      <c r="A7" s="5" t="inlineStr">
        <is>
          <t>Add: new order inflow</t>
        </is>
      </c>
      <c r="B7" s="30" t="n">
        <v>18000</v>
      </c>
      <c r="C7" s="30" t="n">
        <v>15000</v>
      </c>
      <c r="D7" s="30" t="n">
        <v>22000</v>
      </c>
      <c r="E7" s="30" t="n">
        <v>23548</v>
      </c>
      <c r="F7" s="30" t="n">
        <v>63000</v>
      </c>
      <c r="G7" s="30" t="n">
        <v>92535</v>
      </c>
      <c r="H7" s="30" t="n">
        <v>75000</v>
      </c>
      <c r="P7" s="13" t="inlineStr">
        <is>
          <t>some est.</t>
        </is>
      </c>
    </row>
    <row r="8">
      <c r="A8" s="5" t="inlineStr">
        <is>
          <t>Less: revenue executed (standalone)</t>
        </is>
      </c>
      <c r="B8" s="30" t="n">
        <v>-20495</v>
      </c>
      <c r="C8" s="30" t="n">
        <v>-16296</v>
      </c>
      <c r="D8" s="30" t="n">
        <v>-20153</v>
      </c>
      <c r="E8" s="30" t="n">
        <v>-22136</v>
      </c>
      <c r="F8" s="30" t="n">
        <v>-22921</v>
      </c>
      <c r="G8" s="30" t="n">
        <v>-27355</v>
      </c>
      <c r="H8" s="30" t="n">
        <v>-33782</v>
      </c>
      <c r="P8" s="13" t="inlineStr">
        <is>
          <t>standalone rev</t>
        </is>
      </c>
    </row>
    <row r="9">
      <c r="A9" s="5" t="inlineStr">
        <is>
          <t>+/- Adjustments (cancellations, FX, scope, taxes)</t>
        </is>
      </c>
      <c r="B9" s="33">
        <f>B10-B6-B7-B8</f>
        <v/>
      </c>
      <c r="C9" s="33">
        <f>C10-C6-C7-C8</f>
        <v/>
      </c>
      <c r="D9" s="33">
        <f>D10-D6-D7-D8</f>
        <v/>
      </c>
      <c r="E9" s="33">
        <f>E10-E6-E7-E8</f>
        <v/>
      </c>
      <c r="F9" s="33">
        <f>F10-F6-F7-F8</f>
        <v/>
      </c>
      <c r="G9" s="33">
        <f>G10-G6-G7-G8</f>
        <v/>
      </c>
      <c r="H9" s="33">
        <f>H10-H6-H7-H8</f>
        <v/>
      </c>
    </row>
    <row r="10">
      <c r="A10" s="4" t="inlineStr">
        <is>
          <t>Closing order book (reported)</t>
        </is>
      </c>
      <c r="B10" s="30" t="n">
        <v>110000</v>
      </c>
      <c r="C10" s="30" t="n">
        <v>102000</v>
      </c>
      <c r="D10" s="30" t="n">
        <v>98000</v>
      </c>
      <c r="E10" s="30" t="n">
        <v>91336</v>
      </c>
      <c r="F10" s="30" t="n">
        <v>131598</v>
      </c>
      <c r="G10" s="30" t="n">
        <v>196328</v>
      </c>
      <c r="H10" s="30" t="n">
        <v>240000</v>
      </c>
    </row>
    <row r="11">
      <c r="A11" s="5" t="inlineStr">
        <is>
          <t xml:space="preserve">  Roll check (open+inflow-rev+adj-close)</t>
        </is>
      </c>
      <c r="B11" s="33">
        <f>B6+B7+B8+B9-B10</f>
        <v/>
      </c>
      <c r="C11" s="33">
        <f>C6+C7+C8+C9-C10</f>
        <v/>
      </c>
      <c r="D11" s="33">
        <f>D6+D7+D8+D9-D10</f>
        <v/>
      </c>
      <c r="E11" s="33">
        <f>E6+E7+E8+E9-E10</f>
        <v/>
      </c>
      <c r="F11" s="33">
        <f>F6+F7+F8+F9-F10</f>
        <v/>
      </c>
      <c r="G11" s="33">
        <f>G6+G7+G8+G9-G10</f>
        <v/>
      </c>
      <c r="H11" s="33">
        <f>H6+H7+H8+H9-H10</f>
        <v/>
      </c>
    </row>
    <row r="12">
      <c r="A12" s="5" t="inlineStr">
        <is>
          <t>Book-to-bill (closing OB / revenue, x)</t>
        </is>
      </c>
      <c r="B12" s="39">
        <f>B10/-B8</f>
        <v/>
      </c>
      <c r="C12" s="39">
        <f>C10/-C8</f>
        <v/>
      </c>
      <c r="D12" s="39">
        <f>D10/-D8</f>
        <v/>
      </c>
      <c r="E12" s="39">
        <f>E10/-E8</f>
        <v/>
      </c>
      <c r="F12" s="39">
        <f>F10/-F8</f>
        <v/>
      </c>
      <c r="G12" s="39">
        <f>G10/-G8</f>
        <v/>
      </c>
      <c r="H12" s="39">
        <f>H10/-H8</f>
        <v/>
      </c>
    </row>
    <row r="13">
      <c r="A13" s="5" t="inlineStr">
        <is>
          <t>Execution rate (revenue / opening OB)</t>
        </is>
      </c>
      <c r="B13" s="40">
        <f>-B8/B6</f>
        <v/>
      </c>
      <c r="C13" s="40">
        <f>-C8/C6</f>
        <v/>
      </c>
      <c r="D13" s="40">
        <f>-D8/D6</f>
        <v/>
      </c>
      <c r="E13" s="40">
        <f>-E8/E6</f>
        <v/>
      </c>
      <c r="F13" s="40">
        <f>-F8/F6</f>
        <v/>
      </c>
      <c r="G13" s="40">
        <f>-G8/G6</f>
        <v/>
      </c>
      <c r="H13" s="40">
        <f>-H8/H6</f>
        <v/>
      </c>
    </row>
    <row r="15">
      <c r="A15" s="11" t="inlineStr">
        <is>
          <t>Segment revenue mix (INR Crore, est.)</t>
        </is>
      </c>
      <c r="B15" s="1" t="n"/>
      <c r="C15" s="1" t="n"/>
      <c r="D15" s="1" t="n"/>
      <c r="E15" s="1" t="n"/>
      <c r="F15" s="1" t="n"/>
      <c r="G15" s="1" t="n"/>
      <c r="H15" s="1" t="n"/>
      <c r="I15" s="1" t="n"/>
      <c r="J15" s="1" t="n"/>
      <c r="K15" s="1" t="n"/>
      <c r="L15" s="1" t="n"/>
      <c r="M15" s="1" t="n"/>
      <c r="N15" s="1" t="n"/>
      <c r="O15" s="1" t="n"/>
    </row>
    <row r="16">
      <c r="A16" s="5" t="inlineStr">
        <is>
          <t>Power segment</t>
        </is>
      </c>
      <c r="B16" s="30" t="n">
        <v>16800</v>
      </c>
      <c r="C16" s="30" t="n">
        <v>13500</v>
      </c>
      <c r="D16" s="30" t="n">
        <v>16500</v>
      </c>
      <c r="E16" s="30" t="n">
        <v>18100</v>
      </c>
      <c r="F16" s="30" t="n">
        <v>18600</v>
      </c>
      <c r="G16" s="30" t="n">
        <v>20937</v>
      </c>
      <c r="H16" s="30" t="n">
        <v>25407</v>
      </c>
    </row>
    <row r="17">
      <c r="A17" s="5" t="inlineStr">
        <is>
          <t>Industry segment</t>
        </is>
      </c>
      <c r="B17" s="30" t="n">
        <v>3900</v>
      </c>
      <c r="C17" s="30" t="n">
        <v>3200</v>
      </c>
      <c r="D17" s="30" t="n">
        <v>4000</v>
      </c>
      <c r="E17" s="30" t="n">
        <v>4600</v>
      </c>
      <c r="F17" s="30" t="n">
        <v>4700</v>
      </c>
      <c r="G17" s="30" t="n">
        <v>6400</v>
      </c>
      <c r="H17" s="30" t="n">
        <v>7400</v>
      </c>
    </row>
    <row r="18">
      <c r="A18" s="5" t="inlineStr">
        <is>
          <t>Others / exports / renewables</t>
        </is>
      </c>
      <c r="B18" s="30" t="n">
        <v>763</v>
      </c>
      <c r="C18" s="30" t="n">
        <v>609</v>
      </c>
      <c r="D18" s="30" t="n">
        <v>711</v>
      </c>
      <c r="E18" s="30" t="n">
        <v>665</v>
      </c>
      <c r="F18" s="30" t="n">
        <v>593</v>
      </c>
      <c r="G18" s="30" t="n">
        <v>1002</v>
      </c>
      <c r="H18" s="30" t="n">
        <v>975</v>
      </c>
    </row>
    <row r="19">
      <c r="A19" s="5" t="inlineStr">
        <is>
          <t>Total (check vs revenue)</t>
        </is>
      </c>
      <c r="B19" s="33">
        <f>SUM(B16:B18)</f>
        <v/>
      </c>
      <c r="C19" s="33">
        <f>SUM(C16:C18)</f>
        <v/>
      </c>
      <c r="D19" s="33">
        <f>SUM(D16:D18)</f>
        <v/>
      </c>
      <c r="E19" s="33">
        <f>SUM(E16:E18)</f>
        <v/>
      </c>
      <c r="F19" s="33">
        <f>SUM(F16:F18)</f>
        <v/>
      </c>
      <c r="G19" s="33">
        <f>SUM(G16:G18)</f>
        <v/>
      </c>
      <c r="H19" s="33">
        <f>SUM(H16:H18)</f>
        <v/>
      </c>
    </row>
    <row r="20">
      <c r="A20" s="5" t="inlineStr">
        <is>
          <t>Power as % of revenue</t>
        </is>
      </c>
      <c r="B20" s="40">
        <f>B16/'Historical Financial Statements'!B5</f>
        <v/>
      </c>
      <c r="C20" s="40">
        <f>C16/'Historical Financial Statements'!C5</f>
        <v/>
      </c>
      <c r="D20" s="40">
        <f>D16/'Historical Financial Statements'!D5</f>
        <v/>
      </c>
      <c r="E20" s="40">
        <f>E16/'Historical Financial Statements'!E5</f>
        <v/>
      </c>
      <c r="F20" s="40">
        <f>F16/'Historical Financial Statements'!F5</f>
        <v/>
      </c>
      <c r="G20" s="40">
        <f>G16/'Historical Financial Statements'!G5</f>
        <v/>
      </c>
      <c r="H20" s="40">
        <f>H16/'Historical Financial Statements'!H5</f>
        <v/>
      </c>
    </row>
    <row r="22">
      <c r="A22" s="11" t="inlineStr">
        <is>
          <t>Other KPIs</t>
        </is>
      </c>
      <c r="B22" s="1" t="n"/>
      <c r="C22" s="1" t="n"/>
      <c r="D22" s="1" t="n"/>
      <c r="E22" s="1" t="n"/>
      <c r="F22" s="1" t="n"/>
      <c r="G22" s="1" t="n"/>
      <c r="H22" s="1" t="n"/>
      <c r="I22" s="1" t="n"/>
      <c r="J22" s="1" t="n"/>
      <c r="K22" s="1" t="n"/>
      <c r="L22" s="1" t="n"/>
      <c r="M22" s="1" t="n"/>
      <c r="N22" s="1" t="n"/>
      <c r="O22" s="1" t="n"/>
    </row>
    <row r="23">
      <c r="A23" s="5" t="inlineStr">
        <is>
          <t>Approx. workforce (number)</t>
        </is>
      </c>
      <c r="B23" s="41" t="n">
        <v>33500</v>
      </c>
      <c r="C23" s="41" t="n">
        <v>31500</v>
      </c>
      <c r="D23" s="41" t="n">
        <v>29800</v>
      </c>
      <c r="E23" s="41" t="n">
        <v>28500</v>
      </c>
      <c r="F23" s="41" t="n">
        <v>27000</v>
      </c>
      <c r="G23" s="41" t="n">
        <v>26000</v>
      </c>
      <c r="H23" s="41" t="n">
        <v>25500</v>
      </c>
      <c r="P23" s="13" t="inlineStr">
        <is>
          <t>approx.</t>
        </is>
      </c>
    </row>
    <row r="24">
      <c r="A24" s="5" t="inlineStr">
        <is>
          <t>R&amp;D expenditure</t>
        </is>
      </c>
      <c r="B24" s="30" t="n">
        <v>1180</v>
      </c>
      <c r="C24" s="30" t="n">
        <v>1090</v>
      </c>
      <c r="D24" s="30" t="n">
        <v>1050</v>
      </c>
      <c r="E24" s="30" t="n">
        <v>1100</v>
      </c>
      <c r="F24" s="30" t="n">
        <v>1150</v>
      </c>
      <c r="G24" s="30" t="n">
        <v>1300</v>
      </c>
      <c r="H24" s="30" t="n">
        <v>1500</v>
      </c>
      <c r="P24" s="13" t="inlineStr">
        <is>
          <t>approx.</t>
        </is>
      </c>
    </row>
    <row r="25">
      <c r="A25" s="5" t="inlineStr">
        <is>
          <t>R&amp;D as % of revenue</t>
        </is>
      </c>
      <c r="B25" s="40">
        <f>B24/'Historical Financial Statements'!B5</f>
        <v/>
      </c>
      <c r="C25" s="40">
        <f>C24/'Historical Financial Statements'!C5</f>
        <v/>
      </c>
      <c r="D25" s="40">
        <f>D24/'Historical Financial Statements'!D5</f>
        <v/>
      </c>
      <c r="E25" s="40">
        <f>E24/'Historical Financial Statements'!E5</f>
        <v/>
      </c>
      <c r="F25" s="40">
        <f>F24/'Historical Financial Statements'!F5</f>
        <v/>
      </c>
      <c r="G25" s="40">
        <f>G24/'Historical Financial Statements'!G5</f>
        <v/>
      </c>
      <c r="H25" s="40">
        <f>H24/'Historical Financial Statements'!H5</f>
        <v/>
      </c>
    </row>
    <row r="26">
      <c r="A26" s="5" t="inlineStr">
        <is>
          <t>Capacity utilisation (mfg.)</t>
        </is>
      </c>
      <c r="B26" s="42" t="n">
        <v>0.55</v>
      </c>
      <c r="C26" s="42" t="n">
        <v>0.42</v>
      </c>
      <c r="D26" s="42" t="n">
        <v>0.5</v>
      </c>
      <c r="E26" s="42" t="n">
        <v>0.55</v>
      </c>
      <c r="F26" s="42" t="n">
        <v>0.58</v>
      </c>
      <c r="G26" s="42" t="n">
        <v>0.65</v>
      </c>
      <c r="H26" s="42" t="n">
        <v>0.72</v>
      </c>
      <c r="P26" s="13" t="inlineStr">
        <is>
          <t>approx.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REVENUE BUILD-UP</t>
        </is>
      </c>
      <c r="B1" s="1" t="n"/>
      <c r="C1" s="1" t="n"/>
      <c r="D1" s="1" t="n"/>
      <c r="E1" s="1" t="n"/>
      <c r="F1" s="1" t="n"/>
      <c r="G1" s="1" t="n"/>
      <c r="H1" s="1" t="n"/>
      <c r="I1" s="1" t="n"/>
      <c r="J1" s="1" t="n"/>
      <c r="K1" s="1" t="n"/>
      <c r="L1" s="1" t="n"/>
      <c r="M1" s="1" t="n"/>
      <c r="N1" s="1" t="n"/>
      <c r="O1" s="1" t="n"/>
    </row>
    <row r="2">
      <c r="A2" s="13" t="inlineStr">
        <is>
          <t>Order book rolled on STANDALONE basis: Closing OB = Opening + Inflow - Standalone revenue + Adjustments (cancellations/FX/scope/taxes). Consolidated revenue (P&amp;L) is bridged from standalone via a consolidation uplift.</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A.  Order book roll-forward  (standalone basis, as disclosed)</t>
        </is>
      </c>
      <c r="B5" s="1" t="n"/>
      <c r="C5" s="1" t="n"/>
      <c r="D5" s="1" t="n"/>
      <c r="E5" s="1" t="n"/>
      <c r="F5" s="1" t="n"/>
      <c r="G5" s="1" t="n"/>
      <c r="H5" s="1" t="n"/>
      <c r="I5" s="1" t="n"/>
      <c r="J5" s="1" t="n"/>
      <c r="K5" s="1" t="n"/>
      <c r="L5" s="1" t="n"/>
      <c r="M5" s="1" t="n"/>
      <c r="N5" s="1" t="n"/>
      <c r="O5" s="1" t="n"/>
    </row>
    <row r="6">
      <c r="A6" s="4" t="inlineStr">
        <is>
          <t>Opening order book (standalone)</t>
        </is>
      </c>
      <c r="B6" s="43">
        <f>'Operational Drivers'!B6</f>
        <v/>
      </c>
      <c r="C6" s="43">
        <f>'Operational Drivers'!C6</f>
        <v/>
      </c>
      <c r="D6" s="43">
        <f>'Operational Drivers'!D6</f>
        <v/>
      </c>
      <c r="E6" s="43">
        <f>'Operational Drivers'!E6</f>
        <v/>
      </c>
      <c r="F6" s="43">
        <f>'Operational Drivers'!F6</f>
        <v/>
      </c>
      <c r="G6" s="43">
        <f>'Operational Drivers'!G6</f>
        <v/>
      </c>
      <c r="H6" s="43">
        <f>'Operational Drivers'!H6</f>
        <v/>
      </c>
      <c r="I6" s="33">
        <f>'Operational Drivers'!H10</f>
        <v/>
      </c>
      <c r="J6" s="33">
        <f>I10</f>
        <v/>
      </c>
      <c r="K6" s="33">
        <f>J10</f>
        <v/>
      </c>
      <c r="L6" s="33">
        <f>K10</f>
        <v/>
      </c>
      <c r="M6" s="33">
        <f>L10</f>
        <v/>
      </c>
      <c r="N6" s="33">
        <f>M10</f>
        <v/>
      </c>
      <c r="O6" s="33">
        <f>N10</f>
        <v/>
      </c>
    </row>
    <row r="7">
      <c r="A7" s="5" t="inlineStr">
        <is>
          <t>Add: new order inflow</t>
        </is>
      </c>
      <c r="B7" s="43">
        <f>'Operational Drivers'!B7</f>
        <v/>
      </c>
      <c r="C7" s="43">
        <f>'Operational Drivers'!C7</f>
        <v/>
      </c>
      <c r="D7" s="43">
        <f>'Operational Drivers'!D7</f>
        <v/>
      </c>
      <c r="E7" s="43">
        <f>'Operational Drivers'!E7</f>
        <v/>
      </c>
      <c r="F7" s="43">
        <f>'Operational Drivers'!F7</f>
        <v/>
      </c>
      <c r="G7" s="43">
        <f>'Operational Drivers'!G7</f>
        <v/>
      </c>
      <c r="H7" s="43">
        <f>'Operational Drivers'!H7</f>
        <v/>
      </c>
      <c r="I7" s="33">
        <f>'Assumptions'!I5</f>
        <v/>
      </c>
      <c r="J7" s="33">
        <f>'Assumptions'!J5</f>
        <v/>
      </c>
      <c r="K7" s="33">
        <f>'Assumptions'!K5</f>
        <v/>
      </c>
      <c r="L7" s="33">
        <f>'Assumptions'!L5</f>
        <v/>
      </c>
      <c r="M7" s="33">
        <f>'Assumptions'!M5</f>
        <v/>
      </c>
      <c r="N7" s="33">
        <f>'Assumptions'!N5</f>
        <v/>
      </c>
      <c r="O7" s="33">
        <f>'Assumptions'!O5</f>
        <v/>
      </c>
    </row>
    <row r="8">
      <c r="A8" s="5" t="inlineStr">
        <is>
          <t>Less: standalone revenue executed</t>
        </is>
      </c>
      <c r="B8" s="43">
        <f>'Operational Drivers'!B8</f>
        <v/>
      </c>
      <c r="C8" s="43">
        <f>'Operational Drivers'!C8</f>
        <v/>
      </c>
      <c r="D8" s="43">
        <f>'Operational Drivers'!D8</f>
        <v/>
      </c>
      <c r="E8" s="43">
        <f>'Operational Drivers'!E8</f>
        <v/>
      </c>
      <c r="F8" s="43">
        <f>'Operational Drivers'!F8</f>
        <v/>
      </c>
      <c r="G8" s="43">
        <f>'Operational Drivers'!G8</f>
        <v/>
      </c>
      <c r="H8" s="43">
        <f>'Operational Drivers'!H8</f>
        <v/>
      </c>
      <c r="I8" s="33">
        <f>-'Assumptions'!I10*I6</f>
        <v/>
      </c>
      <c r="J8" s="33">
        <f>-'Assumptions'!J10*J6</f>
        <v/>
      </c>
      <c r="K8" s="33">
        <f>-'Assumptions'!K10*K6</f>
        <v/>
      </c>
      <c r="L8" s="33">
        <f>-'Assumptions'!L10*L6</f>
        <v/>
      </c>
      <c r="M8" s="33">
        <f>-'Assumptions'!M10*M6</f>
        <v/>
      </c>
      <c r="N8" s="33">
        <f>-'Assumptions'!N10*N6</f>
        <v/>
      </c>
      <c r="O8" s="33">
        <f>-'Assumptions'!O10*O6</f>
        <v/>
      </c>
    </row>
    <row r="9">
      <c r="A9" s="5" t="inlineStr">
        <is>
          <t>+/- Adjustments (cancellations/FX/scope/taxes)</t>
        </is>
      </c>
      <c r="B9" s="43">
        <f>'Operational Drivers'!B9</f>
        <v/>
      </c>
      <c r="C9" s="43">
        <f>'Operational Drivers'!C9</f>
        <v/>
      </c>
      <c r="D9" s="43">
        <f>'Operational Drivers'!D9</f>
        <v/>
      </c>
      <c r="E9" s="43">
        <f>'Operational Drivers'!E9</f>
        <v/>
      </c>
      <c r="F9" s="43">
        <f>'Operational Drivers'!F9</f>
        <v/>
      </c>
      <c r="G9" s="43">
        <f>'Operational Drivers'!G9</f>
        <v/>
      </c>
      <c r="H9" s="43">
        <f>'Operational Drivers'!H9</f>
        <v/>
      </c>
      <c r="I9" s="33" t="n">
        <v>0</v>
      </c>
      <c r="J9" s="33" t="n">
        <v>0</v>
      </c>
      <c r="K9" s="33" t="n">
        <v>0</v>
      </c>
      <c r="L9" s="33" t="n">
        <v>0</v>
      </c>
      <c r="M9" s="33" t="n">
        <v>0</v>
      </c>
      <c r="N9" s="33" t="n">
        <v>0</v>
      </c>
      <c r="O9" s="33" t="n">
        <v>0</v>
      </c>
    </row>
    <row r="10">
      <c r="A10" s="4" t="inlineStr">
        <is>
          <t>Closing order book (standalone)</t>
        </is>
      </c>
      <c r="B10" s="44">
        <f>B6+B7+B8+B9</f>
        <v/>
      </c>
      <c r="C10" s="44">
        <f>C6+C7+C8+C9</f>
        <v/>
      </c>
      <c r="D10" s="44">
        <f>D6+D7+D8+D9</f>
        <v/>
      </c>
      <c r="E10" s="44">
        <f>E6+E7+E8+E9</f>
        <v/>
      </c>
      <c r="F10" s="44">
        <f>F6+F7+F8+F9</f>
        <v/>
      </c>
      <c r="G10" s="44">
        <f>G6+G7+G8+G9</f>
        <v/>
      </c>
      <c r="H10" s="44">
        <f>H6+H7+H8+H9</f>
        <v/>
      </c>
      <c r="I10" s="44">
        <f>I6+I7+I8+I9</f>
        <v/>
      </c>
      <c r="J10" s="44">
        <f>J6+J7+J8+J9</f>
        <v/>
      </c>
      <c r="K10" s="44">
        <f>K6+K7+K8+K9</f>
        <v/>
      </c>
      <c r="L10" s="44">
        <f>L6+L7+L8+L9</f>
        <v/>
      </c>
      <c r="M10" s="44">
        <f>M6+M7+M8+M9</f>
        <v/>
      </c>
      <c r="N10" s="44">
        <f>N6+N7+N8+N9</f>
        <v/>
      </c>
      <c r="O10" s="44">
        <f>O6+O7+O8+O9</f>
        <v/>
      </c>
    </row>
    <row r="12">
      <c r="A12" s="11" t="inlineStr">
        <is>
          <t>B.  Standalone -&gt; consolidated revenue bridge</t>
        </is>
      </c>
      <c r="B12" s="1" t="n"/>
      <c r="C12" s="1" t="n"/>
      <c r="D12" s="1" t="n"/>
      <c r="E12" s="1" t="n"/>
      <c r="F12" s="1" t="n"/>
      <c r="G12" s="1" t="n"/>
      <c r="H12" s="1" t="n"/>
      <c r="I12" s="1" t="n"/>
      <c r="J12" s="1" t="n"/>
      <c r="K12" s="1" t="n"/>
      <c r="L12" s="1" t="n"/>
      <c r="M12" s="1" t="n"/>
      <c r="N12" s="1" t="n"/>
      <c r="O12" s="1" t="n"/>
    </row>
    <row r="13">
      <c r="A13" s="4" t="inlineStr">
        <is>
          <t>Standalone revenue from operations</t>
        </is>
      </c>
      <c r="B13" s="43">
        <f>-B8</f>
        <v/>
      </c>
      <c r="C13" s="43">
        <f>-C8</f>
        <v/>
      </c>
      <c r="D13" s="43">
        <f>-D8</f>
        <v/>
      </c>
      <c r="E13" s="43">
        <f>-E8</f>
        <v/>
      </c>
      <c r="F13" s="43">
        <f>-F8</f>
        <v/>
      </c>
      <c r="G13" s="43">
        <f>-G8</f>
        <v/>
      </c>
      <c r="H13" s="43">
        <f>-H8</f>
        <v/>
      </c>
      <c r="I13" s="33">
        <f>-I8</f>
        <v/>
      </c>
      <c r="J13" s="33">
        <f>-J8</f>
        <v/>
      </c>
      <c r="K13" s="33">
        <f>-K8</f>
        <v/>
      </c>
      <c r="L13" s="33">
        <f>-L8</f>
        <v/>
      </c>
      <c r="M13" s="33">
        <f>-M8</f>
        <v/>
      </c>
      <c r="N13" s="33">
        <f>-N8</f>
        <v/>
      </c>
      <c r="O13" s="33">
        <f>-O8</f>
        <v/>
      </c>
    </row>
    <row r="14">
      <c r="A14" s="5" t="inlineStr">
        <is>
          <t>Consolidation uplift % (consol/standalone - 1)</t>
        </is>
      </c>
      <c r="B14" s="36">
        <f>'Historical Financial Statements'!B5/B13-1</f>
        <v/>
      </c>
      <c r="C14" s="36">
        <f>'Historical Financial Statements'!C5/C13-1</f>
        <v/>
      </c>
      <c r="D14" s="36">
        <f>'Historical Financial Statements'!D5/D13-1</f>
        <v/>
      </c>
      <c r="E14" s="36">
        <f>'Historical Financial Statements'!E5/E13-1</f>
        <v/>
      </c>
      <c r="F14" s="36">
        <f>'Historical Financial Statements'!F5/F13-1</f>
        <v/>
      </c>
      <c r="G14" s="36">
        <f>'Historical Financial Statements'!G5/G13-1</f>
        <v/>
      </c>
      <c r="H14" s="36">
        <f>'Historical Financial Statements'!H5/H13-1</f>
        <v/>
      </c>
      <c r="I14" s="40">
        <f>'Assumptions'!I22</f>
        <v/>
      </c>
      <c r="J14" s="40">
        <f>'Assumptions'!J22</f>
        <v/>
      </c>
      <c r="K14" s="40">
        <f>'Assumptions'!K22</f>
        <v/>
      </c>
      <c r="L14" s="40">
        <f>'Assumptions'!L22</f>
        <v/>
      </c>
      <c r="M14" s="40">
        <f>'Assumptions'!M22</f>
        <v/>
      </c>
      <c r="N14" s="40">
        <f>'Assumptions'!N22</f>
        <v/>
      </c>
      <c r="O14" s="40">
        <f>'Assumptions'!O22</f>
        <v/>
      </c>
    </row>
    <row r="15">
      <c r="A15" s="4" t="inlineStr">
        <is>
          <t>Consolidated revenue from operations  -&gt;  P&amp;L</t>
        </is>
      </c>
      <c r="B15" s="32">
        <f>B13*(1+B14)</f>
        <v/>
      </c>
      <c r="C15" s="32">
        <f>C13*(1+C14)</f>
        <v/>
      </c>
      <c r="D15" s="32">
        <f>D13*(1+D14)</f>
        <v/>
      </c>
      <c r="E15" s="32">
        <f>E13*(1+E14)</f>
        <v/>
      </c>
      <c r="F15" s="32">
        <f>F13*(1+F14)</f>
        <v/>
      </c>
      <c r="G15" s="32">
        <f>G13*(1+G14)</f>
        <v/>
      </c>
      <c r="H15" s="32">
        <f>H13*(1+H14)</f>
        <v/>
      </c>
      <c r="I15" s="32">
        <f>I13*(1+I14)</f>
        <v/>
      </c>
      <c r="J15" s="32">
        <f>J13*(1+J14)</f>
        <v/>
      </c>
      <c r="K15" s="32">
        <f>K13*(1+K14)</f>
        <v/>
      </c>
      <c r="L15" s="32">
        <f>L13*(1+L14)</f>
        <v/>
      </c>
      <c r="M15" s="32">
        <f>M13*(1+M14)</f>
        <v/>
      </c>
      <c r="N15" s="32">
        <f>N13*(1+N14)</f>
        <v/>
      </c>
      <c r="O15" s="32">
        <f>O13*(1+O14)</f>
        <v/>
      </c>
    </row>
    <row r="16">
      <c r="A16" s="5" t="inlineStr">
        <is>
          <t>Revenue growth % (consolidated)</t>
        </is>
      </c>
      <c r="C16" s="40">
        <f>C15/B15-1</f>
        <v/>
      </c>
      <c r="D16" s="40">
        <f>D15/C15-1</f>
        <v/>
      </c>
      <c r="E16" s="40">
        <f>E15/D15-1</f>
        <v/>
      </c>
      <c r="F16" s="40">
        <f>F15/E15-1</f>
        <v/>
      </c>
      <c r="G16" s="40">
        <f>G15/F15-1</f>
        <v/>
      </c>
      <c r="H16" s="40">
        <f>H15/G15-1</f>
        <v/>
      </c>
      <c r="I16" s="40">
        <f>I15/H15-1</f>
        <v/>
      </c>
      <c r="J16" s="40">
        <f>J15/I15-1</f>
        <v/>
      </c>
      <c r="K16" s="40">
        <f>K15/J15-1</f>
        <v/>
      </c>
      <c r="L16" s="40">
        <f>L15/K15-1</f>
        <v/>
      </c>
      <c r="M16" s="40">
        <f>M15/L15-1</f>
        <v/>
      </c>
      <c r="N16" s="40">
        <f>N15/M15-1</f>
        <v/>
      </c>
      <c r="O16" s="40">
        <f>O15/N15-1</f>
        <v/>
      </c>
    </row>
    <row r="17">
      <c r="A17" s="5" t="inlineStr">
        <is>
          <t>Execution rate % (standalone rev / opening OB)</t>
        </is>
      </c>
      <c r="B17" s="40">
        <f>B13/B6</f>
        <v/>
      </c>
      <c r="C17" s="40">
        <f>C13/C6</f>
        <v/>
      </c>
      <c r="D17" s="40">
        <f>D13/D6</f>
        <v/>
      </c>
      <c r="E17" s="40">
        <f>E13/E6</f>
        <v/>
      </c>
      <c r="F17" s="40">
        <f>F13/F6</f>
        <v/>
      </c>
      <c r="G17" s="40">
        <f>G13/G6</f>
        <v/>
      </c>
      <c r="H17" s="40">
        <f>H13/H6</f>
        <v/>
      </c>
      <c r="I17" s="40">
        <f>I13/I6</f>
        <v/>
      </c>
      <c r="J17" s="40">
        <f>J13/J6</f>
        <v/>
      </c>
      <c r="K17" s="40">
        <f>K13/K6</f>
        <v/>
      </c>
      <c r="L17" s="40">
        <f>L13/L6</f>
        <v/>
      </c>
      <c r="M17" s="40">
        <f>M13/M6</f>
        <v/>
      </c>
      <c r="N17" s="40">
        <f>N13/N6</f>
        <v/>
      </c>
      <c r="O17" s="40">
        <f>O13/O6</f>
        <v/>
      </c>
    </row>
    <row r="18">
      <c r="A18" s="5" t="inlineStr">
        <is>
          <t>Book-to-bill (closing OB / standalone rev, x)</t>
        </is>
      </c>
      <c r="B18" s="39">
        <f>B10/B13</f>
        <v/>
      </c>
      <c r="C18" s="39">
        <f>C10/C13</f>
        <v/>
      </c>
      <c r="D18" s="39">
        <f>D10/D13</f>
        <v/>
      </c>
      <c r="E18" s="39">
        <f>E10/E13</f>
        <v/>
      </c>
      <c r="F18" s="39">
        <f>F10/F13</f>
        <v/>
      </c>
      <c r="G18" s="39">
        <f>G10/G13</f>
        <v/>
      </c>
      <c r="H18" s="39">
        <f>H10/H13</f>
        <v/>
      </c>
      <c r="I18" s="39">
        <f>I10/I13</f>
        <v/>
      </c>
      <c r="J18" s="39">
        <f>J10/J13</f>
        <v/>
      </c>
      <c r="K18" s="39">
        <f>K10/K13</f>
        <v/>
      </c>
      <c r="L18" s="39">
        <f>L10/L13</f>
        <v/>
      </c>
      <c r="M18" s="39">
        <f>M10/M13</f>
        <v/>
      </c>
      <c r="N18" s="39">
        <f>N10/N13</f>
        <v/>
      </c>
      <c r="O18" s="39">
        <f>O10/O13</f>
        <v/>
      </c>
    </row>
    <row r="20">
      <c r="A20" s="11" t="inlineStr">
        <is>
          <t>C.  Segment revenue breakup (consolidated)</t>
        </is>
      </c>
      <c r="B20" s="1" t="n"/>
      <c r="C20" s="1" t="n"/>
      <c r="D20" s="1" t="n"/>
      <c r="E20" s="1" t="n"/>
      <c r="F20" s="1" t="n"/>
      <c r="G20" s="1" t="n"/>
      <c r="H20" s="1" t="n"/>
      <c r="I20" s="1" t="n"/>
      <c r="J20" s="1" t="n"/>
      <c r="K20" s="1" t="n"/>
      <c r="L20" s="1" t="n"/>
      <c r="M20" s="1" t="n"/>
      <c r="N20" s="1" t="n"/>
      <c r="O20" s="1" t="n"/>
    </row>
    <row r="21">
      <c r="A21" s="5" t="inlineStr">
        <is>
          <t>Power segment</t>
        </is>
      </c>
      <c r="B21" s="43">
        <f>'Operational Drivers'!B16</f>
        <v/>
      </c>
      <c r="C21" s="43">
        <f>'Operational Drivers'!C16</f>
        <v/>
      </c>
      <c r="D21" s="43">
        <f>'Operational Drivers'!D16</f>
        <v/>
      </c>
      <c r="E21" s="43">
        <f>'Operational Drivers'!E16</f>
        <v/>
      </c>
      <c r="F21" s="43">
        <f>'Operational Drivers'!F16</f>
        <v/>
      </c>
      <c r="G21" s="43">
        <f>'Operational Drivers'!G16</f>
        <v/>
      </c>
      <c r="H21" s="43">
        <f>'Operational Drivers'!H16</f>
        <v/>
      </c>
      <c r="I21" s="33">
        <f>I15*'Assumptions'!I33</f>
        <v/>
      </c>
      <c r="J21" s="33">
        <f>J15*'Assumptions'!J33</f>
        <v/>
      </c>
      <c r="K21" s="33">
        <f>K15*'Assumptions'!K33</f>
        <v/>
      </c>
      <c r="L21" s="33">
        <f>L15*'Assumptions'!L33</f>
        <v/>
      </c>
      <c r="M21" s="33">
        <f>M15*'Assumptions'!M33</f>
        <v/>
      </c>
      <c r="N21" s="33">
        <f>N15*'Assumptions'!N33</f>
        <v/>
      </c>
      <c r="O21" s="33">
        <f>O15*'Assumptions'!O33</f>
        <v/>
      </c>
    </row>
    <row r="22">
      <c r="A22" s="5" t="inlineStr">
        <is>
          <t>Industry segment</t>
        </is>
      </c>
      <c r="B22" s="43">
        <f>'Operational Drivers'!B17</f>
        <v/>
      </c>
      <c r="C22" s="43">
        <f>'Operational Drivers'!C17</f>
        <v/>
      </c>
      <c r="D22" s="43">
        <f>'Operational Drivers'!D17</f>
        <v/>
      </c>
      <c r="E22" s="43">
        <f>'Operational Drivers'!E17</f>
        <v/>
      </c>
      <c r="F22" s="43">
        <f>'Operational Drivers'!F17</f>
        <v/>
      </c>
      <c r="G22" s="43">
        <f>'Operational Drivers'!G17</f>
        <v/>
      </c>
      <c r="H22" s="43">
        <f>'Operational Drivers'!H17</f>
        <v/>
      </c>
      <c r="I22" s="33">
        <f>I15*'Assumptions'!I34</f>
        <v/>
      </c>
      <c r="J22" s="33">
        <f>J15*'Assumptions'!J34</f>
        <v/>
      </c>
      <c r="K22" s="33">
        <f>K15*'Assumptions'!K34</f>
        <v/>
      </c>
      <c r="L22" s="33">
        <f>L15*'Assumptions'!L34</f>
        <v/>
      </c>
      <c r="M22" s="33">
        <f>M15*'Assumptions'!M34</f>
        <v/>
      </c>
      <c r="N22" s="33">
        <f>N15*'Assumptions'!N34</f>
        <v/>
      </c>
      <c r="O22" s="33">
        <f>O15*'Assumptions'!O34</f>
        <v/>
      </c>
    </row>
    <row r="23">
      <c r="A23" s="5" t="inlineStr">
        <is>
          <t>Others / exports / renewables</t>
        </is>
      </c>
      <c r="B23" s="43">
        <f>'Operational Drivers'!B18</f>
        <v/>
      </c>
      <c r="C23" s="43">
        <f>'Operational Drivers'!C18</f>
        <v/>
      </c>
      <c r="D23" s="43">
        <f>'Operational Drivers'!D18</f>
        <v/>
      </c>
      <c r="E23" s="43">
        <f>'Operational Drivers'!E18</f>
        <v/>
      </c>
      <c r="F23" s="43">
        <f>'Operational Drivers'!F18</f>
        <v/>
      </c>
      <c r="G23" s="43">
        <f>'Operational Drivers'!G18</f>
        <v/>
      </c>
      <c r="H23" s="43">
        <f>'Operational Drivers'!H18</f>
        <v/>
      </c>
      <c r="I23" s="33">
        <f>I15*(1-'Assumptions'!I33-'Assumptions'!I34)</f>
        <v/>
      </c>
      <c r="J23" s="33">
        <f>J15*(1-'Assumptions'!J33-'Assumptions'!J34)</f>
        <v/>
      </c>
      <c r="K23" s="33">
        <f>K15*(1-'Assumptions'!K33-'Assumptions'!K34)</f>
        <v/>
      </c>
      <c r="L23" s="33">
        <f>L15*(1-'Assumptions'!L33-'Assumptions'!L34)</f>
        <v/>
      </c>
      <c r="M23" s="33">
        <f>M15*(1-'Assumptions'!M33-'Assumptions'!M34)</f>
        <v/>
      </c>
      <c r="N23" s="33">
        <f>N15*(1-'Assumptions'!N33-'Assumptions'!N34)</f>
        <v/>
      </c>
      <c r="O23" s="33">
        <f>O15*(1-'Assumptions'!O33-'Assumptions'!O34)</f>
        <v/>
      </c>
    </row>
    <row r="24">
      <c r="A24" s="4" t="inlineStr">
        <is>
          <t>Total segment revenue (check vs consolidated)</t>
        </is>
      </c>
      <c r="B24" s="44">
        <f>SUM(B21:B23)</f>
        <v/>
      </c>
      <c r="C24" s="44">
        <f>SUM(C21:C23)</f>
        <v/>
      </c>
      <c r="D24" s="44">
        <f>SUM(D21:D23)</f>
        <v/>
      </c>
      <c r="E24" s="44">
        <f>SUM(E21:E23)</f>
        <v/>
      </c>
      <c r="F24" s="44">
        <f>SUM(F21:F23)</f>
        <v/>
      </c>
      <c r="G24" s="44">
        <f>SUM(G21:G23)</f>
        <v/>
      </c>
      <c r="H24" s="44">
        <f>SUM(H21:H23)</f>
        <v/>
      </c>
      <c r="I24" s="44">
        <f>SUM(I21:I23)</f>
        <v/>
      </c>
      <c r="J24" s="44">
        <f>SUM(J21:J23)</f>
        <v/>
      </c>
      <c r="K24" s="44">
        <f>SUM(K21:K23)</f>
        <v/>
      </c>
      <c r="L24" s="44">
        <f>SUM(L21:L23)</f>
        <v/>
      </c>
      <c r="M24" s="44">
        <f>SUM(M21:M23)</f>
        <v/>
      </c>
      <c r="N24" s="44">
        <f>SUM(N21:N23)</f>
        <v/>
      </c>
      <c r="O24" s="44">
        <f>SUM(O21:O23)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9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CONTRACT ACCOUNTING SCHEDULE</t>
        </is>
      </c>
      <c r="B1" s="1" t="n"/>
      <c r="C1" s="1" t="n"/>
      <c r="D1" s="1" t="n"/>
      <c r="E1" s="1" t="n"/>
      <c r="F1" s="1" t="n"/>
      <c r="G1" s="1" t="n"/>
      <c r="H1" s="1" t="n"/>
      <c r="I1" s="1" t="n"/>
      <c r="J1" s="1" t="n"/>
      <c r="K1" s="1" t="n"/>
      <c r="L1" s="1" t="n"/>
      <c r="M1" s="1" t="n"/>
      <c r="N1" s="1" t="n"/>
      <c r="O1" s="1" t="n"/>
    </row>
    <row r="2">
      <c r="A2" s="13" t="inlineStr">
        <is>
          <t>Ind AS 115 "Revenue from Contracts with Customers". Historical figures are AUDITED, extracted from each annual report's Ind AS 115 note (movement in impairment, disaggregation of revenue, contract balances) and the Other Assets/Other Liabilities notes (current/non-current split). Forecast drivers are selected by coefficient-of-variation analysis across 5 candidate ratios per item (Section B) - see contract_schedule.py for full workings.</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A.  Contract Assets - historical (audited)</t>
        </is>
      </c>
      <c r="B5" s="1" t="n"/>
      <c r="C5" s="1" t="n"/>
      <c r="D5" s="1" t="n"/>
      <c r="E5" s="1" t="n"/>
      <c r="F5" s="1" t="n"/>
      <c r="G5" s="1" t="n"/>
      <c r="H5" s="1" t="n"/>
      <c r="I5" s="1" t="n"/>
      <c r="J5" s="1" t="n"/>
      <c r="K5" s="1" t="n"/>
      <c r="L5" s="1" t="n"/>
      <c r="M5" s="1" t="n"/>
      <c r="N5" s="1" t="n"/>
      <c r="O5" s="1" t="n"/>
    </row>
    <row r="6">
      <c r="A6" s="5" t="inlineStr">
        <is>
          <t xml:space="preserve">   Current contract assets (unbilled revenue)</t>
        </is>
      </c>
      <c r="B6" s="30" t="n">
        <v>7670.46</v>
      </c>
      <c r="C6" s="30" t="n">
        <v>7494.57</v>
      </c>
      <c r="D6" s="30" t="n">
        <v>8691.629999999999</v>
      </c>
      <c r="E6" s="30" t="n">
        <v>10811.45</v>
      </c>
      <c r="F6" s="30" t="n">
        <v>13451.81</v>
      </c>
      <c r="G6" s="30" t="n">
        <v>15778.55</v>
      </c>
      <c r="H6" s="30" t="n">
        <v>15192.89</v>
      </c>
    </row>
    <row r="7">
      <c r="A7" s="5" t="inlineStr">
        <is>
          <t xml:space="preserve">   Non-current contract assets</t>
        </is>
      </c>
      <c r="B7" s="30" t="n">
        <v>16123.76</v>
      </c>
      <c r="C7" s="30" t="n">
        <v>16584.91</v>
      </c>
      <c r="D7" s="30" t="n">
        <v>18248.24</v>
      </c>
      <c r="E7" s="30" t="n">
        <v>18928.58</v>
      </c>
      <c r="F7" s="30" t="n">
        <v>13295.73</v>
      </c>
      <c r="G7" s="30" t="n">
        <v>13665.58</v>
      </c>
      <c r="H7" s="30" t="n">
        <v>14196.72</v>
      </c>
    </row>
    <row r="8">
      <c r="A8" s="4" t="inlineStr">
        <is>
          <t>Total contract assets</t>
        </is>
      </c>
      <c r="B8" s="32">
        <f>B6+B7</f>
        <v/>
      </c>
      <c r="C8" s="32">
        <f>C6+C7</f>
        <v/>
      </c>
      <c r="D8" s="32">
        <f>D6+D7</f>
        <v/>
      </c>
      <c r="E8" s="32">
        <f>E6+E7</f>
        <v/>
      </c>
      <c r="F8" s="32">
        <f>F6+F7</f>
        <v/>
      </c>
      <c r="G8" s="32">
        <f>G6+G7</f>
        <v/>
      </c>
      <c r="H8" s="32">
        <f>H6+H7</f>
        <v/>
      </c>
    </row>
    <row r="10">
      <c r="A10" s="11" t="inlineStr">
        <is>
          <t>B.  Contract Liabilities - historical (audited)</t>
        </is>
      </c>
      <c r="B10" s="1" t="n"/>
      <c r="C10" s="1" t="n"/>
      <c r="D10" s="1" t="n"/>
      <c r="E10" s="1" t="n"/>
      <c r="F10" s="1" t="n"/>
      <c r="G10" s="1" t="n"/>
      <c r="H10" s="1" t="n"/>
      <c r="I10" s="1" t="n"/>
      <c r="J10" s="1" t="n"/>
      <c r="K10" s="1" t="n"/>
      <c r="L10" s="1" t="n"/>
      <c r="M10" s="1" t="n"/>
      <c r="N10" s="1" t="n"/>
      <c r="O10" s="1" t="n"/>
    </row>
    <row r="11">
      <c r="A11" s="5" t="inlineStr">
        <is>
          <t xml:space="preserve">   Current contract liabilities (advances/billing-in-excess)</t>
        </is>
      </c>
      <c r="B11" s="30" t="n">
        <v>3798.08</v>
      </c>
      <c r="C11" s="30" t="n">
        <v>4057.85</v>
      </c>
      <c r="D11" s="30" t="n">
        <v>3854.33</v>
      </c>
      <c r="E11" s="30" t="n">
        <v>3049.34</v>
      </c>
      <c r="F11" s="30" t="n">
        <v>3070.1</v>
      </c>
      <c r="G11" s="30" t="n">
        <v>5550.73</v>
      </c>
      <c r="H11" s="30" t="n">
        <v>9110.389999999999</v>
      </c>
    </row>
    <row r="12">
      <c r="A12" s="5" t="inlineStr">
        <is>
          <t xml:space="preserve">   Non-current contract liabilities</t>
        </is>
      </c>
      <c r="B12" s="30" t="n">
        <v>2921.16</v>
      </c>
      <c r="C12" s="30" t="n">
        <v>2806.5</v>
      </c>
      <c r="D12" s="30" t="n">
        <v>2193.43</v>
      </c>
      <c r="E12" s="30" t="n">
        <v>2585.67</v>
      </c>
      <c r="F12" s="30" t="n">
        <v>4063.35</v>
      </c>
      <c r="G12" s="30" t="n">
        <v>9742.940000000001</v>
      </c>
      <c r="H12" s="30" t="n">
        <v>13413.24</v>
      </c>
    </row>
    <row r="13">
      <c r="A13" s="4" t="inlineStr">
        <is>
          <t>Total contract liabilities</t>
        </is>
      </c>
      <c r="B13" s="32">
        <f>B11+B12</f>
        <v/>
      </c>
      <c r="C13" s="32">
        <f>C11+C12</f>
        <v/>
      </c>
      <c r="D13" s="32">
        <f>D11+D12</f>
        <v/>
      </c>
      <c r="E13" s="32">
        <f>E11+E12</f>
        <v/>
      </c>
      <c r="F13" s="32">
        <f>F11+F12</f>
        <v/>
      </c>
      <c r="G13" s="32">
        <f>G11+G12</f>
        <v/>
      </c>
      <c r="H13" s="32">
        <f>H11+H12</f>
        <v/>
      </c>
    </row>
    <row r="15">
      <c r="A15" s="13" t="inlineStr">
        <is>
          <t>DATA QUALITY: FY2023 contract assets use the AS-ORIGINALLY-REPORTED Rs29,740 cr (AR2022-23 Note 9/40, current+NC = Rs10,811+Rs18,929), which differs from a later regrouped comparative of Rs26,466 cr shown in the AR2024-25 five-year summary; the original figure is used here because only it has a current/non-current split disclosed. FY2026 split (Rs15,193 cr current / Rs14,197 cr non-current) is per the BSE integrated filing.</t>
        </is>
      </c>
    </row>
    <row r="17">
      <c r="A17" s="11" t="inlineStr">
        <is>
          <t>C.  Historical roll-forward (Ind AS 115 mechanics)</t>
        </is>
      </c>
      <c r="B17" s="1" t="n"/>
      <c r="C17" s="1" t="n"/>
      <c r="D17" s="1" t="n"/>
      <c r="E17" s="1" t="n"/>
      <c r="F17" s="1" t="n"/>
      <c r="G17" s="1" t="n"/>
      <c r="H17" s="1" t="n"/>
      <c r="I17" s="1" t="n"/>
      <c r="J17" s="1" t="n"/>
      <c r="K17" s="1" t="n"/>
      <c r="L17" s="1" t="n"/>
      <c r="M17" s="1" t="n"/>
      <c r="N17" s="1" t="n"/>
      <c r="O17" s="1" t="n"/>
    </row>
    <row r="18">
      <c r="A18" s="13" t="inlineStr">
        <is>
          <t>BHEL does not disclose "billings during the year" or "gross advances received during the year" as explicit line items. The roll below uses the two components BHEL DOES disclose every year (revenue recognised over time [%-of-completion, i.e. project revenue - builds contract assets] and "revenue recognised against contract liabilities" [reduces the opening contract-liability balance]) and derives the balancing "billed to customer" / "advances received" figure so each roll ties exactly to the reported closing balance. Derived figures are marked [D].</t>
        </is>
      </c>
    </row>
    <row r="20">
      <c r="A20" s="4" t="inlineStr">
        <is>
          <t>Contract Assets roll</t>
        </is>
      </c>
    </row>
    <row r="21">
      <c r="B21" s="15" t="inlineStr">
        <is>
          <t>Opening CA</t>
        </is>
      </c>
      <c r="C21" s="15" t="inlineStr">
        <is>
          <t>+ Revenue recognised
(over time / %-of-completion)</t>
        </is>
      </c>
      <c r="D21" s="15" t="inlineStr">
        <is>
          <t>- Billed to customer [D]</t>
        </is>
      </c>
      <c r="E21" s="15">
        <f> Closing CA</f>
        <v/>
      </c>
    </row>
    <row r="22">
      <c r="A22" s="5" t="inlineStr">
        <is>
          <t>FY2021</t>
        </is>
      </c>
      <c r="B22" s="45" t="n">
        <v>23794.22</v>
      </c>
      <c r="C22" s="45" t="n">
        <v>10581.15</v>
      </c>
      <c r="D22" s="46" t="n">
        <v>10295.89</v>
      </c>
      <c r="E22" s="45" t="n">
        <v>24079.48</v>
      </c>
    </row>
    <row r="23">
      <c r="A23" s="5" t="inlineStr">
        <is>
          <t>FY2022</t>
        </is>
      </c>
      <c r="B23" s="45" t="n">
        <v>24079.48</v>
      </c>
      <c r="C23" s="45" t="n">
        <v>14107.1</v>
      </c>
      <c r="D23" s="46" t="n">
        <v>11246.71</v>
      </c>
      <c r="E23" s="45" t="n">
        <v>26939.87</v>
      </c>
    </row>
    <row r="24">
      <c r="A24" s="5" t="inlineStr">
        <is>
          <t>FY2023</t>
        </is>
      </c>
      <c r="B24" s="45" t="n">
        <v>26939.87</v>
      </c>
      <c r="C24" s="45" t="n">
        <v>16083.09</v>
      </c>
      <c r="D24" s="46" t="n">
        <v>13282.93</v>
      </c>
      <c r="E24" s="45" t="n">
        <v>29740.03</v>
      </c>
    </row>
    <row r="25">
      <c r="A25" s="5" t="inlineStr">
        <is>
          <t>FY2024</t>
        </is>
      </c>
      <c r="B25" s="45" t="n">
        <v>29740.03</v>
      </c>
      <c r="C25" s="45" t="n">
        <v>15888.42</v>
      </c>
      <c r="D25" s="46" t="n">
        <v>18880.91</v>
      </c>
      <c r="E25" s="45" t="n">
        <v>26747.54</v>
      </c>
    </row>
    <row r="26">
      <c r="A26" s="5" t="inlineStr">
        <is>
          <t>FY2025</t>
        </is>
      </c>
      <c r="B26" s="45" t="n">
        <v>26747.54</v>
      </c>
      <c r="C26" s="45" t="n">
        <v>18478.11</v>
      </c>
      <c r="D26" s="46" t="n">
        <v>15781.52</v>
      </c>
      <c r="E26" s="45" t="n">
        <v>29444.13</v>
      </c>
    </row>
    <row r="27">
      <c r="A27" s="5" t="inlineStr">
        <is>
          <t>FY2026</t>
        </is>
      </c>
      <c r="B27" s="45" t="n">
        <v>29444.13</v>
      </c>
      <c r="C27" s="47" t="inlineStr">
        <is>
          <t>n/d</t>
        </is>
      </c>
      <c r="D27" s="47" t="inlineStr">
        <is>
          <t>n/d</t>
        </is>
      </c>
      <c r="E27" s="45" t="n">
        <v>29389.61</v>
      </c>
    </row>
    <row r="29">
      <c r="A29" s="4" t="inlineStr">
        <is>
          <t>Contract Liabilities roll</t>
        </is>
      </c>
    </row>
    <row r="30">
      <c r="B30" s="15" t="inlineStr">
        <is>
          <t>Opening CL</t>
        </is>
      </c>
      <c r="C30" s="15" t="inlineStr">
        <is>
          <t>+ Advances received [D]</t>
        </is>
      </c>
      <c r="D30" s="15" t="inlineStr">
        <is>
          <t>- Revenue recognised
(against opening CL)</t>
        </is>
      </c>
      <c r="E30" s="15">
        <f> Closing CL</f>
        <v/>
      </c>
    </row>
    <row r="31">
      <c r="A31" s="5" t="inlineStr">
        <is>
          <t>FY2021</t>
        </is>
      </c>
      <c r="B31" s="45" t="n">
        <v>6719.24</v>
      </c>
      <c r="C31" s="46" t="n">
        <v>3736.970000000001</v>
      </c>
      <c r="D31" s="45" t="n">
        <v>3591.86</v>
      </c>
      <c r="E31" s="45" t="n">
        <v>6864.35</v>
      </c>
    </row>
    <row r="32">
      <c r="A32" s="5" t="inlineStr">
        <is>
          <t>FY2022</t>
        </is>
      </c>
      <c r="B32" s="45" t="n">
        <v>6864.35</v>
      </c>
      <c r="C32" s="46" t="n">
        <v>2776.3</v>
      </c>
      <c r="D32" s="45" t="n">
        <v>3592.89</v>
      </c>
      <c r="E32" s="45" t="n">
        <v>6047.76</v>
      </c>
    </row>
    <row r="33">
      <c r="A33" s="5" t="inlineStr">
        <is>
          <t>FY2023</t>
        </is>
      </c>
      <c r="B33" s="45" t="n">
        <v>6047.76</v>
      </c>
      <c r="C33" s="46" t="n">
        <v>2611.97</v>
      </c>
      <c r="D33" s="45" t="n">
        <v>3024.72</v>
      </c>
      <c r="E33" s="45" t="n">
        <v>5635.01</v>
      </c>
    </row>
    <row r="34">
      <c r="A34" s="5" t="inlineStr">
        <is>
          <t>FY2024</t>
        </is>
      </c>
      <c r="B34" s="45" t="n">
        <v>5635.01</v>
      </c>
      <c r="C34" s="46" t="n">
        <v>4509.59</v>
      </c>
      <c r="D34" s="45" t="n">
        <v>3011.15</v>
      </c>
      <c r="E34" s="45" t="n">
        <v>7133.45</v>
      </c>
    </row>
    <row r="35">
      <c r="A35" s="5" t="inlineStr">
        <is>
          <t>FY2025</t>
        </is>
      </c>
      <c r="B35" s="45" t="n">
        <v>7133.45</v>
      </c>
      <c r="C35" s="46" t="n">
        <v>11003.02</v>
      </c>
      <c r="D35" s="45" t="n">
        <v>2842.8</v>
      </c>
      <c r="E35" s="45" t="n">
        <v>15293.67</v>
      </c>
    </row>
    <row r="36">
      <c r="A36" s="5" t="inlineStr">
        <is>
          <t>FY2026</t>
        </is>
      </c>
      <c r="B36" s="45" t="n">
        <v>15293.67</v>
      </c>
      <c r="C36" s="47" t="inlineStr">
        <is>
          <t>n/d</t>
        </is>
      </c>
      <c r="D36" s="47" t="inlineStr">
        <is>
          <t>n/d</t>
        </is>
      </c>
      <c r="E36" s="45" t="n">
        <v>22523.63</v>
      </c>
    </row>
    <row r="38">
      <c r="A38" s="11" t="inlineStr">
        <is>
          <t>D.  Driver ratio analysis (coefficient of variation - lower = more stable = better forecasting driver)</t>
        </is>
      </c>
      <c r="B38" s="1" t="n"/>
      <c r="C38" s="1" t="n"/>
      <c r="D38" s="1" t="n"/>
      <c r="E38" s="1" t="n"/>
      <c r="F38" s="1" t="n"/>
      <c r="G38" s="1" t="n"/>
      <c r="H38" s="1" t="n"/>
      <c r="I38" s="1" t="n"/>
      <c r="J38" s="1" t="n"/>
      <c r="K38" s="1" t="n"/>
      <c r="L38" s="1" t="n"/>
      <c r="M38" s="1" t="n"/>
      <c r="N38" s="1" t="n"/>
      <c r="O38" s="1" t="n"/>
    </row>
    <row r="39">
      <c r="A39" s="15" t="inlineStr">
        <is>
          <t>Driver</t>
        </is>
      </c>
      <c r="B39" s="15" t="inlineStr">
        <is>
          <t>FY2020</t>
        </is>
      </c>
      <c r="C39" s="15" t="inlineStr">
        <is>
          <t>FY2021</t>
        </is>
      </c>
      <c r="D39" s="15" t="inlineStr">
        <is>
          <t>FY2022</t>
        </is>
      </c>
      <c r="E39" s="15" t="inlineStr">
        <is>
          <t>FY2023</t>
        </is>
      </c>
      <c r="F39" s="15" t="inlineStr">
        <is>
          <t>FY2024</t>
        </is>
      </c>
      <c r="G39" s="15" t="inlineStr">
        <is>
          <t>FY2025</t>
        </is>
      </c>
      <c r="H39" s="15" t="inlineStr">
        <is>
          <t>FY2026</t>
        </is>
      </c>
      <c r="I39" s="15" t="inlineStr">
        <is>
          <t>CV</t>
        </is>
      </c>
      <c r="J39" s="15" t="inlineStr">
        <is>
          <t>Selected?</t>
        </is>
      </c>
    </row>
    <row r="40">
      <c r="A40" s="4" t="inlineStr">
        <is>
          <t>CA / Revenue  &lt;- SELECTED (CA driver)</t>
        </is>
      </c>
      <c r="B40" s="48" t="n">
        <v>1.108608526059095</v>
      </c>
      <c r="C40" s="48" t="n">
        <v>1.391178650724</v>
      </c>
      <c r="D40" s="48" t="n">
        <v>1.270084187092696</v>
      </c>
      <c r="E40" s="48" t="n">
        <v>1.272848550006976</v>
      </c>
      <c r="F40" s="48" t="n">
        <v>1.119482119703107</v>
      </c>
      <c r="G40" s="48" t="n">
        <v>1.038979190867299</v>
      </c>
      <c r="H40" s="48" t="n">
        <v>0.869973755394116</v>
      </c>
      <c r="I40" s="49" t="n">
        <v>0.1394609887847866</v>
      </c>
      <c r="J40" s="50" t="inlineStr">
        <is>
          <t>YES</t>
        </is>
      </c>
    </row>
    <row r="41">
      <c r="A41" s="5" t="inlineStr">
        <is>
          <t>CA / Closing order book</t>
        </is>
      </c>
      <c r="B41" s="51" t="n"/>
      <c r="C41" s="51" t="n">
        <v>0.2681068442207698</v>
      </c>
      <c r="D41" s="51" t="n">
        <v>0.2990527729674526</v>
      </c>
      <c r="E41" s="51" t="n">
        <v>0.3256112595252694</v>
      </c>
      <c r="F41" s="51" t="n">
        <v>0.203251873128771</v>
      </c>
      <c r="G41" s="51" t="n">
        <v>0.149974175868954</v>
      </c>
      <c r="H41" s="51" t="n">
        <v>0.1224567083333333</v>
      </c>
      <c r="I41" s="52" t="n">
        <v>0.3301746612223686</v>
      </c>
      <c r="J41" s="53" t="inlineStr"/>
    </row>
    <row r="42">
      <c r="A42" s="5" t="inlineStr">
        <is>
          <t>CA days (vs revenue)</t>
        </is>
      </c>
      <c r="B42" s="54" t="n">
        <v>404.6421120115697</v>
      </c>
      <c r="C42" s="54" t="n">
        <v>507.7802075142602</v>
      </c>
      <c r="D42" s="54" t="n">
        <v>463.5807282888339</v>
      </c>
      <c r="E42" s="54" t="n">
        <v>464.5897207525464</v>
      </c>
      <c r="F42" s="54" t="n">
        <v>408.6109736916341</v>
      </c>
      <c r="G42" s="54" t="n">
        <v>379.227404666564</v>
      </c>
      <c r="H42" s="54" t="n">
        <v>317.5404207188524</v>
      </c>
      <c r="I42" s="52" t="n">
        <v>0.1394609887847866</v>
      </c>
      <c r="J42" s="53" t="inlineStr"/>
    </row>
    <row r="43">
      <c r="A43" s="5" t="inlineStr">
        <is>
          <t>CL / Revenue</t>
        </is>
      </c>
      <c r="B43" s="51" t="n">
        <v>0.3130595057386757</v>
      </c>
      <c r="C43" s="51" t="n">
        <v>0.396584028022918</v>
      </c>
      <c r="D43" s="51" t="n">
        <v>0.2851225467432367</v>
      </c>
      <c r="E43" s="51" t="n">
        <v>0.241173741511855</v>
      </c>
      <c r="F43" s="51" t="n">
        <v>0.298560904172725</v>
      </c>
      <c r="G43" s="51" t="n">
        <v>0.5396595138654626</v>
      </c>
      <c r="H43" s="51" t="n">
        <v>0.6667310990587344</v>
      </c>
      <c r="I43" s="52" t="n">
        <v>0.3693840190049631</v>
      </c>
      <c r="J43" s="53" t="inlineStr"/>
    </row>
    <row r="44">
      <c r="A44" s="4" t="inlineStr">
        <is>
          <t>CL / Closing order book  &lt;- SELECTED (CL driver)</t>
        </is>
      </c>
      <c r="B44" s="48" t="n"/>
      <c r="C44" s="48" t="n">
        <v>0.07642935877879595</v>
      </c>
      <c r="D44" s="48" t="n">
        <v>0.06713467430398296</v>
      </c>
      <c r="E44" s="48" t="n">
        <v>0.06169538845581151</v>
      </c>
      <c r="F44" s="48" t="n">
        <v>0.05420637091749115</v>
      </c>
      <c r="G44" s="48" t="n">
        <v>0.07789856770302758</v>
      </c>
      <c r="H44" s="48" t="n">
        <v>0.09384845833333333</v>
      </c>
      <c r="I44" s="49" t="n">
        <v>0.1776573180033102</v>
      </c>
      <c r="J44" s="50" t="inlineStr">
        <is>
          <t>YES</t>
        </is>
      </c>
    </row>
    <row r="45">
      <c r="A45" s="5" t="inlineStr">
        <is>
          <t>CL / Order inflow</t>
        </is>
      </c>
      <c r="B45" s="51" t="n"/>
      <c r="C45" s="51" t="n">
        <v>0.5984612031386225</v>
      </c>
      <c r="D45" s="51" t="n">
        <v>0.296764316207861</v>
      </c>
      <c r="E45" s="51" t="n">
        <v>0.2392988788856803</v>
      </c>
      <c r="F45" s="51" t="n">
        <v>0.09156365923472859</v>
      </c>
      <c r="G45" s="51" t="n">
        <v>0.1652744366996272</v>
      </c>
      <c r="H45" s="51" t="n">
        <v>0.2966914747879235</v>
      </c>
      <c r="I45" s="52" t="n">
        <v>0.5662777583061424</v>
      </c>
      <c r="J45" s="53" t="inlineStr"/>
    </row>
    <row r="46">
      <c r="A46" s="5" t="inlineStr">
        <is>
          <t>CL days (vs revenue)</t>
        </is>
      </c>
      <c r="B46" s="54" t="n">
        <v>114.2667195946166</v>
      </c>
      <c r="C46" s="54" t="n">
        <v>144.7531702283651</v>
      </c>
      <c r="D46" s="54" t="n">
        <v>104.0697295612814</v>
      </c>
      <c r="E46" s="54" t="n">
        <v>88.02841565182706</v>
      </c>
      <c r="F46" s="54" t="n">
        <v>108.9747300230446</v>
      </c>
      <c r="G46" s="54" t="n">
        <v>196.9757225608939</v>
      </c>
      <c r="H46" s="54" t="n">
        <v>243.3568511564381</v>
      </c>
      <c r="I46" s="52" t="n">
        <v>0.3693840190049631</v>
      </c>
      <c r="J46" s="53" t="inlineStr"/>
    </row>
    <row r="47">
      <c r="A47" s="5" t="inlineStr">
        <is>
          <t>CA current %  (of total CA)</t>
        </is>
      </c>
      <c r="B47" s="55" t="n">
        <v>0.3223665243071637</v>
      </c>
      <c r="C47" s="55" t="n">
        <v>0.3112430168757797</v>
      </c>
      <c r="D47" s="55" t="n">
        <v>0.3226307328134842</v>
      </c>
      <c r="E47" s="55" t="n">
        <v>0.3635319130478348</v>
      </c>
      <c r="F47" s="55" t="n">
        <v>0.5029176514924363</v>
      </c>
      <c r="G47" s="55" t="n">
        <v>0.5358810058235717</v>
      </c>
      <c r="H47" s="55" t="n">
        <v>0.5169476559913521</v>
      </c>
      <c r="I47" s="52" t="n">
        <v>0.2311956546169867</v>
      </c>
      <c r="J47" s="53" t="inlineStr"/>
    </row>
    <row r="48">
      <c r="A48" s="5" t="inlineStr">
        <is>
          <t>CA non-current %  (of total CA)</t>
        </is>
      </c>
      <c r="B48" s="55" t="n">
        <v>0.6776334756928363</v>
      </c>
      <c r="C48" s="55" t="n">
        <v>0.6887569831242203</v>
      </c>
      <c r="D48" s="55" t="n">
        <v>0.6773692671865157</v>
      </c>
      <c r="E48" s="55" t="n">
        <v>0.6364680869521652</v>
      </c>
      <c r="F48" s="55" t="n">
        <v>0.4970823485075637</v>
      </c>
      <c r="G48" s="55" t="n">
        <v>0.4641189941764284</v>
      </c>
      <c r="H48" s="55" t="n">
        <v>0.4830523440086479</v>
      </c>
      <c r="I48" s="52" t="n">
        <v>0.1611856865181055</v>
      </c>
      <c r="J48" s="53" t="inlineStr"/>
    </row>
    <row r="49">
      <c r="A49" s="5" t="inlineStr">
        <is>
          <t>CL current %  (of total CL)</t>
        </is>
      </c>
      <c r="B49" s="55" t="n">
        <v>0.5652544037718552</v>
      </c>
      <c r="C49" s="55" t="n">
        <v>0.5911484699935172</v>
      </c>
      <c r="D49" s="55" t="n">
        <v>0.6373153035173353</v>
      </c>
      <c r="E49" s="55" t="n">
        <v>0.5411418968200589</v>
      </c>
      <c r="F49" s="55" t="n">
        <v>0.4303808115287834</v>
      </c>
      <c r="G49" s="55" t="n">
        <v>0.3629429692153682</v>
      </c>
      <c r="H49" s="55" t="n">
        <v>0.4044814268392795</v>
      </c>
      <c r="I49" s="52" t="n">
        <v>0.1919932284419283</v>
      </c>
      <c r="J49" s="53" t="inlineStr"/>
    </row>
    <row r="50">
      <c r="A50" s="5" t="inlineStr">
        <is>
          <t>CL non-current %  (of total CL)</t>
        </is>
      </c>
      <c r="B50" s="55" t="n">
        <v>0.4347455962281448</v>
      </c>
      <c r="C50" s="55" t="n">
        <v>0.4088515300064827</v>
      </c>
      <c r="D50" s="55" t="n">
        <v>0.3626846964826646</v>
      </c>
      <c r="E50" s="55" t="n">
        <v>0.4588581031799411</v>
      </c>
      <c r="F50" s="55" t="n">
        <v>0.5696191884712166</v>
      </c>
      <c r="G50" s="55" t="n">
        <v>0.6370570307846318</v>
      </c>
      <c r="H50" s="55" t="n">
        <v>0.5955185731607207</v>
      </c>
      <c r="I50" s="52" t="n">
        <v>0.1956107118396362</v>
      </c>
      <c r="J50" s="53" t="inlineStr"/>
    </row>
    <row r="52" ht="60" customHeight="1">
      <c r="A52" s="13" t="inlineStr">
        <is>
          <t>SELECTION RATIONALE: Contract assets are unbilled REVENUE recognised under the input-cost (%-of-completion) method - they scale with revenue actually recognised, not with the (mostly unexecuted) order book. CA/Revenue has the lowest CV (0.139 vs 0.330 for CA/Order-book) and is economically sound -&gt; SELECTED. Contract liabilities are customer ADVANCES tied to work still to be performed - they scale with the size of the order book (future work), not with revenue already recognised. CL/Closing-order-book has the lowest CV among order-book/inflow-based measures (0.178 vs 0.369 for CL/Revenue, 0.566 for CL/Inflow) and is economically sound -&gt; SELECTED. Both current/non-current splits show a STRUCTURAL SHIFT after FY23 (working-capital initiatives per the Q4FY24 concall, 21-May-2024); the recent 3-year (FY24-26) average is used for the split, not the full 7-year average, as it is far more stable (CV ~0.03-0.07 vs ~0.19-0.23 over the full period) and represents the current operating regime.</t>
        </is>
      </c>
    </row>
    <row r="55">
      <c r="A55" s="11" t="inlineStr">
        <is>
          <t>E.  Forecast FY2027-FY2033 (driver-based, linked to Revenue Build-up)</t>
        </is>
      </c>
      <c r="B55" s="1" t="n"/>
      <c r="C55" s="1" t="n"/>
      <c r="D55" s="1" t="n"/>
      <c r="E55" s="1" t="n"/>
      <c r="F55" s="1" t="n"/>
      <c r="G55" s="1" t="n"/>
      <c r="H55" s="1" t="n"/>
      <c r="I55" s="1" t="n"/>
      <c r="J55" s="1" t="n"/>
      <c r="K55" s="1" t="n"/>
      <c r="L55" s="1" t="n"/>
      <c r="M55" s="1" t="n"/>
      <c r="N55" s="1" t="n"/>
      <c r="O55" s="1" t="n"/>
    </row>
    <row r="56">
      <c r="A56" s="5" t="inlineStr"/>
      <c r="B56" s="15" t="inlineStr">
        <is>
          <t>FY2027</t>
        </is>
      </c>
      <c r="C56" s="15" t="inlineStr">
        <is>
          <t>FY2028</t>
        </is>
      </c>
      <c r="D56" s="15" t="inlineStr">
        <is>
          <t>FY2029</t>
        </is>
      </c>
      <c r="E56" s="15" t="inlineStr">
        <is>
          <t>FY2030</t>
        </is>
      </c>
      <c r="F56" s="15" t="inlineStr">
        <is>
          <t>FY2031</t>
        </is>
      </c>
      <c r="G56" s="15" t="inlineStr">
        <is>
          <t>FY2032</t>
        </is>
      </c>
      <c r="H56" s="15" t="inlineStr">
        <is>
          <t>FY2033</t>
        </is>
      </c>
    </row>
    <row r="57">
      <c r="A57" s="5" t="inlineStr">
        <is>
          <t xml:space="preserve">   Revenue (from Revenue Build-up)</t>
        </is>
      </c>
      <c r="I57" s="33">
        <f>'Revenue Build-up'!I15</f>
        <v/>
      </c>
      <c r="J57" s="33">
        <f>'Revenue Build-up'!J15</f>
        <v/>
      </c>
      <c r="K57" s="33">
        <f>'Revenue Build-up'!K15</f>
        <v/>
      </c>
      <c r="L57" s="33">
        <f>'Revenue Build-up'!L15</f>
        <v/>
      </c>
      <c r="M57" s="33">
        <f>'Revenue Build-up'!M15</f>
        <v/>
      </c>
      <c r="N57" s="33">
        <f>'Revenue Build-up'!N15</f>
        <v/>
      </c>
      <c r="O57" s="33">
        <f>'Revenue Build-up'!O15</f>
        <v/>
      </c>
    </row>
    <row r="58">
      <c r="A58" s="5" t="inlineStr">
        <is>
          <t xml:space="preserve">   Closing order book (from Revenue Build-up)</t>
        </is>
      </c>
      <c r="I58" s="33">
        <f>'Revenue Build-up'!I10</f>
        <v/>
      </c>
      <c r="J58" s="33">
        <f>'Revenue Build-up'!J10</f>
        <v/>
      </c>
      <c r="K58" s="33">
        <f>'Revenue Build-up'!K10</f>
        <v/>
      </c>
      <c r="L58" s="33">
        <f>'Revenue Build-up'!L10</f>
        <v/>
      </c>
      <c r="M58" s="33">
        <f>'Revenue Build-up'!M10</f>
        <v/>
      </c>
      <c r="N58" s="33">
        <f>'Revenue Build-up'!N10</f>
        <v/>
      </c>
      <c r="O58" s="33">
        <f>'Revenue Build-up'!O10</f>
        <v/>
      </c>
    </row>
    <row r="60">
      <c r="A60" s="4" t="inlineStr">
        <is>
          <t>Contract Assets</t>
        </is>
      </c>
    </row>
    <row r="61">
      <c r="A61" s="5" t="inlineStr">
        <is>
          <t xml:space="preserve">   CA / Revenue (driver, selected)</t>
        </is>
      </c>
      <c r="I61" s="40">
        <f>'Assumptions'!I40</f>
        <v/>
      </c>
      <c r="J61" s="40">
        <f>'Assumptions'!J40</f>
        <v/>
      </c>
      <c r="K61" s="40">
        <f>'Assumptions'!K40</f>
        <v/>
      </c>
      <c r="L61" s="40">
        <f>'Assumptions'!L40</f>
        <v/>
      </c>
      <c r="M61" s="40">
        <f>'Assumptions'!M40</f>
        <v/>
      </c>
      <c r="N61" s="40">
        <f>'Assumptions'!N40</f>
        <v/>
      </c>
      <c r="O61" s="40">
        <f>'Assumptions'!O40</f>
        <v/>
      </c>
    </row>
    <row r="62">
      <c r="A62" s="4" t="inlineStr">
        <is>
          <t>Total contract assets</t>
        </is>
      </c>
      <c r="I62" s="44">
        <f>I61*I57</f>
        <v/>
      </c>
      <c r="J62" s="44">
        <f>J61*J57</f>
        <v/>
      </c>
      <c r="K62" s="44">
        <f>K61*K57</f>
        <v/>
      </c>
      <c r="L62" s="44">
        <f>L61*L57</f>
        <v/>
      </c>
      <c r="M62" s="44">
        <f>M61*M57</f>
        <v/>
      </c>
      <c r="N62" s="44">
        <f>N61*N57</f>
        <v/>
      </c>
      <c r="O62" s="44">
        <f>O61*O57</f>
        <v/>
      </c>
    </row>
    <row r="63">
      <c r="A63" s="5" t="inlineStr">
        <is>
          <t xml:space="preserve">   Current split (driver, selected)</t>
        </is>
      </c>
      <c r="I63" s="40">
        <f>'Assumptions'!I42</f>
        <v/>
      </c>
      <c r="J63" s="40">
        <f>'Assumptions'!J42</f>
        <v/>
      </c>
      <c r="K63" s="40">
        <f>'Assumptions'!K42</f>
        <v/>
      </c>
      <c r="L63" s="40">
        <f>'Assumptions'!L42</f>
        <v/>
      </c>
      <c r="M63" s="40">
        <f>'Assumptions'!M42</f>
        <v/>
      </c>
      <c r="N63" s="40">
        <f>'Assumptions'!N42</f>
        <v/>
      </c>
      <c r="O63" s="40">
        <f>'Assumptions'!O42</f>
        <v/>
      </c>
    </row>
    <row r="64">
      <c r="A64" s="5" t="inlineStr">
        <is>
          <t xml:space="preserve">   Current contract assets</t>
        </is>
      </c>
      <c r="I64" s="33">
        <f>I62*I63</f>
        <v/>
      </c>
      <c r="J64" s="33">
        <f>J62*J63</f>
        <v/>
      </c>
      <c r="K64" s="33">
        <f>K62*K63</f>
        <v/>
      </c>
      <c r="L64" s="33">
        <f>L62*L63</f>
        <v/>
      </c>
      <c r="M64" s="33">
        <f>M62*M63</f>
        <v/>
      </c>
      <c r="N64" s="33">
        <f>N62*N63</f>
        <v/>
      </c>
      <c r="O64" s="33">
        <f>O62*O63</f>
        <v/>
      </c>
    </row>
    <row r="65">
      <c r="A65" s="5" t="inlineStr">
        <is>
          <t xml:space="preserve">   Non-current contract assets</t>
        </is>
      </c>
      <c r="I65" s="33">
        <f>I62-I64</f>
        <v/>
      </c>
      <c r="J65" s="33">
        <f>J62-J64</f>
        <v/>
      </c>
      <c r="K65" s="33">
        <f>K62-K64</f>
        <v/>
      </c>
      <c r="L65" s="33">
        <f>L62-L64</f>
        <v/>
      </c>
      <c r="M65" s="33">
        <f>M62-M64</f>
        <v/>
      </c>
      <c r="N65" s="33">
        <f>N62-N64</f>
        <v/>
      </c>
      <c r="O65" s="33">
        <f>O62-O64</f>
        <v/>
      </c>
    </row>
    <row r="67">
      <c r="A67" s="4" t="inlineStr">
        <is>
          <t>Contract Liabilities</t>
        </is>
      </c>
    </row>
    <row r="68">
      <c r="A68" s="5" t="inlineStr">
        <is>
          <t xml:space="preserve">   CL / Closing order book (driver, selected)</t>
        </is>
      </c>
      <c r="I68" s="40">
        <f>'Assumptions'!I41</f>
        <v/>
      </c>
      <c r="J68" s="40">
        <f>'Assumptions'!J41</f>
        <v/>
      </c>
      <c r="K68" s="40">
        <f>'Assumptions'!K41</f>
        <v/>
      </c>
      <c r="L68" s="40">
        <f>'Assumptions'!L41</f>
        <v/>
      </c>
      <c r="M68" s="40">
        <f>'Assumptions'!M41</f>
        <v/>
      </c>
      <c r="N68" s="40">
        <f>'Assumptions'!N41</f>
        <v/>
      </c>
      <c r="O68" s="40">
        <f>'Assumptions'!O41</f>
        <v/>
      </c>
    </row>
    <row r="69">
      <c r="A69" s="4" t="inlineStr">
        <is>
          <t>Total contract liabilities</t>
        </is>
      </c>
      <c r="I69" s="44">
        <f>I68*I58</f>
        <v/>
      </c>
      <c r="J69" s="44">
        <f>J68*J58</f>
        <v/>
      </c>
      <c r="K69" s="44">
        <f>K68*K58</f>
        <v/>
      </c>
      <c r="L69" s="44">
        <f>L68*L58</f>
        <v/>
      </c>
      <c r="M69" s="44">
        <f>M68*M58</f>
        <v/>
      </c>
      <c r="N69" s="44">
        <f>N68*N58</f>
        <v/>
      </c>
      <c r="O69" s="44">
        <f>O68*O58</f>
        <v/>
      </c>
    </row>
    <row r="70">
      <c r="A70" s="5" t="inlineStr">
        <is>
          <t xml:space="preserve">   Current split (driver, selected)</t>
        </is>
      </c>
      <c r="I70" s="40">
        <f>'Assumptions'!I43</f>
        <v/>
      </c>
      <c r="J70" s="40">
        <f>'Assumptions'!J43</f>
        <v/>
      </c>
      <c r="K70" s="40">
        <f>'Assumptions'!K43</f>
        <v/>
      </c>
      <c r="L70" s="40">
        <f>'Assumptions'!L43</f>
        <v/>
      </c>
      <c r="M70" s="40">
        <f>'Assumptions'!M43</f>
        <v/>
      </c>
      <c r="N70" s="40">
        <f>'Assumptions'!N43</f>
        <v/>
      </c>
      <c r="O70" s="40">
        <f>'Assumptions'!O43</f>
        <v/>
      </c>
    </row>
    <row r="71">
      <c r="A71" s="5" t="inlineStr">
        <is>
          <t xml:space="preserve">   Current contract liabilities</t>
        </is>
      </c>
      <c r="I71" s="33">
        <f>I69*I70</f>
        <v/>
      </c>
      <c r="J71" s="33">
        <f>J69*J70</f>
        <v/>
      </c>
      <c r="K71" s="33">
        <f>K69*K70</f>
        <v/>
      </c>
      <c r="L71" s="33">
        <f>L69*L70</f>
        <v/>
      </c>
      <c r="M71" s="33">
        <f>M69*M70</f>
        <v/>
      </c>
      <c r="N71" s="33">
        <f>N69*N70</f>
        <v/>
      </c>
      <c r="O71" s="33">
        <f>O69*O70</f>
        <v/>
      </c>
    </row>
    <row r="72">
      <c r="A72" s="5" t="inlineStr">
        <is>
          <t xml:space="preserve">   Non-current contract liabilities</t>
        </is>
      </c>
      <c r="I72" s="33">
        <f>I69-I71</f>
        <v/>
      </c>
      <c r="J72" s="33">
        <f>J69-J71</f>
        <v/>
      </c>
      <c r="K72" s="33">
        <f>K69-K71</f>
        <v/>
      </c>
      <c r="L72" s="33">
        <f>L69-L71</f>
        <v/>
      </c>
      <c r="M72" s="33">
        <f>M69-M71</f>
        <v/>
      </c>
      <c r="N72" s="33">
        <f>N69-N71</f>
        <v/>
      </c>
      <c r="O72" s="33">
        <f>O69-O71</f>
        <v/>
      </c>
    </row>
    <row r="75">
      <c r="A75" s="11" t="inlineStr">
        <is>
          <t>F.  Sensitivity - execution rate &amp; customer-advance (CL/order-book) rate</t>
        </is>
      </c>
      <c r="B75" s="1" t="n"/>
      <c r="C75" s="1" t="n"/>
      <c r="D75" s="1" t="n"/>
      <c r="E75" s="1" t="n"/>
      <c r="F75" s="1" t="n"/>
      <c r="G75" s="1" t="n"/>
      <c r="H75" s="1" t="n"/>
      <c r="I75" s="1" t="n"/>
      <c r="J75" s="1" t="n"/>
      <c r="K75" s="1" t="n"/>
      <c r="L75" s="1" t="n"/>
      <c r="M75" s="1" t="n"/>
      <c r="N75" s="1" t="n"/>
      <c r="O75" s="1" t="n"/>
    </row>
    <row r="76">
      <c r="A76" s="13" t="inlineStr">
        <is>
          <t>Impact of a +/-1pp change in FY2027E execution rate and FY2027E CL/order-book ratio on FY2027E contract balances and net working-capital cash impact (vs base case). All other assumptions held at base case.</t>
        </is>
      </c>
    </row>
    <row r="78">
      <c r="A78" s="15" t="inlineStr">
        <is>
          <t>Scenario</t>
        </is>
      </c>
      <c r="B78" s="15" t="inlineStr">
        <is>
          <t>FY27E Rev</t>
        </is>
      </c>
      <c r="C78" s="15" t="inlineStr">
        <is>
          <t>FY27E CA</t>
        </is>
      </c>
      <c r="D78" s="15" t="inlineStr">
        <is>
          <t>FY27E CL</t>
        </is>
      </c>
      <c r="E78" s="15" t="inlineStr">
        <is>
          <t>Net WC cash impact (CA-CL), delta vs base</t>
        </is>
      </c>
    </row>
    <row r="79">
      <c r="A79" s="5" t="inlineStr">
        <is>
          <t>Base case</t>
        </is>
      </c>
      <c r="B79" s="56" t="n">
        <v>40392</v>
      </c>
      <c r="C79" s="56" t="n">
        <v>33525.36</v>
      </c>
      <c r="D79" s="56" t="n">
        <v>26448</v>
      </c>
      <c r="E79" s="57" t="n">
        <v>0</v>
      </c>
    </row>
    <row r="80">
      <c r="A80" s="5" t="inlineStr">
        <is>
          <t>Execution rate +1pp</t>
        </is>
      </c>
      <c r="B80" s="56" t="n">
        <v>42840.00000000001</v>
      </c>
      <c r="C80" s="56" t="n">
        <v>35557.2</v>
      </c>
      <c r="D80" s="56" t="n">
        <v>26220</v>
      </c>
      <c r="E80" s="56" t="n">
        <v>2259.840000000004</v>
      </c>
    </row>
    <row r="81">
      <c r="A81" s="5" t="inlineStr">
        <is>
          <t>Execution rate -1pp</t>
        </is>
      </c>
      <c r="B81" s="56" t="n">
        <v>37944</v>
      </c>
      <c r="C81" s="56" t="n">
        <v>31493.52</v>
      </c>
      <c r="D81" s="56" t="n">
        <v>26676</v>
      </c>
      <c r="E81" s="56" t="n">
        <v>-2259.840000000004</v>
      </c>
    </row>
    <row r="82">
      <c r="A82" s="5" t="inlineStr">
        <is>
          <t>CL/order-book +1pp</t>
        </is>
      </c>
      <c r="B82" s="56" t="n">
        <v>40392</v>
      </c>
      <c r="C82" s="56" t="n">
        <v>33525.36</v>
      </c>
      <c r="D82" s="56" t="n">
        <v>29232</v>
      </c>
      <c r="E82" s="56" t="n">
        <v>-2784</v>
      </c>
    </row>
    <row r="83">
      <c r="A83" s="5" t="inlineStr">
        <is>
          <t>CL/order-book -1pp</t>
        </is>
      </c>
      <c r="B83" s="56" t="n">
        <v>40392</v>
      </c>
      <c r="C83" s="56" t="n">
        <v>33525.36</v>
      </c>
      <c r="D83" s="56" t="n">
        <v>23664</v>
      </c>
      <c r="E83" s="56" t="n">
        <v>2784</v>
      </c>
    </row>
    <row r="85">
      <c r="A85" s="13" t="inlineStr">
        <is>
          <t>Reading: a HIGHER execution rate converts order book to revenue faster, raising contract assets (more unbilled revenue) - a cash DRAG. A HIGHER CL/order-book ratio means customers advance more cash relative to backlog - a cash BENEFIT. These are pre-computed reference scenarios (Python cross-check); the live two-way table below recalculates directly from the Assumptions sheet.</t>
        </is>
      </c>
    </row>
    <row r="87">
      <c r="A87" s="4" t="inlineStr">
        <is>
          <t>Live sensitivity: FY2027E (Contract Assets - Contract Liabilities), INR Cr, vs execution-rate &amp; CL/OB deltas</t>
        </is>
      </c>
    </row>
    <row r="88">
      <c r="B88" s="15" t="inlineStr">
        <is>
          <t>CL/OB delta \ Exec.rate delta</t>
        </is>
      </c>
      <c r="C88" s="58">
        <f>'Assumptions'!I10+(-0.02)</f>
        <v/>
      </c>
      <c r="D88" s="58">
        <f>'Assumptions'!I10+(-0.01)</f>
        <v/>
      </c>
      <c r="E88" s="58">
        <f>'Assumptions'!I10+(0.0)</f>
        <v/>
      </c>
      <c r="F88" s="58">
        <f>'Assumptions'!I10+(0.01)</f>
        <v/>
      </c>
      <c r="G88" s="58">
        <f>'Assumptions'!I10+(0.02)</f>
        <v/>
      </c>
    </row>
    <row r="89">
      <c r="B89" s="58">
        <f>'Assumptions'!I41+(-0.02)</f>
        <v/>
      </c>
      <c r="C89" s="59">
        <f>'Assumptions'!I40*('Revenue Build-up'!H10*C$88*(1+'Assumptions'!I22))-$B89*('Revenue Build-up'!H10+'Assumptions'!I5-'Revenue Build-up'!H10*C$88)</f>
        <v/>
      </c>
      <c r="D89" s="59">
        <f>'Assumptions'!I40*('Revenue Build-up'!H10*D$88*(1+'Assumptions'!I22))-$B89*('Revenue Build-up'!H10+'Assumptions'!I5-'Revenue Build-up'!H10*D$88)</f>
        <v/>
      </c>
      <c r="E89" s="59">
        <f>'Assumptions'!I40*('Revenue Build-up'!H10*E$88*(1+'Assumptions'!I22))-$B89*('Revenue Build-up'!H10+'Assumptions'!I5-'Revenue Build-up'!H10*E$88)</f>
        <v/>
      </c>
      <c r="F89" s="59">
        <f>'Assumptions'!I40*('Revenue Build-up'!H10*F$88*(1+'Assumptions'!I22))-$B89*('Revenue Build-up'!H10+'Assumptions'!I5-'Revenue Build-up'!H10*F$88)</f>
        <v/>
      </c>
      <c r="G89" s="59">
        <f>'Assumptions'!I40*('Revenue Build-up'!H10*G$88*(1+'Assumptions'!I22))-$B89*('Revenue Build-up'!H10+'Assumptions'!I5-'Revenue Build-up'!H10*G$88)</f>
        <v/>
      </c>
    </row>
    <row r="90">
      <c r="B90" s="58">
        <f>'Assumptions'!I41+(-0.01)</f>
        <v/>
      </c>
      <c r="C90" s="59">
        <f>'Assumptions'!I40*('Revenue Build-up'!H10*C$88*(1+'Assumptions'!I22))-$B90*('Revenue Build-up'!H10+'Assumptions'!I5-'Revenue Build-up'!H10*C$88)</f>
        <v/>
      </c>
      <c r="D90" s="59">
        <f>'Assumptions'!I40*('Revenue Build-up'!H10*D$88*(1+'Assumptions'!I22))-$B90*('Revenue Build-up'!H10+'Assumptions'!I5-'Revenue Build-up'!H10*D$88)</f>
        <v/>
      </c>
      <c r="E90" s="59">
        <f>'Assumptions'!I40*('Revenue Build-up'!H10*E$88*(1+'Assumptions'!I22))-$B90*('Revenue Build-up'!H10+'Assumptions'!I5-'Revenue Build-up'!H10*E$88)</f>
        <v/>
      </c>
      <c r="F90" s="59">
        <f>'Assumptions'!I40*('Revenue Build-up'!H10*F$88*(1+'Assumptions'!I22))-$B90*('Revenue Build-up'!H10+'Assumptions'!I5-'Revenue Build-up'!H10*F$88)</f>
        <v/>
      </c>
      <c r="G90" s="59">
        <f>'Assumptions'!I40*('Revenue Build-up'!H10*G$88*(1+'Assumptions'!I22))-$B90*('Revenue Build-up'!H10+'Assumptions'!I5-'Revenue Build-up'!H10*G$88)</f>
        <v/>
      </c>
    </row>
    <row r="91">
      <c r="B91" s="58">
        <f>'Assumptions'!I41+(0.0)</f>
        <v/>
      </c>
      <c r="C91" s="59">
        <f>'Assumptions'!I40*('Revenue Build-up'!H10*C$88*(1+'Assumptions'!I22))-$B91*('Revenue Build-up'!H10+'Assumptions'!I5-'Revenue Build-up'!H10*C$88)</f>
        <v/>
      </c>
      <c r="D91" s="59">
        <f>'Assumptions'!I40*('Revenue Build-up'!H10*D$88*(1+'Assumptions'!I22))-$B91*('Revenue Build-up'!H10+'Assumptions'!I5-'Revenue Build-up'!H10*D$88)</f>
        <v/>
      </c>
      <c r="E91" s="60">
        <f>'Assumptions'!I40*('Revenue Build-up'!H10*E$88*(1+'Assumptions'!I22))-$B91*('Revenue Build-up'!H10+'Assumptions'!I5-'Revenue Build-up'!H10*E$88)</f>
        <v/>
      </c>
      <c r="F91" s="59">
        <f>'Assumptions'!I40*('Revenue Build-up'!H10*F$88*(1+'Assumptions'!I22))-$B91*('Revenue Build-up'!H10+'Assumptions'!I5-'Revenue Build-up'!H10*F$88)</f>
        <v/>
      </c>
      <c r="G91" s="59">
        <f>'Assumptions'!I40*('Revenue Build-up'!H10*G$88*(1+'Assumptions'!I22))-$B91*('Revenue Build-up'!H10+'Assumptions'!I5-'Revenue Build-up'!H10*G$88)</f>
        <v/>
      </c>
    </row>
    <row r="92">
      <c r="B92" s="58">
        <f>'Assumptions'!I41+(0.01)</f>
        <v/>
      </c>
      <c r="C92" s="59">
        <f>'Assumptions'!I40*('Revenue Build-up'!H10*C$88*(1+'Assumptions'!I22))-$B92*('Revenue Build-up'!H10+'Assumptions'!I5-'Revenue Build-up'!H10*C$88)</f>
        <v/>
      </c>
      <c r="D92" s="59">
        <f>'Assumptions'!I40*('Revenue Build-up'!H10*D$88*(1+'Assumptions'!I22))-$B92*('Revenue Build-up'!H10+'Assumptions'!I5-'Revenue Build-up'!H10*D$88)</f>
        <v/>
      </c>
      <c r="E92" s="59">
        <f>'Assumptions'!I40*('Revenue Build-up'!H10*E$88*(1+'Assumptions'!I22))-$B92*('Revenue Build-up'!H10+'Assumptions'!I5-'Revenue Build-up'!H10*E$88)</f>
        <v/>
      </c>
      <c r="F92" s="59">
        <f>'Assumptions'!I40*('Revenue Build-up'!H10*F$88*(1+'Assumptions'!I22))-$B92*('Revenue Build-up'!H10+'Assumptions'!I5-'Revenue Build-up'!H10*F$88)</f>
        <v/>
      </c>
      <c r="G92" s="59">
        <f>'Assumptions'!I40*('Revenue Build-up'!H10*G$88*(1+'Assumptions'!I22))-$B92*('Revenue Build-up'!H10+'Assumptions'!I5-'Revenue Build-up'!H10*G$88)</f>
        <v/>
      </c>
    </row>
    <row r="93">
      <c r="B93" s="58">
        <f>'Assumptions'!I41+(0.02)</f>
        <v/>
      </c>
      <c r="C93" s="59">
        <f>'Assumptions'!I40*('Revenue Build-up'!H10*C$88*(1+'Assumptions'!I22))-$B93*('Revenue Build-up'!H10+'Assumptions'!I5-'Revenue Build-up'!H10*C$88)</f>
        <v/>
      </c>
      <c r="D93" s="59">
        <f>'Assumptions'!I40*('Revenue Build-up'!H10*D$88*(1+'Assumptions'!I22))-$B93*('Revenue Build-up'!H10+'Assumptions'!I5-'Revenue Build-up'!H10*D$88)</f>
        <v/>
      </c>
      <c r="E93" s="59">
        <f>'Assumptions'!I40*('Revenue Build-up'!H10*E$88*(1+'Assumptions'!I22))-$B93*('Revenue Build-up'!H10+'Assumptions'!I5-'Revenue Build-up'!H10*E$88)</f>
        <v/>
      </c>
      <c r="F93" s="59">
        <f>'Assumptions'!I40*('Revenue Build-up'!H10*F$88*(1+'Assumptions'!I22))-$B93*('Revenue Build-up'!H10+'Assumptions'!I5-'Revenue Build-up'!H10*F$88)</f>
        <v/>
      </c>
      <c r="G93" s="59">
        <f>'Assumptions'!I40*('Revenue Build-up'!H10*G$88*(1+'Assumptions'!I22))-$B93*('Revenue Build-up'!H10+'Assumptions'!I5-'Revenue Build-up'!H10*G$88)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COST FORECAST</t>
        </is>
      </c>
      <c r="B1" s="1" t="n"/>
      <c r="C1" s="1" t="n"/>
      <c r="D1" s="1" t="n"/>
      <c r="E1" s="1" t="n"/>
      <c r="F1" s="1" t="n"/>
      <c r="G1" s="1" t="n"/>
      <c r="H1" s="1" t="n"/>
      <c r="I1" s="1" t="n"/>
      <c r="J1" s="1" t="n"/>
      <c r="K1" s="1" t="n"/>
      <c r="L1" s="1" t="n"/>
      <c r="M1" s="1" t="n"/>
      <c r="N1" s="1" t="n"/>
      <c r="O1" s="1" t="n"/>
    </row>
    <row r="2">
      <c r="A2" s="13" t="inlineStr">
        <is>
          <t>Granular cost build-up. COGS = materials (steel/copper/components/imported/other) + subcontracting. OpEx = employee + selling + admin + R&amp;D. EBITDA = revenue x target margin. Historical sub-components are not separately disclosed (shown at total level).</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A.  Cost of goods sold (COGS)</t>
        </is>
      </c>
      <c r="B5" s="1" t="n"/>
      <c r="C5" s="1" t="n"/>
      <c r="D5" s="1" t="n"/>
      <c r="E5" s="1" t="n"/>
      <c r="F5" s="1" t="n"/>
      <c r="G5" s="1" t="n"/>
      <c r="H5" s="1" t="n"/>
      <c r="I5" s="1" t="n"/>
      <c r="J5" s="1" t="n"/>
      <c r="K5" s="1" t="n"/>
      <c r="L5" s="1" t="n"/>
      <c r="M5" s="1" t="n"/>
      <c r="N5" s="1" t="n"/>
      <c r="O5" s="1" t="n"/>
    </row>
    <row r="6">
      <c r="A6" s="4" t="inlineStr">
        <is>
          <t>Revenue from operations</t>
        </is>
      </c>
      <c r="B6" s="43">
        <f>'Historical Financial Statements'!B5</f>
        <v/>
      </c>
      <c r="C6" s="43">
        <f>'Historical Financial Statements'!C5</f>
        <v/>
      </c>
      <c r="D6" s="43">
        <f>'Historical Financial Statements'!D5</f>
        <v/>
      </c>
      <c r="E6" s="43">
        <f>'Historical Financial Statements'!E5</f>
        <v/>
      </c>
      <c r="F6" s="43">
        <f>'Historical Financial Statements'!F5</f>
        <v/>
      </c>
      <c r="G6" s="43">
        <f>'Historical Financial Statements'!G5</f>
        <v/>
      </c>
      <c r="H6" s="43">
        <f>'Historical Financial Statements'!H5</f>
        <v/>
      </c>
      <c r="I6" s="33">
        <f>'Revenue Build-up'!I15</f>
        <v/>
      </c>
      <c r="J6" s="33">
        <f>'Revenue Build-up'!J15</f>
        <v/>
      </c>
      <c r="K6" s="33">
        <f>'Revenue Build-up'!K15</f>
        <v/>
      </c>
      <c r="L6" s="33">
        <f>'Revenue Build-up'!L15</f>
        <v/>
      </c>
      <c r="M6" s="33">
        <f>'Revenue Build-up'!M15</f>
        <v/>
      </c>
      <c r="N6" s="33">
        <f>'Revenue Build-up'!N15</f>
        <v/>
      </c>
      <c r="O6" s="33">
        <f>'Revenue Build-up'!O15</f>
        <v/>
      </c>
    </row>
    <row r="7">
      <c r="A7" s="5" t="inlineStr">
        <is>
          <t xml:space="preserve">   Steel</t>
        </is>
      </c>
      <c r="I7" s="33">
        <f>I6*'Assumptions'!I27</f>
        <v/>
      </c>
      <c r="J7" s="33">
        <f>J6*'Assumptions'!J27</f>
        <v/>
      </c>
      <c r="K7" s="33">
        <f>K6*'Assumptions'!K27</f>
        <v/>
      </c>
      <c r="L7" s="33">
        <f>L6*'Assumptions'!L27</f>
        <v/>
      </c>
      <c r="M7" s="33">
        <f>M6*'Assumptions'!M27</f>
        <v/>
      </c>
      <c r="N7" s="33">
        <f>N6*'Assumptions'!N27</f>
        <v/>
      </c>
      <c r="O7" s="33">
        <f>O6*'Assumptions'!O27</f>
        <v/>
      </c>
    </row>
    <row r="8">
      <c r="A8" s="5" t="inlineStr">
        <is>
          <t xml:space="preserve">   Copper</t>
        </is>
      </c>
      <c r="I8" s="33">
        <f>I6*'Assumptions'!I28</f>
        <v/>
      </c>
      <c r="J8" s="33">
        <f>J6*'Assumptions'!J28</f>
        <v/>
      </c>
      <c r="K8" s="33">
        <f>K6*'Assumptions'!K28</f>
        <v/>
      </c>
      <c r="L8" s="33">
        <f>L6*'Assumptions'!L28</f>
        <v/>
      </c>
      <c r="M8" s="33">
        <f>M6*'Assumptions'!M28</f>
        <v/>
      </c>
      <c r="N8" s="33">
        <f>N6*'Assumptions'!N28</f>
        <v/>
      </c>
      <c r="O8" s="33">
        <f>O6*'Assumptions'!O28</f>
        <v/>
      </c>
    </row>
    <row r="9">
      <c r="A9" s="5" t="inlineStr">
        <is>
          <t xml:space="preserve">   Electrical &amp; electronic components</t>
        </is>
      </c>
      <c r="I9" s="33">
        <f>I6*'Assumptions'!I29</f>
        <v/>
      </c>
      <c r="J9" s="33">
        <f>J6*'Assumptions'!J29</f>
        <v/>
      </c>
      <c r="K9" s="33">
        <f>K6*'Assumptions'!K29</f>
        <v/>
      </c>
      <c r="L9" s="33">
        <f>L6*'Assumptions'!L29</f>
        <v/>
      </c>
      <c r="M9" s="33">
        <f>M6*'Assumptions'!M29</f>
        <v/>
      </c>
      <c r="N9" s="33">
        <f>N6*'Assumptions'!N29</f>
        <v/>
      </c>
      <c r="O9" s="33">
        <f>O6*'Assumptions'!O29</f>
        <v/>
      </c>
    </row>
    <row r="10">
      <c r="A10" s="5" t="inlineStr">
        <is>
          <t xml:space="preserve">   Imported components</t>
        </is>
      </c>
      <c r="I10" s="33">
        <f>I6*'Assumptions'!I30</f>
        <v/>
      </c>
      <c r="J10" s="33">
        <f>J6*'Assumptions'!J30</f>
        <v/>
      </c>
      <c r="K10" s="33">
        <f>K6*'Assumptions'!K30</f>
        <v/>
      </c>
      <c r="L10" s="33">
        <f>L6*'Assumptions'!L30</f>
        <v/>
      </c>
      <c r="M10" s="33">
        <f>M6*'Assumptions'!M30</f>
        <v/>
      </c>
      <c r="N10" s="33">
        <f>N6*'Assumptions'!N30</f>
        <v/>
      </c>
      <c r="O10" s="33">
        <f>O6*'Assumptions'!O30</f>
        <v/>
      </c>
    </row>
    <row r="11">
      <c r="A11" s="5" t="inlineStr">
        <is>
          <t xml:space="preserve">   Other materials &amp; consumables</t>
        </is>
      </c>
      <c r="I11" s="33">
        <f>I6*(1-'Assumptions'!I15-'Assumptions'!I24-'Assumptions'!I25-'Assumptions'!I26-'Assumptions'!I27-'Assumptions'!I28-'Assumptions'!I29-'Assumptions'!I30)</f>
        <v/>
      </c>
      <c r="J11" s="33">
        <f>J6*(1-'Assumptions'!J15-'Assumptions'!J24-'Assumptions'!J25-'Assumptions'!J26-'Assumptions'!J27-'Assumptions'!J28-'Assumptions'!J29-'Assumptions'!J30)</f>
        <v/>
      </c>
      <c r="K11" s="33">
        <f>K6*(1-'Assumptions'!K15-'Assumptions'!K24-'Assumptions'!K25-'Assumptions'!K26-'Assumptions'!K27-'Assumptions'!K28-'Assumptions'!K29-'Assumptions'!K30)</f>
        <v/>
      </c>
      <c r="L11" s="33">
        <f>L6*(1-'Assumptions'!L15-'Assumptions'!L24-'Assumptions'!L25-'Assumptions'!L26-'Assumptions'!L27-'Assumptions'!L28-'Assumptions'!L29-'Assumptions'!L30)</f>
        <v/>
      </c>
      <c r="M11" s="33">
        <f>M6*(1-'Assumptions'!M15-'Assumptions'!M24-'Assumptions'!M25-'Assumptions'!M26-'Assumptions'!M27-'Assumptions'!M28-'Assumptions'!M29-'Assumptions'!M30)</f>
        <v/>
      </c>
      <c r="N11" s="33">
        <f>N6*(1-'Assumptions'!N15-'Assumptions'!N24-'Assumptions'!N25-'Assumptions'!N26-'Assumptions'!N27-'Assumptions'!N28-'Assumptions'!N29-'Assumptions'!N30)</f>
        <v/>
      </c>
      <c r="O11" s="33">
        <f>O6*(1-'Assumptions'!O15-'Assumptions'!O24-'Assumptions'!O25-'Assumptions'!O26-'Assumptions'!O27-'Assumptions'!O28-'Assumptions'!O29-'Assumptions'!O30)</f>
        <v/>
      </c>
    </row>
    <row r="12">
      <c r="A12" s="5" t="inlineStr">
        <is>
          <t xml:space="preserve">   Subcontracting &amp; erection</t>
        </is>
      </c>
      <c r="I12" s="33">
        <f>I6*'Assumptions'!I25</f>
        <v/>
      </c>
      <c r="J12" s="33">
        <f>J6*'Assumptions'!J25</f>
        <v/>
      </c>
      <c r="K12" s="33">
        <f>K6*'Assumptions'!K25</f>
        <v/>
      </c>
      <c r="L12" s="33">
        <f>L6*'Assumptions'!L25</f>
        <v/>
      </c>
      <c r="M12" s="33">
        <f>M6*'Assumptions'!M25</f>
        <v/>
      </c>
      <c r="N12" s="33">
        <f>N6*'Assumptions'!N25</f>
        <v/>
      </c>
      <c r="O12" s="33">
        <f>O6*'Assumptions'!O25</f>
        <v/>
      </c>
    </row>
    <row r="13">
      <c r="A13" s="4" t="inlineStr">
        <is>
          <t>Total COGS</t>
        </is>
      </c>
      <c r="B13" s="61">
        <f>'Historical Financial Statements'!B6</f>
        <v/>
      </c>
      <c r="C13" s="61">
        <f>'Historical Financial Statements'!C6</f>
        <v/>
      </c>
      <c r="D13" s="61">
        <f>'Historical Financial Statements'!D6</f>
        <v/>
      </c>
      <c r="E13" s="61">
        <f>'Historical Financial Statements'!E6</f>
        <v/>
      </c>
      <c r="F13" s="61">
        <f>'Historical Financial Statements'!F6</f>
        <v/>
      </c>
      <c r="G13" s="61">
        <f>'Historical Financial Statements'!G6</f>
        <v/>
      </c>
      <c r="H13" s="61">
        <f>'Historical Financial Statements'!H6</f>
        <v/>
      </c>
      <c r="I13" s="44">
        <f>SUM(I7:I12)</f>
        <v/>
      </c>
      <c r="J13" s="44">
        <f>SUM(J7:J12)</f>
        <v/>
      </c>
      <c r="K13" s="44">
        <f>SUM(K7:K12)</f>
        <v/>
      </c>
      <c r="L13" s="44">
        <f>SUM(L7:L12)</f>
        <v/>
      </c>
      <c r="M13" s="44">
        <f>SUM(M7:M12)</f>
        <v/>
      </c>
      <c r="N13" s="44">
        <f>SUM(N7:N12)</f>
        <v/>
      </c>
      <c r="O13" s="44">
        <f>SUM(O7:O12)</f>
        <v/>
      </c>
    </row>
    <row r="14">
      <c r="A14" s="4" t="inlineStr">
        <is>
          <t>Gross profit</t>
        </is>
      </c>
      <c r="B14" s="43">
        <f>'Historical Financial Statements'!B7</f>
        <v/>
      </c>
      <c r="C14" s="43">
        <f>'Historical Financial Statements'!C7</f>
        <v/>
      </c>
      <c r="D14" s="43">
        <f>'Historical Financial Statements'!D7</f>
        <v/>
      </c>
      <c r="E14" s="43">
        <f>'Historical Financial Statements'!E7</f>
        <v/>
      </c>
      <c r="F14" s="43">
        <f>'Historical Financial Statements'!F7</f>
        <v/>
      </c>
      <c r="G14" s="43">
        <f>'Historical Financial Statements'!G7</f>
        <v/>
      </c>
      <c r="H14" s="43">
        <f>'Historical Financial Statements'!H7</f>
        <v/>
      </c>
      <c r="I14" s="33">
        <f>I6-I13</f>
        <v/>
      </c>
      <c r="J14" s="33">
        <f>J6-J13</f>
        <v/>
      </c>
      <c r="K14" s="33">
        <f>K6-K13</f>
        <v/>
      </c>
      <c r="L14" s="33">
        <f>L6-L13</f>
        <v/>
      </c>
      <c r="M14" s="33">
        <f>M6-M13</f>
        <v/>
      </c>
      <c r="N14" s="33">
        <f>N6-N13</f>
        <v/>
      </c>
      <c r="O14" s="33">
        <f>O6-O13</f>
        <v/>
      </c>
    </row>
    <row r="15">
      <c r="A15" s="11" t="inlineStr">
        <is>
          <t>B.  Operating expenses</t>
        </is>
      </c>
      <c r="B15" s="1" t="n"/>
      <c r="C15" s="1" t="n"/>
      <c r="D15" s="1" t="n"/>
      <c r="E15" s="1" t="n"/>
      <c r="F15" s="1" t="n"/>
      <c r="G15" s="1" t="n"/>
      <c r="H15" s="1" t="n"/>
      <c r="I15" s="1" t="n"/>
      <c r="J15" s="1" t="n"/>
      <c r="K15" s="1" t="n"/>
      <c r="L15" s="1" t="n"/>
      <c r="M15" s="1" t="n"/>
      <c r="N15" s="1" t="n"/>
      <c r="O15" s="1" t="n"/>
    </row>
    <row r="16">
      <c r="A16" s="5" t="inlineStr">
        <is>
          <t xml:space="preserve">   Employee cost</t>
        </is>
      </c>
      <c r="B16" s="43">
        <f>'Historical Financial Statements'!B9</f>
        <v/>
      </c>
      <c r="C16" s="43">
        <f>'Historical Financial Statements'!C9</f>
        <v/>
      </c>
      <c r="D16" s="43">
        <f>'Historical Financial Statements'!D9</f>
        <v/>
      </c>
      <c r="E16" s="43">
        <f>'Historical Financial Statements'!E9</f>
        <v/>
      </c>
      <c r="F16" s="43">
        <f>'Historical Financial Statements'!F9</f>
        <v/>
      </c>
      <c r="G16" s="43">
        <f>'Historical Financial Statements'!G9</f>
        <v/>
      </c>
      <c r="H16" s="43">
        <f>'Historical Financial Statements'!H9</f>
        <v/>
      </c>
      <c r="I16" s="33">
        <f>I6*'Assumptions'!I24</f>
        <v/>
      </c>
      <c r="J16" s="33">
        <f>J6*'Assumptions'!J24</f>
        <v/>
      </c>
      <c r="K16" s="33">
        <f>K6*'Assumptions'!K24</f>
        <v/>
      </c>
      <c r="L16" s="33">
        <f>L6*'Assumptions'!L24</f>
        <v/>
      </c>
      <c r="M16" s="33">
        <f>M6*'Assumptions'!M24</f>
        <v/>
      </c>
      <c r="N16" s="33">
        <f>N6*'Assumptions'!N24</f>
        <v/>
      </c>
      <c r="O16" s="33">
        <f>O6*'Assumptions'!O24</f>
        <v/>
      </c>
    </row>
    <row r="17">
      <c r="A17" s="5" t="inlineStr">
        <is>
          <t xml:space="preserve">   Selling &amp; distribution</t>
        </is>
      </c>
      <c r="I17" s="33">
        <f>I6*'Assumptions'!I31</f>
        <v/>
      </c>
      <c r="J17" s="33">
        <f>J6*'Assumptions'!J31</f>
        <v/>
      </c>
      <c r="K17" s="33">
        <f>K6*'Assumptions'!K31</f>
        <v/>
      </c>
      <c r="L17" s="33">
        <f>L6*'Assumptions'!L31</f>
        <v/>
      </c>
      <c r="M17" s="33">
        <f>M6*'Assumptions'!M31</f>
        <v/>
      </c>
      <c r="N17" s="33">
        <f>N6*'Assumptions'!N31</f>
        <v/>
      </c>
      <c r="O17" s="33">
        <f>O6*'Assumptions'!O31</f>
        <v/>
      </c>
    </row>
    <row r="18">
      <c r="A18" s="5" t="inlineStr">
        <is>
          <t xml:space="preserve">   Administrative expenses</t>
        </is>
      </c>
      <c r="I18" s="33">
        <f>I6*('Assumptions'!I26-'Assumptions'!I31-'Assumptions'!I32)</f>
        <v/>
      </c>
      <c r="J18" s="33">
        <f>J6*('Assumptions'!J26-'Assumptions'!J31-'Assumptions'!J32)</f>
        <v/>
      </c>
      <c r="K18" s="33">
        <f>K6*('Assumptions'!K26-'Assumptions'!K31-'Assumptions'!K32)</f>
        <v/>
      </c>
      <c r="L18" s="33">
        <f>L6*('Assumptions'!L26-'Assumptions'!L31-'Assumptions'!L32)</f>
        <v/>
      </c>
      <c r="M18" s="33">
        <f>M6*('Assumptions'!M26-'Assumptions'!M31-'Assumptions'!M32)</f>
        <v/>
      </c>
      <c r="N18" s="33">
        <f>N6*('Assumptions'!N26-'Assumptions'!N31-'Assumptions'!N32)</f>
        <v/>
      </c>
      <c r="O18" s="33">
        <f>O6*('Assumptions'!O26-'Assumptions'!O31-'Assumptions'!O32)</f>
        <v/>
      </c>
    </row>
    <row r="19">
      <c r="A19" s="5" t="inlineStr">
        <is>
          <t xml:space="preserve">   Research &amp; development</t>
        </is>
      </c>
      <c r="I19" s="33">
        <f>I6*'Assumptions'!I32</f>
        <v/>
      </c>
      <c r="J19" s="33">
        <f>J6*'Assumptions'!J32</f>
        <v/>
      </c>
      <c r="K19" s="33">
        <f>K6*'Assumptions'!K32</f>
        <v/>
      </c>
      <c r="L19" s="33">
        <f>L6*'Assumptions'!L32</f>
        <v/>
      </c>
      <c r="M19" s="33">
        <f>M6*'Assumptions'!M32</f>
        <v/>
      </c>
      <c r="N19" s="33">
        <f>N6*'Assumptions'!N32</f>
        <v/>
      </c>
      <c r="O19" s="33">
        <f>O6*'Assumptions'!O32</f>
        <v/>
      </c>
    </row>
    <row r="20">
      <c r="A20" s="4" t="inlineStr">
        <is>
          <t>Selling, admin &amp; R&amp;D</t>
        </is>
      </c>
      <c r="B20" s="43">
        <f>'Historical Financial Statements'!B10</f>
        <v/>
      </c>
      <c r="C20" s="43">
        <f>'Historical Financial Statements'!C10</f>
        <v/>
      </c>
      <c r="D20" s="43">
        <f>'Historical Financial Statements'!D10</f>
        <v/>
      </c>
      <c r="E20" s="43">
        <f>'Historical Financial Statements'!E10</f>
        <v/>
      </c>
      <c r="F20" s="43">
        <f>'Historical Financial Statements'!F10</f>
        <v/>
      </c>
      <c r="G20" s="43">
        <f>'Historical Financial Statements'!G10</f>
        <v/>
      </c>
      <c r="H20" s="43">
        <f>'Historical Financial Statements'!H10</f>
        <v/>
      </c>
      <c r="I20" s="33">
        <f>SUM(I17:I19)</f>
        <v/>
      </c>
      <c r="J20" s="33">
        <f>SUM(J17:J19)</f>
        <v/>
      </c>
      <c r="K20" s="33">
        <f>SUM(K17:K19)</f>
        <v/>
      </c>
      <c r="L20" s="33">
        <f>SUM(L17:L19)</f>
        <v/>
      </c>
      <c r="M20" s="33">
        <f>SUM(M17:M19)</f>
        <v/>
      </c>
      <c r="N20" s="33">
        <f>SUM(N17:N19)</f>
        <v/>
      </c>
      <c r="O20" s="33">
        <f>SUM(O17:O19)</f>
        <v/>
      </c>
    </row>
    <row r="21">
      <c r="A21" s="4" t="inlineStr">
        <is>
          <t>Total operating expenses</t>
        </is>
      </c>
      <c r="B21" s="61">
        <f>'Historical Financial Statements'!B11</f>
        <v/>
      </c>
      <c r="C21" s="61">
        <f>'Historical Financial Statements'!C11</f>
        <v/>
      </c>
      <c r="D21" s="61">
        <f>'Historical Financial Statements'!D11</f>
        <v/>
      </c>
      <c r="E21" s="61">
        <f>'Historical Financial Statements'!E11</f>
        <v/>
      </c>
      <c r="F21" s="61">
        <f>'Historical Financial Statements'!F11</f>
        <v/>
      </c>
      <c r="G21" s="61">
        <f>'Historical Financial Statements'!G11</f>
        <v/>
      </c>
      <c r="H21" s="61">
        <f>'Historical Financial Statements'!H11</f>
        <v/>
      </c>
      <c r="I21" s="44">
        <f>I16+I20</f>
        <v/>
      </c>
      <c r="J21" s="44">
        <f>J16+J20</f>
        <v/>
      </c>
      <c r="K21" s="44">
        <f>K16+K20</f>
        <v/>
      </c>
      <c r="L21" s="44">
        <f>L16+L20</f>
        <v/>
      </c>
      <c r="M21" s="44">
        <f>M16+M20</f>
        <v/>
      </c>
      <c r="N21" s="44">
        <f>N16+N20</f>
        <v/>
      </c>
      <c r="O21" s="44">
        <f>O16+O20</f>
        <v/>
      </c>
    </row>
    <row r="22">
      <c r="A22" s="4" t="inlineStr">
        <is>
          <t>EBITDA</t>
        </is>
      </c>
      <c r="B22" s="61">
        <f>'Historical Financial Statements'!B12</f>
        <v/>
      </c>
      <c r="C22" s="61">
        <f>'Historical Financial Statements'!C12</f>
        <v/>
      </c>
      <c r="D22" s="61">
        <f>'Historical Financial Statements'!D12</f>
        <v/>
      </c>
      <c r="E22" s="61">
        <f>'Historical Financial Statements'!E12</f>
        <v/>
      </c>
      <c r="F22" s="61">
        <f>'Historical Financial Statements'!F12</f>
        <v/>
      </c>
      <c r="G22" s="61">
        <f>'Historical Financial Statements'!G12</f>
        <v/>
      </c>
      <c r="H22" s="61">
        <f>'Historical Financial Statements'!H12</f>
        <v/>
      </c>
      <c r="I22" s="44">
        <f>I14-I21</f>
        <v/>
      </c>
      <c r="J22" s="44">
        <f>J14-J21</f>
        <v/>
      </c>
      <c r="K22" s="44">
        <f>K14-K21</f>
        <v/>
      </c>
      <c r="L22" s="44">
        <f>L14-L21</f>
        <v/>
      </c>
      <c r="M22" s="44">
        <f>M14-M21</f>
        <v/>
      </c>
      <c r="N22" s="44">
        <f>N14-N21</f>
        <v/>
      </c>
      <c r="O22" s="44">
        <f>O14-O21</f>
        <v/>
      </c>
    </row>
    <row r="23">
      <c r="A23" s="5" t="inlineStr">
        <is>
          <t>EBITDA margin %</t>
        </is>
      </c>
      <c r="B23" s="40">
        <f>B22/B6</f>
        <v/>
      </c>
      <c r="C23" s="40">
        <f>C22/C6</f>
        <v/>
      </c>
      <c r="D23" s="40">
        <f>D22/D6</f>
        <v/>
      </c>
      <c r="E23" s="40">
        <f>E22/E6</f>
        <v/>
      </c>
      <c r="F23" s="40">
        <f>F22/F6</f>
        <v/>
      </c>
      <c r="G23" s="40">
        <f>G22/G6</f>
        <v/>
      </c>
      <c r="H23" s="40">
        <f>H22/H6</f>
        <v/>
      </c>
      <c r="I23" s="40">
        <f>I22/I6</f>
        <v/>
      </c>
      <c r="J23" s="40">
        <f>J22/J6</f>
        <v/>
      </c>
      <c r="K23" s="40">
        <f>K22/K6</f>
        <v/>
      </c>
      <c r="L23" s="40">
        <f>L22/L6</f>
        <v/>
      </c>
      <c r="M23" s="40">
        <f>M22/M6</f>
        <v/>
      </c>
      <c r="N23" s="40">
        <f>N22/N6</f>
        <v/>
      </c>
      <c r="O23" s="40">
        <f>O22/O6</f>
        <v/>
      </c>
    </row>
    <row r="24">
      <c r="A24" s="5" t="inlineStr">
        <is>
          <t>Memo: total operating cost (COGS+OpEx)</t>
        </is>
      </c>
      <c r="B24" s="43">
        <f>'Historical Financial Statements'!B23</f>
        <v/>
      </c>
      <c r="C24" s="43">
        <f>'Historical Financial Statements'!C23</f>
        <v/>
      </c>
      <c r="D24" s="43">
        <f>'Historical Financial Statements'!D23</f>
        <v/>
      </c>
      <c r="E24" s="43">
        <f>'Historical Financial Statements'!E23</f>
        <v/>
      </c>
      <c r="F24" s="43">
        <f>'Historical Financial Statements'!F23</f>
        <v/>
      </c>
      <c r="G24" s="43">
        <f>'Historical Financial Statements'!G23</f>
        <v/>
      </c>
      <c r="H24" s="43">
        <f>'Historical Financial Statements'!H23</f>
        <v/>
      </c>
      <c r="I24" s="33">
        <f>I13+I21</f>
        <v/>
      </c>
      <c r="J24" s="33">
        <f>J13+J21</f>
        <v/>
      </c>
      <c r="K24" s="33">
        <f>K13+K21</f>
        <v/>
      </c>
      <c r="L24" s="33">
        <f>L13+L21</f>
        <v/>
      </c>
      <c r="M24" s="33">
        <f>M13+M21</f>
        <v/>
      </c>
      <c r="N24" s="33">
        <f>N13+N21</f>
        <v/>
      </c>
      <c r="O24" s="33">
        <f>O13+O21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WORKING CAPITAL SCHEDULE</t>
        </is>
      </c>
      <c r="B1" s="1" t="n"/>
      <c r="C1" s="1" t="n"/>
      <c r="D1" s="1" t="n"/>
      <c r="E1" s="1" t="n"/>
      <c r="F1" s="1" t="n"/>
      <c r="G1" s="1" t="n"/>
      <c r="H1" s="1" t="n"/>
      <c r="I1" s="1" t="n"/>
      <c r="J1" s="1" t="n"/>
      <c r="K1" s="1" t="n"/>
      <c r="L1" s="1" t="n"/>
      <c r="M1" s="1" t="n"/>
      <c r="N1" s="1" t="n"/>
      <c r="O1" s="1" t="n"/>
    </row>
    <row r="2">
      <c r="A2" s="13" t="inlineStr">
        <is>
          <t>Working capital = CURRENT operating items only. Non-current &amp; non-operating items (deferred tax, non-current contract assets/liabilities, long-term provisions) are shown in a separate block and EXCLUDED from operating NWC and from the DCF free cash flow; their change flows to cash via the total line so the balance sheet still ties. FY2026 seeds are audited actuals.</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Operating working capital</t>
        </is>
      </c>
      <c r="B5" s="1" t="n"/>
      <c r="C5" s="1" t="n"/>
      <c r="D5" s="1" t="n"/>
      <c r="E5" s="1" t="n"/>
      <c r="F5" s="1" t="n"/>
      <c r="G5" s="1" t="n"/>
      <c r="H5" s="1" t="n"/>
      <c r="I5" s="1" t="n"/>
      <c r="J5" s="1" t="n"/>
      <c r="K5" s="1" t="n"/>
      <c r="L5" s="1" t="n"/>
      <c r="M5" s="1" t="n"/>
      <c r="N5" s="1" t="n"/>
      <c r="O5" s="1" t="n"/>
    </row>
    <row r="6">
      <c r="A6" s="5" t="inlineStr">
        <is>
          <t>Revenue from operations</t>
        </is>
      </c>
      <c r="B6" s="43">
        <f>'Historical Financial Statements'!B5</f>
        <v/>
      </c>
      <c r="C6" s="43">
        <f>'Historical Financial Statements'!C5</f>
        <v/>
      </c>
      <c r="D6" s="43">
        <f>'Historical Financial Statements'!D5</f>
        <v/>
      </c>
      <c r="E6" s="43">
        <f>'Historical Financial Statements'!E5</f>
        <v/>
      </c>
      <c r="F6" s="43">
        <f>'Historical Financial Statements'!F5</f>
        <v/>
      </c>
      <c r="G6" s="43">
        <f>'Historical Financial Statements'!G5</f>
        <v/>
      </c>
      <c r="H6" s="43">
        <f>'Historical Financial Statements'!H5</f>
        <v/>
      </c>
      <c r="I6" s="33">
        <f>'Cost Forecast'!I6</f>
        <v/>
      </c>
      <c r="J6" s="33">
        <f>'Cost Forecast'!J6</f>
        <v/>
      </c>
      <c r="K6" s="33">
        <f>'Cost Forecast'!K6</f>
        <v/>
      </c>
      <c r="L6" s="33">
        <f>'Cost Forecast'!L6</f>
        <v/>
      </c>
      <c r="M6" s="33">
        <f>'Cost Forecast'!M6</f>
        <v/>
      </c>
      <c r="N6" s="33">
        <f>'Cost Forecast'!N6</f>
        <v/>
      </c>
      <c r="O6" s="33">
        <f>'Cost Forecast'!O6</f>
        <v/>
      </c>
    </row>
    <row r="7">
      <c r="A7" s="5" t="inlineStr">
        <is>
          <t>Cost of sales (total operating cost)</t>
        </is>
      </c>
      <c r="B7" s="43">
        <f>'Historical Financial Statements'!B23</f>
        <v/>
      </c>
      <c r="C7" s="43">
        <f>'Historical Financial Statements'!C23</f>
        <v/>
      </c>
      <c r="D7" s="43">
        <f>'Historical Financial Statements'!D23</f>
        <v/>
      </c>
      <c r="E7" s="43">
        <f>'Historical Financial Statements'!E23</f>
        <v/>
      </c>
      <c r="F7" s="43">
        <f>'Historical Financial Statements'!F23</f>
        <v/>
      </c>
      <c r="G7" s="43">
        <f>'Historical Financial Statements'!G23</f>
        <v/>
      </c>
      <c r="H7" s="43">
        <f>'Historical Financial Statements'!H23</f>
        <v/>
      </c>
      <c r="I7" s="33">
        <f>'Cost Forecast'!I24</f>
        <v/>
      </c>
      <c r="J7" s="33">
        <f>'Cost Forecast'!J24</f>
        <v/>
      </c>
      <c r="K7" s="33">
        <f>'Cost Forecast'!K24</f>
        <v/>
      </c>
      <c r="L7" s="33">
        <f>'Cost Forecast'!L24</f>
        <v/>
      </c>
      <c r="M7" s="33">
        <f>'Cost Forecast'!M24</f>
        <v/>
      </c>
      <c r="N7" s="33">
        <f>'Cost Forecast'!N24</f>
        <v/>
      </c>
      <c r="O7" s="33">
        <f>'Cost Forecast'!O24</f>
        <v/>
      </c>
    </row>
    <row r="8">
      <c r="A8" s="5" t="inlineStr">
        <is>
          <t xml:space="preserve">   Trade receivables</t>
        </is>
      </c>
      <c r="H8" s="62" t="n">
        <v>6796.27</v>
      </c>
      <c r="I8" s="33">
        <f>'Assumptions'!I37/365*I6</f>
        <v/>
      </c>
      <c r="J8" s="33">
        <f>'Assumptions'!J37/365*J6</f>
        <v/>
      </c>
      <c r="K8" s="33">
        <f>'Assumptions'!K37/365*K6</f>
        <v/>
      </c>
      <c r="L8" s="33">
        <f>'Assumptions'!L37/365*L6</f>
        <v/>
      </c>
      <c r="M8" s="33">
        <f>'Assumptions'!M37/365*M6</f>
        <v/>
      </c>
      <c r="N8" s="33">
        <f>'Assumptions'!N37/365*N6</f>
        <v/>
      </c>
      <c r="O8" s="33">
        <f>'Assumptions'!O37/365*O6</f>
        <v/>
      </c>
    </row>
    <row r="9">
      <c r="A9" s="5" t="inlineStr">
        <is>
          <t xml:space="preserve">   Inventories</t>
        </is>
      </c>
      <c r="H9" s="62" t="n">
        <v>13334.58</v>
      </c>
      <c r="I9" s="33">
        <f>'Assumptions'!I38/365*'Cost Forecast'!I13</f>
        <v/>
      </c>
      <c r="J9" s="33">
        <f>'Assumptions'!J38/365*'Cost Forecast'!J13</f>
        <v/>
      </c>
      <c r="K9" s="33">
        <f>'Assumptions'!K38/365*'Cost Forecast'!K13</f>
        <v/>
      </c>
      <c r="L9" s="33">
        <f>'Assumptions'!L38/365*'Cost Forecast'!L13</f>
        <v/>
      </c>
      <c r="M9" s="33">
        <f>'Assumptions'!M38/365*'Cost Forecast'!M13</f>
        <v/>
      </c>
      <c r="N9" s="33">
        <f>'Assumptions'!N38/365*'Cost Forecast'!N13</f>
        <v/>
      </c>
      <c r="O9" s="33">
        <f>'Assumptions'!O38/365*'Cost Forecast'!O13</f>
        <v/>
      </c>
    </row>
    <row r="10">
      <c r="A10" s="5" t="inlineStr">
        <is>
          <t xml:space="preserve">   Contract assets (current)</t>
        </is>
      </c>
      <c r="H10" s="62" t="n">
        <v>15192.89</v>
      </c>
      <c r="I10" s="33">
        <f>'Contract Accounting Schedule'!I64</f>
        <v/>
      </c>
      <c r="J10" s="33">
        <f>'Contract Accounting Schedule'!J64</f>
        <v/>
      </c>
      <c r="K10" s="33">
        <f>'Contract Accounting Schedule'!K64</f>
        <v/>
      </c>
      <c r="L10" s="33">
        <f>'Contract Accounting Schedule'!L64</f>
        <v/>
      </c>
      <c r="M10" s="33">
        <f>'Contract Accounting Schedule'!M64</f>
        <v/>
      </c>
      <c r="N10" s="33">
        <f>'Contract Accounting Schedule'!N64</f>
        <v/>
      </c>
      <c r="O10" s="33">
        <f>'Contract Accounting Schedule'!O64</f>
        <v/>
      </c>
    </row>
    <row r="11">
      <c r="A11" s="5" t="inlineStr">
        <is>
          <t xml:space="preserve">   Other current operating assets</t>
        </is>
      </c>
      <c r="H11" s="62" t="n">
        <v>4264.99</v>
      </c>
      <c r="I11" s="33">
        <f>H11*(1+'Assumptions'!I44)</f>
        <v/>
      </c>
      <c r="J11" s="33">
        <f>I11*(1+'Assumptions'!J44)</f>
        <v/>
      </c>
      <c r="K11" s="33">
        <f>J11*(1+'Assumptions'!K44)</f>
        <v/>
      </c>
      <c r="L11" s="33">
        <f>K11*(1+'Assumptions'!L44)</f>
        <v/>
      </c>
      <c r="M11" s="33">
        <f>L11*(1+'Assumptions'!M44)</f>
        <v/>
      </c>
      <c r="N11" s="33">
        <f>M11*(1+'Assumptions'!N44)</f>
        <v/>
      </c>
      <c r="O11" s="33">
        <f>N11*(1+'Assumptions'!O44)</f>
        <v/>
      </c>
    </row>
    <row r="12">
      <c r="A12" s="4" t="inlineStr">
        <is>
          <t>Total current operating assets</t>
        </is>
      </c>
      <c r="H12" s="44">
        <f>SUM(H8:H11)</f>
        <v/>
      </c>
      <c r="I12" s="44">
        <f>SUM(I8:I11)</f>
        <v/>
      </c>
      <c r="J12" s="44">
        <f>SUM(J8:J11)</f>
        <v/>
      </c>
      <c r="K12" s="44">
        <f>SUM(K8:K11)</f>
        <v/>
      </c>
      <c r="L12" s="44">
        <f>SUM(L8:L11)</f>
        <v/>
      </c>
      <c r="M12" s="44">
        <f>SUM(M8:M11)</f>
        <v/>
      </c>
      <c r="N12" s="44">
        <f>SUM(N8:N11)</f>
        <v/>
      </c>
      <c r="O12" s="44">
        <f>SUM(O8:O11)</f>
        <v/>
      </c>
    </row>
    <row r="13">
      <c r="A13" s="5" t="inlineStr">
        <is>
          <t xml:space="preserve">   Trade payables</t>
        </is>
      </c>
      <c r="H13" s="62" t="n">
        <v>10491.6</v>
      </c>
      <c r="I13" s="33">
        <f>'Assumptions'!I39/365*'Cost Forecast'!I13</f>
        <v/>
      </c>
      <c r="J13" s="33">
        <f>'Assumptions'!J39/365*'Cost Forecast'!J13</f>
        <v/>
      </c>
      <c r="K13" s="33">
        <f>'Assumptions'!K39/365*'Cost Forecast'!K13</f>
        <v/>
      </c>
      <c r="L13" s="33">
        <f>'Assumptions'!L39/365*'Cost Forecast'!L13</f>
        <v/>
      </c>
      <c r="M13" s="33">
        <f>'Assumptions'!M39/365*'Cost Forecast'!M13</f>
        <v/>
      </c>
      <c r="N13" s="33">
        <f>'Assumptions'!N39/365*'Cost Forecast'!N13</f>
        <v/>
      </c>
      <c r="O13" s="33">
        <f>'Assumptions'!O39/365*'Cost Forecast'!O13</f>
        <v/>
      </c>
    </row>
    <row r="14">
      <c r="A14" s="5" t="inlineStr">
        <is>
          <t xml:space="preserve">   Contract liabilities / advances (current)</t>
        </is>
      </c>
      <c r="H14" s="62" t="n">
        <v>9110.389999999999</v>
      </c>
      <c r="I14" s="33">
        <f>'Contract Accounting Schedule'!I71</f>
        <v/>
      </c>
      <c r="J14" s="33">
        <f>'Contract Accounting Schedule'!J71</f>
        <v/>
      </c>
      <c r="K14" s="33">
        <f>'Contract Accounting Schedule'!K71</f>
        <v/>
      </c>
      <c r="L14" s="33">
        <f>'Contract Accounting Schedule'!L71</f>
        <v/>
      </c>
      <c r="M14" s="33">
        <f>'Contract Accounting Schedule'!M71</f>
        <v/>
      </c>
      <c r="N14" s="33">
        <f>'Contract Accounting Schedule'!N71</f>
        <v/>
      </c>
      <c r="O14" s="33">
        <f>'Contract Accounting Schedule'!O71</f>
        <v/>
      </c>
    </row>
    <row r="15">
      <c r="A15" s="5" t="inlineStr">
        <is>
          <t xml:space="preserve">   Other current operating liabilities</t>
        </is>
      </c>
      <c r="H15" s="62" t="n">
        <v>4681.42</v>
      </c>
      <c r="I15" s="33">
        <f>H15*(1+'Assumptions'!I45)</f>
        <v/>
      </c>
      <c r="J15" s="33">
        <f>I15*(1+'Assumptions'!J45)</f>
        <v/>
      </c>
      <c r="K15" s="33">
        <f>J15*(1+'Assumptions'!K45)</f>
        <v/>
      </c>
      <c r="L15" s="33">
        <f>K15*(1+'Assumptions'!L45)</f>
        <v/>
      </c>
      <c r="M15" s="33">
        <f>L15*(1+'Assumptions'!M45)</f>
        <v/>
      </c>
      <c r="N15" s="33">
        <f>M15*(1+'Assumptions'!N45)</f>
        <v/>
      </c>
      <c r="O15" s="33">
        <f>N15*(1+'Assumptions'!O45)</f>
        <v/>
      </c>
    </row>
    <row r="16">
      <c r="A16" s="4" t="inlineStr">
        <is>
          <t>Total current operating liabilities</t>
        </is>
      </c>
      <c r="H16" s="44">
        <f>SUM(H13:H15)</f>
        <v/>
      </c>
      <c r="I16" s="44">
        <f>SUM(I13:I15)</f>
        <v/>
      </c>
      <c r="J16" s="44">
        <f>SUM(J13:J15)</f>
        <v/>
      </c>
      <c r="K16" s="44">
        <f>SUM(K13:K15)</f>
        <v/>
      </c>
      <c r="L16" s="44">
        <f>SUM(L13:L15)</f>
        <v/>
      </c>
      <c r="M16" s="44">
        <f>SUM(M13:M15)</f>
        <v/>
      </c>
      <c r="N16" s="44">
        <f>SUM(N13:N15)</f>
        <v/>
      </c>
      <c r="O16" s="44">
        <f>SUM(O13:O15)</f>
        <v/>
      </c>
    </row>
    <row r="17">
      <c r="A17" s="4" t="inlineStr">
        <is>
          <t>Operating net working capital (current only)</t>
        </is>
      </c>
      <c r="H17" s="32">
        <f>H12-H16</f>
        <v/>
      </c>
      <c r="I17" s="32">
        <f>I12-I16</f>
        <v/>
      </c>
      <c r="J17" s="32">
        <f>J12-J16</f>
        <v/>
      </c>
      <c r="K17" s="32">
        <f>K12-K16</f>
        <v/>
      </c>
      <c r="L17" s="32">
        <f>L12-L16</f>
        <v/>
      </c>
      <c r="M17" s="32">
        <f>M12-M16</f>
        <v/>
      </c>
      <c r="N17" s="32">
        <f>N12-N16</f>
        <v/>
      </c>
      <c r="O17" s="32">
        <f>O12-O16</f>
        <v/>
      </c>
    </row>
    <row r="18">
      <c r="A18" s="5" t="inlineStr">
        <is>
          <t>(Increase)/decrease in operating NWC  -&gt;  FCFF</t>
        </is>
      </c>
      <c r="I18" s="33">
        <f>-(I17-H17)</f>
        <v/>
      </c>
      <c r="J18" s="33">
        <f>-(J17-I17)</f>
        <v/>
      </c>
      <c r="K18" s="33">
        <f>-(K17-J17)</f>
        <v/>
      </c>
      <c r="L18" s="33">
        <f>-(L17-K17)</f>
        <v/>
      </c>
      <c r="M18" s="33">
        <f>-(M17-L17)</f>
        <v/>
      </c>
      <c r="N18" s="33">
        <f>-(N17-M17)</f>
        <v/>
      </c>
      <c r="O18" s="33">
        <f>-(O17-N17)</f>
        <v/>
      </c>
    </row>
    <row r="20">
      <c r="A20" s="11" t="inlineStr">
        <is>
          <t>Non-current &amp; non-operating items (on balance sheet; EXCLUDED from working capital)</t>
        </is>
      </c>
      <c r="B20" s="1" t="n"/>
      <c r="C20" s="1" t="n"/>
      <c r="D20" s="1" t="n"/>
      <c r="E20" s="1" t="n"/>
      <c r="F20" s="1" t="n"/>
      <c r="G20" s="1" t="n"/>
      <c r="H20" s="1" t="n"/>
      <c r="I20" s="1" t="n"/>
      <c r="J20" s="1" t="n"/>
      <c r="K20" s="1" t="n"/>
      <c r="L20" s="1" t="n"/>
      <c r="M20" s="1" t="n"/>
      <c r="N20" s="1" t="n"/>
      <c r="O20" s="1" t="n"/>
      <c r="P20" s="13" t="inlineStr">
        <is>
          <t>incl deferred tax (non-operating) &amp; long-dated contract balances</t>
        </is>
      </c>
    </row>
    <row r="21">
      <c r="A21" s="5" t="inlineStr">
        <is>
          <t xml:space="preserve">   Other non-current assets (= non-contract residual + NC contract assets, from Contract Accounting Schedule)</t>
        </is>
      </c>
      <c r="H21" s="62" t="n">
        <v>20934.62</v>
      </c>
      <c r="I21" s="33">
        <f>'Assumptions'!I54+'Contract Accounting Schedule'!I65</f>
        <v/>
      </c>
      <c r="J21" s="33">
        <f>'Assumptions'!J54+'Contract Accounting Schedule'!J65</f>
        <v/>
      </c>
      <c r="K21" s="33">
        <f>'Assumptions'!K54+'Contract Accounting Schedule'!K65</f>
        <v/>
      </c>
      <c r="L21" s="33">
        <f>'Assumptions'!L54+'Contract Accounting Schedule'!L65</f>
        <v/>
      </c>
      <c r="M21" s="33">
        <f>'Assumptions'!M54+'Contract Accounting Schedule'!M65</f>
        <v/>
      </c>
      <c r="N21" s="33">
        <f>'Assumptions'!N54+'Contract Accounting Schedule'!N65</f>
        <v/>
      </c>
      <c r="O21" s="33">
        <f>'Assumptions'!O54+'Contract Accounting Schedule'!O65</f>
        <v/>
      </c>
    </row>
    <row r="22">
      <c r="A22" s="5" t="inlineStr">
        <is>
          <t xml:space="preserve">   Other non-current liabilities (= non-contract residual + NC contract liab, from Contract Accounting Schedule)</t>
        </is>
      </c>
      <c r="H22" s="62" t="n">
        <v>17568.65</v>
      </c>
      <c r="I22" s="33">
        <f>'Assumptions'!I55+'Contract Accounting Schedule'!I72</f>
        <v/>
      </c>
      <c r="J22" s="33">
        <f>'Assumptions'!J55+'Contract Accounting Schedule'!J72</f>
        <v/>
      </c>
      <c r="K22" s="33">
        <f>'Assumptions'!K55+'Contract Accounting Schedule'!K72</f>
        <v/>
      </c>
      <c r="L22" s="33">
        <f>'Assumptions'!L55+'Contract Accounting Schedule'!L72</f>
        <v/>
      </c>
      <c r="M22" s="33">
        <f>'Assumptions'!M55+'Contract Accounting Schedule'!M72</f>
        <v/>
      </c>
      <c r="N22" s="33">
        <f>'Assumptions'!N55+'Contract Accounting Schedule'!N72</f>
        <v/>
      </c>
      <c r="O22" s="33">
        <f>'Assumptions'!O55+'Contract Accounting Schedule'!O72</f>
        <v/>
      </c>
    </row>
    <row r="23">
      <c r="A23" s="4" t="inlineStr">
        <is>
          <t>Net non-current items (assets - liabilities)</t>
        </is>
      </c>
      <c r="H23" s="32">
        <f>H21-H22</f>
        <v/>
      </c>
      <c r="I23" s="32">
        <f>I21-I22</f>
        <v/>
      </c>
      <c r="J23" s="32">
        <f>J21-J22</f>
        <v/>
      </c>
      <c r="K23" s="32">
        <f>K21-K22</f>
        <v/>
      </c>
      <c r="L23" s="32">
        <f>L21-L22</f>
        <v/>
      </c>
      <c r="M23" s="32">
        <f>M21-M22</f>
        <v/>
      </c>
      <c r="N23" s="32">
        <f>N21-N22</f>
        <v/>
      </c>
      <c r="O23" s="32">
        <f>O21-O22</f>
        <v/>
      </c>
    </row>
    <row r="24">
      <c r="A24" s="5" t="inlineStr">
        <is>
          <t>(Increase)/decrease in net non-current items</t>
        </is>
      </c>
      <c r="I24" s="33">
        <f>-(I23-H23)</f>
        <v/>
      </c>
      <c r="J24" s="33">
        <f>-(J23-I23)</f>
        <v/>
      </c>
      <c r="K24" s="33">
        <f>-(K23-J23)</f>
        <v/>
      </c>
      <c r="L24" s="33">
        <f>-(L23-K23)</f>
        <v/>
      </c>
      <c r="M24" s="33">
        <f>-(M23-L23)</f>
        <v/>
      </c>
      <c r="N24" s="33">
        <f>-(N23-M23)</f>
        <v/>
      </c>
      <c r="O24" s="33">
        <f>-(O23-N23)</f>
        <v/>
      </c>
    </row>
    <row r="25">
      <c r="A25" s="4" t="inlineStr">
        <is>
          <t>Total (increase)/decrease in NWC incl non-current  -&gt;  cash flow</t>
        </is>
      </c>
      <c r="I25" s="44">
        <f>I18+I24</f>
        <v/>
      </c>
      <c r="J25" s="44">
        <f>J18+J24</f>
        <v/>
      </c>
      <c r="K25" s="44">
        <f>K18+K24</f>
        <v/>
      </c>
      <c r="L25" s="44">
        <f>L18+L24</f>
        <v/>
      </c>
      <c r="M25" s="44">
        <f>M18+M24</f>
        <v/>
      </c>
      <c r="N25" s="44">
        <f>N18+N24</f>
        <v/>
      </c>
      <c r="O25" s="44">
        <f>O18+O24</f>
        <v/>
      </c>
    </row>
    <row r="27">
      <c r="A27" s="5" t="inlineStr">
        <is>
          <t>Memo: cash &amp; bank (FY26 seed, audited)</t>
        </is>
      </c>
      <c r="H27" s="62" t="n">
        <v>11866.62</v>
      </c>
    </row>
    <row r="29">
      <c r="A29" s="11" t="inlineStr">
        <is>
          <t>Memo: current-asset composition (indicative, forecast)</t>
        </is>
      </c>
      <c r="B29" s="1" t="n"/>
      <c r="C29" s="1" t="n"/>
      <c r="D29" s="1" t="n"/>
      <c r="E29" s="1" t="n"/>
      <c r="F29" s="1" t="n"/>
      <c r="G29" s="1" t="n"/>
      <c r="H29" s="1" t="n"/>
      <c r="I29" s="1" t="n"/>
      <c r="J29" s="1" t="n"/>
      <c r="K29" s="1" t="n"/>
      <c r="L29" s="1" t="n"/>
      <c r="M29" s="1" t="n"/>
      <c r="N29" s="1" t="n"/>
      <c r="O29" s="1" t="n"/>
    </row>
    <row r="30">
      <c r="A30" s="5" t="inlineStr">
        <is>
          <t xml:space="preserve">   Inventory: raw materials &amp; components (~45%)</t>
        </is>
      </c>
      <c r="I30" s="33">
        <f>I9*0.45</f>
        <v/>
      </c>
      <c r="J30" s="33">
        <f>J9*0.45</f>
        <v/>
      </c>
      <c r="K30" s="33">
        <f>K9*0.45</f>
        <v/>
      </c>
      <c r="L30" s="33">
        <f>L9*0.45</f>
        <v/>
      </c>
      <c r="M30" s="33">
        <f>M9*0.45</f>
        <v/>
      </c>
      <c r="N30" s="33">
        <f>N9*0.45</f>
        <v/>
      </c>
      <c r="O30" s="33">
        <f>O9*0.45</f>
        <v/>
      </c>
    </row>
    <row r="31">
      <c r="A31" s="5" t="inlineStr">
        <is>
          <t xml:space="preserve">   Inventory: work-in-progress (~35%)</t>
        </is>
      </c>
      <c r="I31" s="33">
        <f>I9*0.35</f>
        <v/>
      </c>
      <c r="J31" s="33">
        <f>J9*0.35</f>
        <v/>
      </c>
      <c r="K31" s="33">
        <f>K9*0.35</f>
        <v/>
      </c>
      <c r="L31" s="33">
        <f>L9*0.35</f>
        <v/>
      </c>
      <c r="M31" s="33">
        <f>M9*0.35</f>
        <v/>
      </c>
      <c r="N31" s="33">
        <f>N9*0.35</f>
        <v/>
      </c>
      <c r="O31" s="33">
        <f>O9*0.35</f>
        <v/>
      </c>
    </row>
    <row r="32">
      <c r="A32" s="5" t="inlineStr">
        <is>
          <t xml:space="preserve">   Inventory: finished goods &amp; stores (~20%)</t>
        </is>
      </c>
      <c r="I32" s="33">
        <f>I9*0.20</f>
        <v/>
      </c>
      <c r="J32" s="33">
        <f>J9*0.20</f>
        <v/>
      </c>
      <c r="K32" s="33">
        <f>K9*0.20</f>
        <v/>
      </c>
      <c r="L32" s="33">
        <f>L9*0.20</f>
        <v/>
      </c>
      <c r="M32" s="33">
        <f>M9*0.20</f>
        <v/>
      </c>
      <c r="N32" s="33">
        <f>N9*0.20</f>
        <v/>
      </c>
      <c r="O32" s="33">
        <f>O9*0.20</f>
        <v/>
      </c>
    </row>
    <row r="33">
      <c r="A33" s="5" t="inlineStr">
        <is>
          <t xml:space="preserve">   Receivables: billed / trade (~70%)</t>
        </is>
      </c>
      <c r="I33" s="33">
        <f>I8*0.70</f>
        <v/>
      </c>
      <c r="J33" s="33">
        <f>J8*0.70</f>
        <v/>
      </c>
      <c r="K33" s="33">
        <f>K8*0.70</f>
        <v/>
      </c>
      <c r="L33" s="33">
        <f>L8*0.70</f>
        <v/>
      </c>
      <c r="M33" s="33">
        <f>M8*0.70</f>
        <v/>
      </c>
      <c r="N33" s="33">
        <f>N8*0.70</f>
        <v/>
      </c>
      <c r="O33" s="33">
        <f>O8*0.70</f>
        <v/>
      </c>
    </row>
    <row r="34">
      <c r="A34" s="5" t="inlineStr">
        <is>
          <t xml:space="preserve">   Receivables: unbilled / retention (~30%)</t>
        </is>
      </c>
      <c r="I34" s="33">
        <f>I8*0.30</f>
        <v/>
      </c>
      <c r="J34" s="33">
        <f>J8*0.30</f>
        <v/>
      </c>
      <c r="K34" s="33">
        <f>K8*0.30</f>
        <v/>
      </c>
      <c r="L34" s="33">
        <f>L8*0.30</f>
        <v/>
      </c>
      <c r="M34" s="33">
        <f>M8*0.30</f>
        <v/>
      </c>
      <c r="N34" s="33">
        <f>N8*0.30</f>
        <v/>
      </c>
      <c r="O34" s="33">
        <f>O8*0.30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FIXED ASSET SCHEDULE</t>
        </is>
      </c>
      <c r="B1" s="1" t="n"/>
      <c r="C1" s="1" t="n"/>
      <c r="D1" s="1" t="n"/>
      <c r="E1" s="1" t="n"/>
      <c r="F1" s="1" t="n"/>
      <c r="G1" s="1" t="n"/>
      <c r="H1" s="1" t="n"/>
      <c r="I1" s="1" t="n"/>
      <c r="J1" s="1" t="n"/>
      <c r="K1" s="1" t="n"/>
      <c r="L1" s="1" t="n"/>
      <c r="M1" s="1" t="n"/>
      <c r="N1" s="1" t="n"/>
      <c r="O1" s="1" t="n"/>
    </row>
    <row r="2">
      <c r="A2" s="13" t="inlineStr">
        <is>
          <t>Net-block roll-forward. Opening FY27 = reported FY26 net PPE. Depreciation = rate x opening net block.</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Net block roll-forward</t>
        </is>
      </c>
      <c r="B5" s="1" t="n"/>
      <c r="C5" s="1" t="n"/>
      <c r="D5" s="1" t="n"/>
      <c r="E5" s="1" t="n"/>
      <c r="F5" s="1" t="n"/>
      <c r="G5" s="1" t="n"/>
      <c r="H5" s="1" t="n"/>
      <c r="I5" s="1" t="n"/>
      <c r="J5" s="1" t="n"/>
      <c r="K5" s="1" t="n"/>
      <c r="L5" s="1" t="n"/>
      <c r="M5" s="1" t="n"/>
      <c r="N5" s="1" t="n"/>
      <c r="O5" s="1" t="n"/>
    </row>
    <row r="6">
      <c r="A6" s="4" t="inlineStr">
        <is>
          <t>Opening net block</t>
        </is>
      </c>
      <c r="B6" s="43">
        <f>'Historical Financial Statements'!B28</f>
        <v/>
      </c>
      <c r="C6" s="43">
        <f>'Historical Financial Statements'!C28</f>
        <v/>
      </c>
      <c r="D6" s="43">
        <f>'Historical Financial Statements'!D28</f>
        <v/>
      </c>
      <c r="E6" s="43">
        <f>'Historical Financial Statements'!E28</f>
        <v/>
      </c>
      <c r="F6" s="43">
        <f>'Historical Financial Statements'!F28</f>
        <v/>
      </c>
      <c r="G6" s="43">
        <f>'Historical Financial Statements'!G28</f>
        <v/>
      </c>
      <c r="H6" s="43">
        <f>'Historical Financial Statements'!H28</f>
        <v/>
      </c>
      <c r="I6" s="33">
        <f>'Historical Financial Statements'!H28</f>
        <v/>
      </c>
      <c r="J6" s="33">
        <f>I10</f>
        <v/>
      </c>
      <c r="K6" s="33">
        <f>J10</f>
        <v/>
      </c>
      <c r="L6" s="33">
        <f>K10</f>
        <v/>
      </c>
      <c r="M6" s="33">
        <f>L10</f>
        <v/>
      </c>
      <c r="N6" s="33">
        <f>M10</f>
        <v/>
      </c>
      <c r="O6" s="33">
        <f>N10</f>
        <v/>
      </c>
    </row>
    <row r="7">
      <c r="A7" s="5" t="inlineStr">
        <is>
          <t xml:space="preserve">   Add: capital expenditure</t>
        </is>
      </c>
      <c r="I7" s="33">
        <f>'Assumptions'!I35</f>
        <v/>
      </c>
      <c r="J7" s="33">
        <f>'Assumptions'!J35</f>
        <v/>
      </c>
      <c r="K7" s="33">
        <f>'Assumptions'!K35</f>
        <v/>
      </c>
      <c r="L7" s="33">
        <f>'Assumptions'!L35</f>
        <v/>
      </c>
      <c r="M7" s="33">
        <f>'Assumptions'!M35</f>
        <v/>
      </c>
      <c r="N7" s="33">
        <f>'Assumptions'!N35</f>
        <v/>
      </c>
      <c r="O7" s="33">
        <f>'Assumptions'!O35</f>
        <v/>
      </c>
    </row>
    <row r="8">
      <c r="A8" s="5" t="inlineStr">
        <is>
          <t xml:space="preserve">   Less: depreciation</t>
        </is>
      </c>
      <c r="I8" s="33">
        <f>-'Assumptions'!I36*I6</f>
        <v/>
      </c>
      <c r="J8" s="33">
        <f>-'Assumptions'!J36*J6</f>
        <v/>
      </c>
      <c r="K8" s="33">
        <f>-'Assumptions'!K36*K6</f>
        <v/>
      </c>
      <c r="L8" s="33">
        <f>-'Assumptions'!L36*L6</f>
        <v/>
      </c>
      <c r="M8" s="33">
        <f>-'Assumptions'!M36*M6</f>
        <v/>
      </c>
      <c r="N8" s="33">
        <f>-'Assumptions'!N36*N6</f>
        <v/>
      </c>
      <c r="O8" s="33">
        <f>-'Assumptions'!O36*O6</f>
        <v/>
      </c>
    </row>
    <row r="9">
      <c r="A9" s="5" t="inlineStr">
        <is>
          <t xml:space="preserve">   Less: disposals</t>
        </is>
      </c>
      <c r="I9" s="33" t="n">
        <v>0</v>
      </c>
      <c r="J9" s="33" t="n">
        <v>0</v>
      </c>
      <c r="K9" s="33" t="n">
        <v>0</v>
      </c>
      <c r="L9" s="33" t="n">
        <v>0</v>
      </c>
      <c r="M9" s="33" t="n">
        <v>0</v>
      </c>
      <c r="N9" s="33" t="n">
        <v>0</v>
      </c>
      <c r="O9" s="33" t="n">
        <v>0</v>
      </c>
    </row>
    <row r="10">
      <c r="A10" s="4" t="inlineStr">
        <is>
          <t>Closing net block</t>
        </is>
      </c>
      <c r="B10" s="61">
        <f>'Historical Financial Statements'!B28</f>
        <v/>
      </c>
      <c r="C10" s="61">
        <f>'Historical Financial Statements'!C28</f>
        <v/>
      </c>
      <c r="D10" s="61">
        <f>'Historical Financial Statements'!D28</f>
        <v/>
      </c>
      <c r="E10" s="61">
        <f>'Historical Financial Statements'!E28</f>
        <v/>
      </c>
      <c r="F10" s="61">
        <f>'Historical Financial Statements'!F28</f>
        <v/>
      </c>
      <c r="G10" s="61">
        <f>'Historical Financial Statements'!G28</f>
        <v/>
      </c>
      <c r="H10" s="61">
        <f>'Historical Financial Statements'!H28</f>
        <v/>
      </c>
      <c r="I10" s="44">
        <f>I6+I7+I8-I9</f>
        <v/>
      </c>
      <c r="J10" s="44">
        <f>J6+J7+J8-J9</f>
        <v/>
      </c>
      <c r="K10" s="44">
        <f>K6+K7+K8-K9</f>
        <v/>
      </c>
      <c r="L10" s="44">
        <f>L6+L7+L8-L9</f>
        <v/>
      </c>
      <c r="M10" s="44">
        <f>M6+M7+M8-M9</f>
        <v/>
      </c>
      <c r="N10" s="44">
        <f>N6+N7+N8-N9</f>
        <v/>
      </c>
      <c r="O10" s="44">
        <f>O6+O7+O8-O9</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DEPRECIATION SCHEDULE</t>
        </is>
      </c>
      <c r="B1" s="1" t="n"/>
      <c r="C1" s="1" t="n"/>
      <c r="D1" s="1" t="n"/>
      <c r="E1" s="1" t="n"/>
      <c r="F1" s="1" t="n"/>
      <c r="G1" s="1" t="n"/>
      <c r="H1" s="1" t="n"/>
      <c r="I1" s="1" t="n"/>
      <c r="J1" s="1" t="n"/>
      <c r="K1" s="1" t="n"/>
      <c r="L1" s="1" t="n"/>
      <c r="M1" s="1" t="n"/>
      <c r="N1" s="1" t="n"/>
      <c r="O1" s="1" t="n"/>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Depreciation computation</t>
        </is>
      </c>
      <c r="B5" s="1" t="n"/>
      <c r="C5" s="1" t="n"/>
      <c r="D5" s="1" t="n"/>
      <c r="E5" s="1" t="n"/>
      <c r="F5" s="1" t="n"/>
      <c r="G5" s="1" t="n"/>
      <c r="H5" s="1" t="n"/>
      <c r="I5" s="1" t="n"/>
      <c r="J5" s="1" t="n"/>
      <c r="K5" s="1" t="n"/>
      <c r="L5" s="1" t="n"/>
      <c r="M5" s="1" t="n"/>
      <c r="N5" s="1" t="n"/>
      <c r="O5" s="1" t="n"/>
    </row>
    <row r="6">
      <c r="A6" s="5" t="inlineStr">
        <is>
          <t>Opening net block</t>
        </is>
      </c>
      <c r="I6" s="33">
        <f>'Fixed Asset Schedule'!I6</f>
        <v/>
      </c>
      <c r="J6" s="33">
        <f>'Fixed Asset Schedule'!J6</f>
        <v/>
      </c>
      <c r="K6" s="33">
        <f>'Fixed Asset Schedule'!K6</f>
        <v/>
      </c>
      <c r="L6" s="33">
        <f>'Fixed Asset Schedule'!L6</f>
        <v/>
      </c>
      <c r="M6" s="33">
        <f>'Fixed Asset Schedule'!M6</f>
        <v/>
      </c>
      <c r="N6" s="33">
        <f>'Fixed Asset Schedule'!N6</f>
        <v/>
      </c>
      <c r="O6" s="33">
        <f>'Fixed Asset Schedule'!O6</f>
        <v/>
      </c>
    </row>
    <row r="7">
      <c r="A7" s="5" t="inlineStr">
        <is>
          <t>Depreciation rate %</t>
        </is>
      </c>
      <c r="I7" s="40">
        <f>'Assumptions'!I36</f>
        <v/>
      </c>
      <c r="J7" s="40">
        <f>'Assumptions'!J36</f>
        <v/>
      </c>
      <c r="K7" s="40">
        <f>'Assumptions'!K36</f>
        <v/>
      </c>
      <c r="L7" s="40">
        <f>'Assumptions'!L36</f>
        <v/>
      </c>
      <c r="M7" s="40">
        <f>'Assumptions'!M36</f>
        <v/>
      </c>
      <c r="N7" s="40">
        <f>'Assumptions'!N36</f>
        <v/>
      </c>
      <c r="O7" s="40">
        <f>'Assumptions'!O36</f>
        <v/>
      </c>
    </row>
    <row r="8">
      <c r="A8" s="4" t="inlineStr">
        <is>
          <t>Depreciation expense</t>
        </is>
      </c>
      <c r="B8" s="61">
        <f>'Historical Financial Statements'!B13</f>
        <v/>
      </c>
      <c r="C8" s="61">
        <f>'Historical Financial Statements'!C13</f>
        <v/>
      </c>
      <c r="D8" s="61">
        <f>'Historical Financial Statements'!D13</f>
        <v/>
      </c>
      <c r="E8" s="61">
        <f>'Historical Financial Statements'!E13</f>
        <v/>
      </c>
      <c r="F8" s="61">
        <f>'Historical Financial Statements'!F13</f>
        <v/>
      </c>
      <c r="G8" s="61">
        <f>'Historical Financial Statements'!G13</f>
        <v/>
      </c>
      <c r="H8" s="61">
        <f>'Historical Financial Statements'!H13</f>
        <v/>
      </c>
      <c r="I8" s="44">
        <f>I6*I7</f>
        <v/>
      </c>
      <c r="J8" s="44">
        <f>J6*J7</f>
        <v/>
      </c>
      <c r="K8" s="44">
        <f>K6*K7</f>
        <v/>
      </c>
      <c r="L8" s="44">
        <f>L6*L7</f>
        <v/>
      </c>
      <c r="M8" s="44">
        <f>M6*M7</f>
        <v/>
      </c>
      <c r="N8" s="44">
        <f>N6*N7</f>
        <v/>
      </c>
      <c r="O8" s="44">
        <f>O6*O7</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DEBT SCHEDULE</t>
        </is>
      </c>
      <c r="B1" s="1" t="n"/>
      <c r="C1" s="1" t="n"/>
      <c r="D1" s="1" t="n"/>
      <c r="E1" s="1" t="n"/>
      <c r="F1" s="1" t="n"/>
      <c r="G1" s="1" t="n"/>
      <c r="H1" s="1" t="n"/>
      <c r="I1" s="1" t="n"/>
      <c r="J1" s="1" t="n"/>
      <c r="K1" s="1" t="n"/>
      <c r="L1" s="1" t="n"/>
      <c r="M1" s="1" t="n"/>
      <c r="N1" s="1" t="n"/>
      <c r="O1" s="1" t="n"/>
    </row>
    <row r="2">
      <c r="A2" s="13" t="inlineStr">
        <is>
          <t>Interest on opening debt (no circularity). Opening FY27 = reported FY26 borrowings.</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Debt roll-forward</t>
        </is>
      </c>
      <c r="B5" s="1" t="n"/>
      <c r="C5" s="1" t="n"/>
      <c r="D5" s="1" t="n"/>
      <c r="E5" s="1" t="n"/>
      <c r="F5" s="1" t="n"/>
      <c r="G5" s="1" t="n"/>
      <c r="H5" s="1" t="n"/>
      <c r="I5" s="1" t="n"/>
      <c r="J5" s="1" t="n"/>
      <c r="K5" s="1" t="n"/>
      <c r="L5" s="1" t="n"/>
      <c r="M5" s="1" t="n"/>
      <c r="N5" s="1" t="n"/>
      <c r="O5" s="1" t="n"/>
    </row>
    <row r="6">
      <c r="A6" s="4" t="inlineStr">
        <is>
          <t>Opening debt</t>
        </is>
      </c>
      <c r="B6" s="43">
        <f>'Historical Financial Statements'!B35</f>
        <v/>
      </c>
      <c r="C6" s="43">
        <f>'Historical Financial Statements'!C35</f>
        <v/>
      </c>
      <c r="D6" s="43">
        <f>'Historical Financial Statements'!D35</f>
        <v/>
      </c>
      <c r="E6" s="43">
        <f>'Historical Financial Statements'!E35</f>
        <v/>
      </c>
      <c r="F6" s="43">
        <f>'Historical Financial Statements'!F35</f>
        <v/>
      </c>
      <c r="G6" s="43">
        <f>'Historical Financial Statements'!G35</f>
        <v/>
      </c>
      <c r="H6" s="43">
        <f>'Historical Financial Statements'!H35</f>
        <v/>
      </c>
      <c r="I6" s="33">
        <f>'Historical Financial Statements'!H35</f>
        <v/>
      </c>
      <c r="J6" s="33">
        <f>I9</f>
        <v/>
      </c>
      <c r="K6" s="33">
        <f>J9</f>
        <v/>
      </c>
      <c r="L6" s="33">
        <f>K9</f>
        <v/>
      </c>
      <c r="M6" s="33">
        <f>L9</f>
        <v/>
      </c>
      <c r="N6" s="33">
        <f>M9</f>
        <v/>
      </c>
      <c r="O6" s="33">
        <f>N9</f>
        <v/>
      </c>
    </row>
    <row r="7">
      <c r="A7" s="5" t="inlineStr">
        <is>
          <t xml:space="preserve">   Add: new borrowings</t>
        </is>
      </c>
      <c r="I7" s="33">
        <f>'Assumptions'!I50</f>
        <v/>
      </c>
      <c r="J7" s="33">
        <f>'Assumptions'!J50</f>
        <v/>
      </c>
      <c r="K7" s="33">
        <f>'Assumptions'!K50</f>
        <v/>
      </c>
      <c r="L7" s="33">
        <f>'Assumptions'!L50</f>
        <v/>
      </c>
      <c r="M7" s="33">
        <f>'Assumptions'!M50</f>
        <v/>
      </c>
      <c r="N7" s="33">
        <f>'Assumptions'!N50</f>
        <v/>
      </c>
      <c r="O7" s="33">
        <f>'Assumptions'!O50</f>
        <v/>
      </c>
    </row>
    <row r="8">
      <c r="A8" s="5" t="inlineStr">
        <is>
          <t xml:space="preserve">   Less: repayments</t>
        </is>
      </c>
      <c r="I8" s="33">
        <f>-'Assumptions'!I51</f>
        <v/>
      </c>
      <c r="J8" s="33">
        <f>-'Assumptions'!J51</f>
        <v/>
      </c>
      <c r="K8" s="33">
        <f>-'Assumptions'!K51</f>
        <v/>
      </c>
      <c r="L8" s="33">
        <f>-'Assumptions'!L51</f>
        <v/>
      </c>
      <c r="M8" s="33">
        <f>-'Assumptions'!M51</f>
        <v/>
      </c>
      <c r="N8" s="33">
        <f>-'Assumptions'!N51</f>
        <v/>
      </c>
      <c r="O8" s="33">
        <f>-'Assumptions'!O51</f>
        <v/>
      </c>
    </row>
    <row r="9">
      <c r="A9" s="4" t="inlineStr">
        <is>
          <t>Closing debt</t>
        </is>
      </c>
      <c r="B9" s="61">
        <f>'Historical Financial Statements'!B35</f>
        <v/>
      </c>
      <c r="C9" s="61">
        <f>'Historical Financial Statements'!C35</f>
        <v/>
      </c>
      <c r="D9" s="61">
        <f>'Historical Financial Statements'!D35</f>
        <v/>
      </c>
      <c r="E9" s="61">
        <f>'Historical Financial Statements'!E35</f>
        <v/>
      </c>
      <c r="F9" s="61">
        <f>'Historical Financial Statements'!F35</f>
        <v/>
      </c>
      <c r="G9" s="61">
        <f>'Historical Financial Statements'!G35</f>
        <v/>
      </c>
      <c r="H9" s="61">
        <f>'Historical Financial Statements'!H35</f>
        <v/>
      </c>
      <c r="I9" s="44">
        <f>I6+I7+I8</f>
        <v/>
      </c>
      <c r="J9" s="44">
        <f>J6+J7+J8</f>
        <v/>
      </c>
      <c r="K9" s="44">
        <f>K6+K7+K8</f>
        <v/>
      </c>
      <c r="L9" s="44">
        <f>L6+L7+L8</f>
        <v/>
      </c>
      <c r="M9" s="44">
        <f>M6+M7+M8</f>
        <v/>
      </c>
      <c r="N9" s="44">
        <f>N6+N7+N8</f>
        <v/>
      </c>
      <c r="O9" s="44">
        <f>O6+O7+O8</f>
        <v/>
      </c>
    </row>
    <row r="10">
      <c r="A10" s="5" t="inlineStr">
        <is>
          <t>Average debt</t>
        </is>
      </c>
      <c r="I10" s="33">
        <f>(I6+I9)/2</f>
        <v/>
      </c>
      <c r="J10" s="33">
        <f>(J6+J9)/2</f>
        <v/>
      </c>
      <c r="K10" s="33">
        <f>(K6+K9)/2</f>
        <v/>
      </c>
      <c r="L10" s="33">
        <f>(L6+L9)/2</f>
        <v/>
      </c>
      <c r="M10" s="33">
        <f>(M6+M9)/2</f>
        <v/>
      </c>
      <c r="N10" s="33">
        <f>(N6+N9)/2</f>
        <v/>
      </c>
      <c r="O10" s="33">
        <f>(O6+O9)/2</f>
        <v/>
      </c>
    </row>
    <row r="11">
      <c r="A11" s="4" t="inlineStr">
        <is>
          <t>Interest expense (on opening debt)</t>
        </is>
      </c>
      <c r="B11" s="43">
        <f>'Historical Financial Statements'!B16</f>
        <v/>
      </c>
      <c r="C11" s="43">
        <f>'Historical Financial Statements'!C16</f>
        <v/>
      </c>
      <c r="D11" s="43">
        <f>'Historical Financial Statements'!D16</f>
        <v/>
      </c>
      <c r="E11" s="43">
        <f>'Historical Financial Statements'!E16</f>
        <v/>
      </c>
      <c r="F11" s="43">
        <f>'Historical Financial Statements'!F16</f>
        <v/>
      </c>
      <c r="G11" s="43">
        <f>'Historical Financial Statements'!G16</f>
        <v/>
      </c>
      <c r="H11" s="43">
        <f>'Historical Financial Statements'!H16</f>
        <v/>
      </c>
      <c r="I11" s="33">
        <f>'Assumptions'!I52*I6</f>
        <v/>
      </c>
      <c r="J11" s="33">
        <f>'Assumptions'!J52*J6</f>
        <v/>
      </c>
      <c r="K11" s="33">
        <f>'Assumptions'!K52*K6</f>
        <v/>
      </c>
      <c r="L11" s="33">
        <f>'Assumptions'!L52*L6</f>
        <v/>
      </c>
      <c r="M11" s="33">
        <f>'Assumptions'!M52*M6</f>
        <v/>
      </c>
      <c r="N11" s="33">
        <f>'Assumptions'!N52*N6</f>
        <v/>
      </c>
      <c r="O11" s="33">
        <f>'Assumptions'!O52*O6</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EQUITY SCHEDULE</t>
        </is>
      </c>
      <c r="B1" s="1" t="n"/>
      <c r="C1" s="1" t="n"/>
      <c r="D1" s="1" t="n"/>
      <c r="E1" s="1" t="n"/>
      <c r="F1" s="1" t="n"/>
      <c r="G1" s="1" t="n"/>
      <c r="H1" s="1" t="n"/>
      <c r="I1" s="1" t="n"/>
      <c r="J1" s="1" t="n"/>
      <c r="K1" s="1" t="n"/>
      <c r="L1" s="1" t="n"/>
      <c r="M1" s="1" t="n"/>
      <c r="N1" s="1" t="n"/>
      <c r="O1" s="1" t="n"/>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Other equity (reserves) roll-forward</t>
        </is>
      </c>
      <c r="B5" s="1" t="n"/>
      <c r="C5" s="1" t="n"/>
      <c r="D5" s="1" t="n"/>
      <c r="E5" s="1" t="n"/>
      <c r="F5" s="1" t="n"/>
      <c r="G5" s="1" t="n"/>
      <c r="H5" s="1" t="n"/>
      <c r="I5" s="1" t="n"/>
      <c r="J5" s="1" t="n"/>
      <c r="K5" s="1" t="n"/>
      <c r="L5" s="1" t="n"/>
      <c r="M5" s="1" t="n"/>
      <c r="N5" s="1" t="n"/>
      <c r="O5" s="1" t="n"/>
    </row>
    <row r="6">
      <c r="A6" s="4" t="inlineStr">
        <is>
          <t>Opening other equity</t>
        </is>
      </c>
      <c r="I6" s="33">
        <f>'Historical Financial Statements'!H34</f>
        <v/>
      </c>
      <c r="J6" s="33">
        <f>I10</f>
        <v/>
      </c>
      <c r="K6" s="33">
        <f>J10</f>
        <v/>
      </c>
      <c r="L6" s="33">
        <f>K10</f>
        <v/>
      </c>
      <c r="M6" s="33">
        <f>L10</f>
        <v/>
      </c>
      <c r="N6" s="33">
        <f>M10</f>
        <v/>
      </c>
      <c r="O6" s="33">
        <f>N10</f>
        <v/>
      </c>
    </row>
    <row r="7">
      <c r="A7" s="5" t="inlineStr">
        <is>
          <t xml:space="preserve">   Add: profit after tax</t>
        </is>
      </c>
      <c r="I7" s="33">
        <f>'Forecast Financial Statements'!I20</f>
        <v/>
      </c>
      <c r="J7" s="33">
        <f>'Forecast Financial Statements'!J20</f>
        <v/>
      </c>
      <c r="K7" s="33">
        <f>'Forecast Financial Statements'!K20</f>
        <v/>
      </c>
      <c r="L7" s="33">
        <f>'Forecast Financial Statements'!L20</f>
        <v/>
      </c>
      <c r="M7" s="33">
        <f>'Forecast Financial Statements'!M20</f>
        <v/>
      </c>
      <c r="N7" s="33">
        <f>'Forecast Financial Statements'!N20</f>
        <v/>
      </c>
      <c r="O7" s="33">
        <f>'Forecast Financial Statements'!O20</f>
        <v/>
      </c>
    </row>
    <row r="8">
      <c r="A8" s="5" t="inlineStr">
        <is>
          <t xml:space="preserve">   Less: dividends</t>
        </is>
      </c>
      <c r="I8" s="33">
        <f>-'Forecast Financial Statements'!I22</f>
        <v/>
      </c>
      <c r="J8" s="33">
        <f>-'Forecast Financial Statements'!J22</f>
        <v/>
      </c>
      <c r="K8" s="33">
        <f>-'Forecast Financial Statements'!K22</f>
        <v/>
      </c>
      <c r="L8" s="33">
        <f>-'Forecast Financial Statements'!L22</f>
        <v/>
      </c>
      <c r="M8" s="33">
        <f>-'Forecast Financial Statements'!M22</f>
        <v/>
      </c>
      <c r="N8" s="33">
        <f>-'Forecast Financial Statements'!N22</f>
        <v/>
      </c>
      <c r="O8" s="33">
        <f>-'Forecast Financial Statements'!O22</f>
        <v/>
      </c>
    </row>
    <row r="9">
      <c r="A9" s="5" t="inlineStr">
        <is>
          <t xml:space="preserve">   Add: other comprehensive income</t>
        </is>
      </c>
      <c r="I9" s="33" t="n">
        <v>0</v>
      </c>
      <c r="J9" s="33" t="n">
        <v>0</v>
      </c>
      <c r="K9" s="33" t="n">
        <v>0</v>
      </c>
      <c r="L9" s="33" t="n">
        <v>0</v>
      </c>
      <c r="M9" s="33" t="n">
        <v>0</v>
      </c>
      <c r="N9" s="33" t="n">
        <v>0</v>
      </c>
      <c r="O9" s="33" t="n">
        <v>0</v>
      </c>
    </row>
    <row r="10">
      <c r="A10" s="4" t="inlineStr">
        <is>
          <t>Closing other equity</t>
        </is>
      </c>
      <c r="I10" s="44">
        <f>SUM(I6:I9)</f>
        <v/>
      </c>
      <c r="J10" s="44">
        <f>SUM(J6:J9)</f>
        <v/>
      </c>
      <c r="K10" s="44">
        <f>SUM(K6:K9)</f>
        <v/>
      </c>
      <c r="L10" s="44">
        <f>SUM(L6:L9)</f>
        <v/>
      </c>
      <c r="M10" s="44">
        <f>SUM(M6:M9)</f>
        <v/>
      </c>
      <c r="N10" s="44">
        <f>SUM(N6:N9)</f>
        <v/>
      </c>
      <c r="O10" s="44">
        <f>SUM(O6:O9)</f>
        <v/>
      </c>
    </row>
    <row r="12">
      <c r="A12" s="5" t="inlineStr">
        <is>
          <t>Equity share capital (constant)</t>
        </is>
      </c>
      <c r="I12" s="33" t="n">
        <v>696</v>
      </c>
      <c r="J12" s="33" t="n">
        <v>696</v>
      </c>
      <c r="K12" s="33" t="n">
        <v>696</v>
      </c>
      <c r="L12" s="33" t="n">
        <v>696</v>
      </c>
      <c r="M12" s="33" t="n">
        <v>696</v>
      </c>
      <c r="N12" s="33" t="n">
        <v>696</v>
      </c>
      <c r="O12" s="33" t="n">
        <v>696</v>
      </c>
    </row>
    <row r="13">
      <c r="A13" s="4" t="inlineStr">
        <is>
          <t>Total shareholders equity</t>
        </is>
      </c>
      <c r="I13" s="33">
        <f>I10+I12</f>
        <v/>
      </c>
      <c r="J13" s="33">
        <f>J10+J12</f>
        <v/>
      </c>
      <c r="K13" s="33">
        <f>K10+K12</f>
        <v/>
      </c>
      <c r="L13" s="33">
        <f>L10+L12</f>
        <v/>
      </c>
      <c r="M13" s="33">
        <f>M10+M12</f>
        <v/>
      </c>
      <c r="N13" s="33">
        <f>N10+N12</f>
        <v/>
      </c>
      <c r="O13" s="33">
        <f>O10+O12</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OTHER ASSETS &amp; LIABILITIES</t>
        </is>
      </c>
      <c r="B1" s="1" t="n"/>
      <c r="C1" s="1" t="n"/>
      <c r="D1" s="1" t="n"/>
      <c r="E1" s="1" t="n"/>
      <c r="F1" s="1" t="n"/>
      <c r="G1" s="1" t="n"/>
      <c r="H1" s="1" t="n"/>
      <c r="I1" s="1" t="n"/>
      <c r="J1" s="1" t="n"/>
      <c r="K1" s="1" t="n"/>
      <c r="L1" s="1" t="n"/>
      <c r="M1" s="1" t="n"/>
      <c r="N1" s="1" t="n"/>
      <c r="O1" s="1" t="n"/>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Other (non-WC) assets &amp; liabilities</t>
        </is>
      </c>
      <c r="B5" s="1" t="n"/>
      <c r="C5" s="1" t="n"/>
      <c r="D5" s="1" t="n"/>
      <c r="E5" s="1" t="n"/>
      <c r="F5" s="1" t="n"/>
      <c r="G5" s="1" t="n"/>
      <c r="H5" s="1" t="n"/>
      <c r="I5" s="1" t="n"/>
      <c r="J5" s="1" t="n"/>
      <c r="K5" s="1" t="n"/>
      <c r="L5" s="1" t="n"/>
      <c r="M5" s="1" t="n"/>
      <c r="N5" s="1" t="n"/>
      <c r="O5" s="1" t="n"/>
    </row>
    <row r="6">
      <c r="A6" s="5" t="inlineStr">
        <is>
          <t>Capital work-in-progress</t>
        </is>
      </c>
      <c r="B6" s="43">
        <f>'Historical Financial Statements'!B29</f>
        <v/>
      </c>
      <c r="C6" s="43">
        <f>'Historical Financial Statements'!C29</f>
        <v/>
      </c>
      <c r="D6" s="43">
        <f>'Historical Financial Statements'!D29</f>
        <v/>
      </c>
      <c r="E6" s="43">
        <f>'Historical Financial Statements'!E29</f>
        <v/>
      </c>
      <c r="F6" s="43">
        <f>'Historical Financial Statements'!F29</f>
        <v/>
      </c>
      <c r="G6" s="43">
        <f>'Historical Financial Statements'!G29</f>
        <v/>
      </c>
      <c r="H6" s="43">
        <f>'Historical Financial Statements'!H29</f>
        <v/>
      </c>
      <c r="I6" s="33">
        <f>'Assumptions'!I46</f>
        <v/>
      </c>
      <c r="J6" s="33">
        <f>'Assumptions'!J46</f>
        <v/>
      </c>
      <c r="K6" s="33">
        <f>'Assumptions'!K46</f>
        <v/>
      </c>
      <c r="L6" s="33">
        <f>'Assumptions'!L46</f>
        <v/>
      </c>
      <c r="M6" s="33">
        <f>'Assumptions'!M46</f>
        <v/>
      </c>
      <c r="N6" s="33">
        <f>'Assumptions'!N46</f>
        <v/>
      </c>
      <c r="O6" s="33">
        <f>'Assumptions'!O46</f>
        <v/>
      </c>
    </row>
    <row r="7">
      <c r="A7" s="5" t="inlineStr">
        <is>
          <t>Investments</t>
        </is>
      </c>
      <c r="B7" s="43">
        <f>'Historical Financial Statements'!B30</f>
        <v/>
      </c>
      <c r="C7" s="43">
        <f>'Historical Financial Statements'!C30</f>
        <v/>
      </c>
      <c r="D7" s="43">
        <f>'Historical Financial Statements'!D30</f>
        <v/>
      </c>
      <c r="E7" s="43">
        <f>'Historical Financial Statements'!E30</f>
        <v/>
      </c>
      <c r="F7" s="43">
        <f>'Historical Financial Statements'!F30</f>
        <v/>
      </c>
      <c r="G7" s="43">
        <f>'Historical Financial Statements'!G30</f>
        <v/>
      </c>
      <c r="H7" s="43">
        <f>'Historical Financial Statements'!H30</f>
        <v/>
      </c>
      <c r="I7" s="33">
        <f>'Assumptions'!I47</f>
        <v/>
      </c>
      <c r="J7" s="33">
        <f>'Assumptions'!J47</f>
        <v/>
      </c>
      <c r="K7" s="33">
        <f>'Assumptions'!K47</f>
        <v/>
      </c>
      <c r="L7" s="33">
        <f>'Assumptions'!L47</f>
        <v/>
      </c>
      <c r="M7" s="33">
        <f>'Assumptions'!M47</f>
        <v/>
      </c>
      <c r="N7" s="33">
        <f>'Assumptions'!N47</f>
        <v/>
      </c>
      <c r="O7" s="33">
        <f>'Assumptions'!O47</f>
        <v/>
      </c>
    </row>
    <row r="8">
      <c r="A8" s="5" t="inlineStr">
        <is>
          <t>Contract assets (memo, from WC)</t>
        </is>
      </c>
      <c r="I8" s="33">
        <f>'Working Capital Schedule'!I10</f>
        <v/>
      </c>
      <c r="J8" s="33">
        <f>'Working Capital Schedule'!J10</f>
        <v/>
      </c>
      <c r="K8" s="33">
        <f>'Working Capital Schedule'!K10</f>
        <v/>
      </c>
      <c r="L8" s="33">
        <f>'Working Capital Schedule'!L10</f>
        <v/>
      </c>
      <c r="M8" s="33">
        <f>'Working Capital Schedule'!M10</f>
        <v/>
      </c>
      <c r="N8" s="33">
        <f>'Working Capital Schedule'!N10</f>
        <v/>
      </c>
      <c r="O8" s="33">
        <f>'Working Capital Schedule'!O10</f>
        <v/>
      </c>
    </row>
    <row r="9">
      <c r="A9" s="5" t="inlineStr">
        <is>
          <t>Other current operating assets (memo, from WC)</t>
        </is>
      </c>
      <c r="I9" s="33">
        <f>'Working Capital Schedule'!I11</f>
        <v/>
      </c>
      <c r="J9" s="33">
        <f>'Working Capital Schedule'!J11</f>
        <v/>
      </c>
      <c r="K9" s="33">
        <f>'Working Capital Schedule'!K11</f>
        <v/>
      </c>
      <c r="L9" s="33">
        <f>'Working Capital Schedule'!L11</f>
        <v/>
      </c>
      <c r="M9" s="33">
        <f>'Working Capital Schedule'!M11</f>
        <v/>
      </c>
      <c r="N9" s="33">
        <f>'Working Capital Schedule'!N11</f>
        <v/>
      </c>
      <c r="O9" s="33">
        <f>'Working Capital Schedule'!O11</f>
        <v/>
      </c>
    </row>
    <row r="10">
      <c r="A10" s="5" t="inlineStr">
        <is>
          <t>Contract liabilities (memo, from WC)</t>
        </is>
      </c>
      <c r="I10" s="33">
        <f>'Working Capital Schedule'!I14</f>
        <v/>
      </c>
      <c r="J10" s="33">
        <f>'Working Capital Schedule'!J14</f>
        <v/>
      </c>
      <c r="K10" s="33">
        <f>'Working Capital Schedule'!K14</f>
        <v/>
      </c>
      <c r="L10" s="33">
        <f>'Working Capital Schedule'!L14</f>
        <v/>
      </c>
      <c r="M10" s="33">
        <f>'Working Capital Schedule'!M14</f>
        <v/>
      </c>
      <c r="N10" s="33">
        <f>'Working Capital Schedule'!N14</f>
        <v/>
      </c>
      <c r="O10" s="33">
        <f>'Working Capital Schedule'!O14</f>
        <v/>
      </c>
    </row>
    <row r="11">
      <c r="A11" s="5" t="inlineStr">
        <is>
          <t>Other current operating liabilities (memo, from WC)</t>
        </is>
      </c>
      <c r="I11" s="33">
        <f>'Working Capital Schedule'!I15</f>
        <v/>
      </c>
      <c r="J11" s="33">
        <f>'Working Capital Schedule'!J15</f>
        <v/>
      </c>
      <c r="K11" s="33">
        <f>'Working Capital Schedule'!K15</f>
        <v/>
      </c>
      <c r="L11" s="33">
        <f>'Working Capital Schedule'!L15</f>
        <v/>
      </c>
      <c r="M11" s="33">
        <f>'Working Capital Schedule'!M15</f>
        <v/>
      </c>
      <c r="N11" s="33">
        <f>'Working Capital Schedule'!N15</f>
        <v/>
      </c>
      <c r="O11" s="33">
        <f>'Working Capital Schedule'!O15</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CASH FLOW STATEMENT</t>
        </is>
      </c>
      <c r="B1" s="1" t="n"/>
      <c r="C1" s="1" t="n"/>
      <c r="D1" s="1" t="n"/>
      <c r="E1" s="1" t="n"/>
      <c r="F1" s="1" t="n"/>
      <c r="G1" s="1" t="n"/>
      <c r="H1" s="1" t="n"/>
      <c r="I1" s="1" t="n"/>
      <c r="J1" s="1" t="n"/>
      <c r="K1" s="1" t="n"/>
      <c r="L1" s="1" t="n"/>
      <c r="M1" s="1" t="n"/>
      <c r="N1" s="1" t="n"/>
      <c r="O1" s="1" t="n"/>
    </row>
    <row r="2">
      <c r="A2" s="13" t="inlineStr">
        <is>
          <t>FY2020-26: AUDITED consolidated cash flow (annual reports), reconciling to cash &amp; cash equivalents. FY2027-33: derived (PAT + D&amp;A +/- change in NWC; investing &amp; financing from schedules). See memo for the link to the broader balance-sheet "cash &amp; bank" line.</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A.  Operating activities</t>
        </is>
      </c>
      <c r="B5" s="1" t="n"/>
      <c r="C5" s="1" t="n"/>
      <c r="D5" s="1" t="n"/>
      <c r="E5" s="1" t="n"/>
      <c r="F5" s="1" t="n"/>
      <c r="G5" s="1" t="n"/>
      <c r="H5" s="1" t="n"/>
      <c r="I5" s="1" t="n"/>
      <c r="J5" s="1" t="n"/>
      <c r="K5" s="1" t="n"/>
      <c r="L5" s="1" t="n"/>
      <c r="M5" s="1" t="n"/>
      <c r="N5" s="1" t="n"/>
      <c r="O5" s="1" t="n"/>
    </row>
    <row r="6">
      <c r="A6" s="5" t="inlineStr">
        <is>
          <t xml:space="preserve">   Profit after tax</t>
        </is>
      </c>
      <c r="B6" s="43">
        <f>'Historical Financial Statements'!B20</f>
        <v/>
      </c>
      <c r="C6" s="43">
        <f>'Historical Financial Statements'!C20</f>
        <v/>
      </c>
      <c r="D6" s="43">
        <f>'Historical Financial Statements'!D20</f>
        <v/>
      </c>
      <c r="E6" s="43">
        <f>'Historical Financial Statements'!E20</f>
        <v/>
      </c>
      <c r="F6" s="43">
        <f>'Historical Financial Statements'!F20</f>
        <v/>
      </c>
      <c r="G6" s="43">
        <f>'Historical Financial Statements'!G20</f>
        <v/>
      </c>
      <c r="H6" s="43">
        <f>'Historical Financial Statements'!H20</f>
        <v/>
      </c>
      <c r="I6" s="33">
        <f>'Forecast Financial Statements'!I20</f>
        <v/>
      </c>
      <c r="J6" s="33">
        <f>'Forecast Financial Statements'!J20</f>
        <v/>
      </c>
      <c r="K6" s="33">
        <f>'Forecast Financial Statements'!K20</f>
        <v/>
      </c>
      <c r="L6" s="33">
        <f>'Forecast Financial Statements'!L20</f>
        <v/>
      </c>
      <c r="M6" s="33">
        <f>'Forecast Financial Statements'!M20</f>
        <v/>
      </c>
      <c r="N6" s="33">
        <f>'Forecast Financial Statements'!N20</f>
        <v/>
      </c>
      <c r="O6" s="33">
        <f>'Forecast Financial Statements'!O20</f>
        <v/>
      </c>
    </row>
    <row r="7">
      <c r="A7" s="5" t="inlineStr">
        <is>
          <t xml:space="preserve">   Add: depreciation &amp; amortisation</t>
        </is>
      </c>
      <c r="B7" s="43">
        <f>'Historical Financial Statements'!B13</f>
        <v/>
      </c>
      <c r="C7" s="43">
        <f>'Historical Financial Statements'!C13</f>
        <v/>
      </c>
      <c r="D7" s="43">
        <f>'Historical Financial Statements'!D13</f>
        <v/>
      </c>
      <c r="E7" s="43">
        <f>'Historical Financial Statements'!E13</f>
        <v/>
      </c>
      <c r="F7" s="43">
        <f>'Historical Financial Statements'!F13</f>
        <v/>
      </c>
      <c r="G7" s="43">
        <f>'Historical Financial Statements'!G13</f>
        <v/>
      </c>
      <c r="H7" s="43">
        <f>'Historical Financial Statements'!H13</f>
        <v/>
      </c>
      <c r="I7" s="33">
        <f>'Depreciation Schedule'!I8</f>
        <v/>
      </c>
      <c r="J7" s="33">
        <f>'Depreciation Schedule'!J8</f>
        <v/>
      </c>
      <c r="K7" s="33">
        <f>'Depreciation Schedule'!K8</f>
        <v/>
      </c>
      <c r="L7" s="33">
        <f>'Depreciation Schedule'!L8</f>
        <v/>
      </c>
      <c r="M7" s="33">
        <f>'Depreciation Schedule'!M8</f>
        <v/>
      </c>
      <c r="N7" s="33">
        <f>'Depreciation Schedule'!N8</f>
        <v/>
      </c>
      <c r="O7" s="33">
        <f>'Depreciation Schedule'!O8</f>
        <v/>
      </c>
    </row>
    <row r="8">
      <c r="A8" s="5" t="inlineStr">
        <is>
          <t xml:space="preserve">   Working capital &amp; other operating adjustments</t>
        </is>
      </c>
      <c r="B8" s="43">
        <f>'Historical Financial Statements'!B42-B6-B7</f>
        <v/>
      </c>
      <c r="C8" s="43">
        <f>'Historical Financial Statements'!C42-C6-C7</f>
        <v/>
      </c>
      <c r="D8" s="43">
        <f>'Historical Financial Statements'!D42-D6-D7</f>
        <v/>
      </c>
      <c r="E8" s="43">
        <f>'Historical Financial Statements'!E42-E6-E7</f>
        <v/>
      </c>
      <c r="F8" s="43">
        <f>'Historical Financial Statements'!F42-F6-F7</f>
        <v/>
      </c>
      <c r="G8" s="43">
        <f>'Historical Financial Statements'!G42-G6-G7</f>
        <v/>
      </c>
      <c r="H8" s="43">
        <f>'Historical Financial Statements'!H42-H6-H7</f>
        <v/>
      </c>
      <c r="I8" s="33">
        <f>'Working Capital Schedule'!I25</f>
        <v/>
      </c>
      <c r="J8" s="33">
        <f>'Working Capital Schedule'!J25</f>
        <v/>
      </c>
      <c r="K8" s="33">
        <f>'Working Capital Schedule'!K25</f>
        <v/>
      </c>
      <c r="L8" s="33">
        <f>'Working Capital Schedule'!L25</f>
        <v/>
      </c>
      <c r="M8" s="33">
        <f>'Working Capital Schedule'!M25</f>
        <v/>
      </c>
      <c r="N8" s="33">
        <f>'Working Capital Schedule'!N25</f>
        <v/>
      </c>
      <c r="O8" s="33">
        <f>'Working Capital Schedule'!O25</f>
        <v/>
      </c>
    </row>
    <row r="9">
      <c r="A9" s="4" t="inlineStr">
        <is>
          <t>Cash flow from operating activities</t>
        </is>
      </c>
      <c r="B9" s="61">
        <f>SUM(B6:B8)</f>
        <v/>
      </c>
      <c r="C9" s="61">
        <f>SUM(C6:C8)</f>
        <v/>
      </c>
      <c r="D9" s="61">
        <f>SUM(D6:D8)</f>
        <v/>
      </c>
      <c r="E9" s="61">
        <f>SUM(E6:E8)</f>
        <v/>
      </c>
      <c r="F9" s="61">
        <f>SUM(F6:F8)</f>
        <v/>
      </c>
      <c r="G9" s="61">
        <f>SUM(G6:G8)</f>
        <v/>
      </c>
      <c r="H9" s="61">
        <f>SUM(H6:H8)</f>
        <v/>
      </c>
      <c r="I9" s="44">
        <f>SUM(I6:I8)</f>
        <v/>
      </c>
      <c r="J9" s="44">
        <f>SUM(J6:J8)</f>
        <v/>
      </c>
      <c r="K9" s="44">
        <f>SUM(K6:K8)</f>
        <v/>
      </c>
      <c r="L9" s="44">
        <f>SUM(L6:L8)</f>
        <v/>
      </c>
      <c r="M9" s="44">
        <f>SUM(M6:M8)</f>
        <v/>
      </c>
      <c r="N9" s="44">
        <f>SUM(N6:N8)</f>
        <v/>
      </c>
      <c r="O9" s="44">
        <f>SUM(O6:O8)</f>
        <v/>
      </c>
    </row>
    <row r="11">
      <c r="A11" s="11" t="inlineStr">
        <is>
          <t>B.  Investing activities</t>
        </is>
      </c>
      <c r="B11" s="1" t="n"/>
      <c r="C11" s="1" t="n"/>
      <c r="D11" s="1" t="n"/>
      <c r="E11" s="1" t="n"/>
      <c r="F11" s="1" t="n"/>
      <c r="G11" s="1" t="n"/>
      <c r="H11" s="1" t="n"/>
      <c r="I11" s="1" t="n"/>
      <c r="J11" s="1" t="n"/>
      <c r="K11" s="1" t="n"/>
      <c r="L11" s="1" t="n"/>
      <c r="M11" s="1" t="n"/>
      <c r="N11" s="1" t="n"/>
      <c r="O11" s="1" t="n"/>
    </row>
    <row r="12">
      <c r="A12" s="5" t="inlineStr">
        <is>
          <t xml:space="preserve">   Capital expenditure (PPE &amp; intangibles)</t>
        </is>
      </c>
      <c r="B12" s="30" t="n">
        <v>-394.01</v>
      </c>
      <c r="C12" s="30" t="n">
        <v>-250.35</v>
      </c>
      <c r="D12" s="30" t="n">
        <v>-169.38</v>
      </c>
      <c r="E12" s="30" t="n">
        <v>-188.4</v>
      </c>
      <c r="F12" s="30" t="n">
        <v>-232.5</v>
      </c>
      <c r="G12" s="30" t="n">
        <v>-281.54</v>
      </c>
      <c r="H12" s="30" t="n">
        <v>-589.04</v>
      </c>
      <c r="I12" s="33">
        <f>-'Assumptions'!I35</f>
        <v/>
      </c>
      <c r="J12" s="33">
        <f>-'Assumptions'!J35</f>
        <v/>
      </c>
      <c r="K12" s="33">
        <f>-'Assumptions'!K35</f>
        <v/>
      </c>
      <c r="L12" s="33">
        <f>-'Assumptions'!L35</f>
        <v/>
      </c>
      <c r="M12" s="33">
        <f>-'Assumptions'!M35</f>
        <v/>
      </c>
      <c r="N12" s="33">
        <f>-'Assumptions'!N35</f>
        <v/>
      </c>
      <c r="O12" s="33">
        <f>-'Assumptions'!O35</f>
        <v/>
      </c>
    </row>
    <row r="13">
      <c r="A13" s="5" t="inlineStr">
        <is>
          <t xml:space="preserve">   Change in CWIP</t>
        </is>
      </c>
      <c r="B13" s="30" t="n">
        <v>0</v>
      </c>
      <c r="C13" s="30" t="n">
        <v>0</v>
      </c>
      <c r="D13" s="30" t="n">
        <v>0</v>
      </c>
      <c r="E13" s="30" t="n">
        <v>0</v>
      </c>
      <c r="F13" s="30" t="n">
        <v>0</v>
      </c>
      <c r="G13" s="30" t="n">
        <v>0</v>
      </c>
      <c r="H13" s="30" t="n">
        <v>0</v>
      </c>
      <c r="I13" s="33">
        <f>-('Assumptions'!I46-'Historical Financial Statements'!H29)</f>
        <v/>
      </c>
      <c r="J13" s="33">
        <f>-('Assumptions'!J46-'Assumptions'!I46)</f>
        <v/>
      </c>
      <c r="K13" s="33">
        <f>-('Assumptions'!K46-'Assumptions'!J46)</f>
        <v/>
      </c>
      <c r="L13" s="33">
        <f>-('Assumptions'!L46-'Assumptions'!K46)</f>
        <v/>
      </c>
      <c r="M13" s="33">
        <f>-('Assumptions'!M46-'Assumptions'!L46)</f>
        <v/>
      </c>
      <c r="N13" s="33">
        <f>-('Assumptions'!N46-'Assumptions'!M46)</f>
        <v/>
      </c>
      <c r="O13" s="33">
        <f>-('Assumptions'!O46-'Assumptions'!N46)</f>
        <v/>
      </c>
    </row>
    <row r="14">
      <c r="A14" s="5" t="inlineStr">
        <is>
          <t xml:space="preserve">   Bank deposits, investments, interest &amp; other investing</t>
        </is>
      </c>
      <c r="B14" s="43">
        <f>'Historical Financial Statements'!B43-B12-B13</f>
        <v/>
      </c>
      <c r="C14" s="43">
        <f>'Historical Financial Statements'!C43-C12-C13</f>
        <v/>
      </c>
      <c r="D14" s="43">
        <f>'Historical Financial Statements'!D43-D12-D13</f>
        <v/>
      </c>
      <c r="E14" s="43">
        <f>'Historical Financial Statements'!E43-E12-E13</f>
        <v/>
      </c>
      <c r="F14" s="43">
        <f>'Historical Financial Statements'!F43-F12-F13</f>
        <v/>
      </c>
      <c r="G14" s="43">
        <f>'Historical Financial Statements'!G43-G12-G13</f>
        <v/>
      </c>
      <c r="H14" s="43">
        <f>'Historical Financial Statements'!H43-H12-H13</f>
        <v/>
      </c>
      <c r="I14" s="33">
        <f>-('Assumptions'!I47-'Historical Financial Statements'!H30)</f>
        <v/>
      </c>
      <c r="J14" s="33">
        <f>-('Assumptions'!J47-'Assumptions'!I47)</f>
        <v/>
      </c>
      <c r="K14" s="33">
        <f>-('Assumptions'!K47-'Assumptions'!J47)</f>
        <v/>
      </c>
      <c r="L14" s="33">
        <f>-('Assumptions'!L47-'Assumptions'!K47)</f>
        <v/>
      </c>
      <c r="M14" s="33">
        <f>-('Assumptions'!M47-'Assumptions'!L47)</f>
        <v/>
      </c>
      <c r="N14" s="33">
        <f>-('Assumptions'!N47-'Assumptions'!M47)</f>
        <v/>
      </c>
      <c r="O14" s="33">
        <f>-('Assumptions'!O47-'Assumptions'!N47)</f>
        <v/>
      </c>
    </row>
    <row r="15">
      <c r="A15" s="4" t="inlineStr">
        <is>
          <t>Cash flow from investing activities</t>
        </is>
      </c>
      <c r="B15" s="61">
        <f>SUM(B12:B14)</f>
        <v/>
      </c>
      <c r="C15" s="61">
        <f>SUM(C12:C14)</f>
        <v/>
      </c>
      <c r="D15" s="61">
        <f>SUM(D12:D14)</f>
        <v/>
      </c>
      <c r="E15" s="61">
        <f>SUM(E12:E14)</f>
        <v/>
      </c>
      <c r="F15" s="61">
        <f>SUM(F12:F14)</f>
        <v/>
      </c>
      <c r="G15" s="61">
        <f>SUM(G12:G14)</f>
        <v/>
      </c>
      <c r="H15" s="61">
        <f>SUM(H12:H14)</f>
        <v/>
      </c>
      <c r="I15" s="44">
        <f>SUM(I12:I14)</f>
        <v/>
      </c>
      <c r="J15" s="44">
        <f>SUM(J12:J14)</f>
        <v/>
      </c>
      <c r="K15" s="44">
        <f>SUM(K12:K14)</f>
        <v/>
      </c>
      <c r="L15" s="44">
        <f>SUM(L12:L14)</f>
        <v/>
      </c>
      <c r="M15" s="44">
        <f>SUM(M12:M14)</f>
        <v/>
      </c>
      <c r="N15" s="44">
        <f>SUM(N12:N14)</f>
        <v/>
      </c>
      <c r="O15" s="44">
        <f>SUM(O12:O14)</f>
        <v/>
      </c>
    </row>
    <row r="17">
      <c r="A17" s="11" t="inlineStr">
        <is>
          <t>C.  Financing activities</t>
        </is>
      </c>
      <c r="B17" s="1" t="n"/>
      <c r="C17" s="1" t="n"/>
      <c r="D17" s="1" t="n"/>
      <c r="E17" s="1" t="n"/>
      <c r="F17" s="1" t="n"/>
      <c r="G17" s="1" t="n"/>
      <c r="H17" s="1" t="n"/>
      <c r="I17" s="1" t="n"/>
      <c r="J17" s="1" t="n"/>
      <c r="K17" s="1" t="n"/>
      <c r="L17" s="1" t="n"/>
      <c r="M17" s="1" t="n"/>
      <c r="N17" s="1" t="n"/>
      <c r="O17" s="1" t="n"/>
    </row>
    <row r="18">
      <c r="A18" s="5" t="inlineStr">
        <is>
          <t xml:space="preserve">   New / (net) borrowings</t>
        </is>
      </c>
      <c r="B18" s="30" t="n">
        <v>2503.78</v>
      </c>
      <c r="C18" s="30" t="n">
        <v>-99.67</v>
      </c>
      <c r="D18" s="30" t="n">
        <v>-87.53</v>
      </c>
      <c r="E18" s="30" t="n">
        <v>640</v>
      </c>
      <c r="F18" s="30" t="n">
        <v>3423</v>
      </c>
      <c r="G18" s="30" t="n">
        <v>-13</v>
      </c>
      <c r="H18" s="30" t="n">
        <v>-845</v>
      </c>
      <c r="I18" s="33">
        <f>'Debt Schedule'!I7</f>
        <v/>
      </c>
      <c r="J18" s="33">
        <f>'Debt Schedule'!J7</f>
        <v/>
      </c>
      <c r="K18" s="33">
        <f>'Debt Schedule'!K7</f>
        <v/>
      </c>
      <c r="L18" s="33">
        <f>'Debt Schedule'!L7</f>
        <v/>
      </c>
      <c r="M18" s="33">
        <f>'Debt Schedule'!M7</f>
        <v/>
      </c>
      <c r="N18" s="33">
        <f>'Debt Schedule'!N7</f>
        <v/>
      </c>
      <c r="O18" s="33">
        <f>'Debt Schedule'!O7</f>
        <v/>
      </c>
    </row>
    <row r="19">
      <c r="A19" s="5" t="inlineStr">
        <is>
          <t xml:space="preserve">   Interest paid &amp; lease payments</t>
        </is>
      </c>
      <c r="B19" s="30" t="n">
        <v>-377.23</v>
      </c>
      <c r="C19" s="30" t="n">
        <v>-295.46</v>
      </c>
      <c r="D19" s="30" t="n">
        <v>-241.66</v>
      </c>
      <c r="E19" s="30" t="n">
        <v>-411.86</v>
      </c>
      <c r="F19" s="30" t="n">
        <v>-627.8099999999999</v>
      </c>
      <c r="G19" s="30" t="n">
        <v>-756.37</v>
      </c>
      <c r="H19" s="30" t="n">
        <v>-786.09</v>
      </c>
      <c r="I19" s="33">
        <f>'Debt Schedule'!I8</f>
        <v/>
      </c>
      <c r="J19" s="33">
        <f>'Debt Schedule'!J8</f>
        <v/>
      </c>
      <c r="K19" s="33">
        <f>'Debt Schedule'!K8</f>
        <v/>
      </c>
      <c r="L19" s="33">
        <f>'Debt Schedule'!L8</f>
        <v/>
      </c>
      <c r="M19" s="33">
        <f>'Debt Schedule'!M8</f>
        <v/>
      </c>
      <c r="N19" s="33">
        <f>'Debt Schedule'!N8</f>
        <v/>
      </c>
      <c r="O19" s="33">
        <f>'Debt Schedule'!O8</f>
        <v/>
      </c>
    </row>
    <row r="20">
      <c r="A20" s="5" t="inlineStr">
        <is>
          <t xml:space="preserve">   Dividends paid</t>
        </is>
      </c>
      <c r="B20" s="30" t="n">
        <v>-504.56</v>
      </c>
      <c r="C20" s="30" t="n">
        <v>-0.68</v>
      </c>
      <c r="D20" s="30" t="n">
        <v>-0.3</v>
      </c>
      <c r="E20" s="30" t="n">
        <v>-139.18</v>
      </c>
      <c r="F20" s="30" t="n">
        <v>-139.45</v>
      </c>
      <c r="G20" s="30" t="n">
        <v>-87.44</v>
      </c>
      <c r="H20" s="30" t="n">
        <v>-174.64</v>
      </c>
      <c r="I20" s="33">
        <f>-'Forecast Financial Statements'!I22</f>
        <v/>
      </c>
      <c r="J20" s="33">
        <f>-'Forecast Financial Statements'!J22</f>
        <v/>
      </c>
      <c r="K20" s="33">
        <f>-'Forecast Financial Statements'!K22</f>
        <v/>
      </c>
      <c r="L20" s="33">
        <f>-'Forecast Financial Statements'!L22</f>
        <v/>
      </c>
      <c r="M20" s="33">
        <f>-'Forecast Financial Statements'!M22</f>
        <v/>
      </c>
      <c r="N20" s="33">
        <f>-'Forecast Financial Statements'!N22</f>
        <v/>
      </c>
      <c r="O20" s="33">
        <f>-'Forecast Financial Statements'!O22</f>
        <v/>
      </c>
    </row>
    <row r="21">
      <c r="A21" s="4" t="inlineStr">
        <is>
          <t>Cash flow from financing activities</t>
        </is>
      </c>
      <c r="B21" s="61">
        <f>SUM(B18:B20)</f>
        <v/>
      </c>
      <c r="C21" s="61">
        <f>SUM(C18:C20)</f>
        <v/>
      </c>
      <c r="D21" s="61">
        <f>SUM(D18:D20)</f>
        <v/>
      </c>
      <c r="E21" s="61">
        <f>SUM(E18:E20)</f>
        <v/>
      </c>
      <c r="F21" s="61">
        <f>SUM(F18:F20)</f>
        <v/>
      </c>
      <c r="G21" s="61">
        <f>SUM(G18:G20)</f>
        <v/>
      </c>
      <c r="H21" s="61">
        <f>SUM(H18:H20)</f>
        <v/>
      </c>
      <c r="I21" s="44">
        <f>SUM(I18:I20)</f>
        <v/>
      </c>
      <c r="J21" s="44">
        <f>SUM(J18:J20)</f>
        <v/>
      </c>
      <c r="K21" s="44">
        <f>SUM(K18:K20)</f>
        <v/>
      </c>
      <c r="L21" s="44">
        <f>SUM(L18:L20)</f>
        <v/>
      </c>
      <c r="M21" s="44">
        <f>SUM(M18:M20)</f>
        <v/>
      </c>
      <c r="N21" s="44">
        <f>SUM(N18:N20)</f>
        <v/>
      </c>
      <c r="O21" s="44">
        <f>SUM(O18:O20)</f>
        <v/>
      </c>
    </row>
    <row r="23">
      <c r="A23" s="4" t="inlineStr">
        <is>
          <t>Net increase/(decrease) in cash &amp; equivalents</t>
        </is>
      </c>
      <c r="B23" s="44">
        <f>B9+B15+B21</f>
        <v/>
      </c>
      <c r="C23" s="44">
        <f>C9+C15+C21</f>
        <v/>
      </c>
      <c r="D23" s="44">
        <f>D9+D15+D21</f>
        <v/>
      </c>
      <c r="E23" s="44">
        <f>E9+E15+E21</f>
        <v/>
      </c>
      <c r="F23" s="44">
        <f>F9+F15+F21</f>
        <v/>
      </c>
      <c r="G23" s="44">
        <f>G9+G15+G21</f>
        <v/>
      </c>
      <c r="H23" s="44">
        <f>H9+H15+H21</f>
        <v/>
      </c>
      <c r="I23" s="44">
        <f>I9+I15+I21</f>
        <v/>
      </c>
      <c r="J23" s="44">
        <f>J9+J15+J21</f>
        <v/>
      </c>
      <c r="K23" s="44">
        <f>K9+K15+K21</f>
        <v/>
      </c>
      <c r="L23" s="44">
        <f>L9+L15+L21</f>
        <v/>
      </c>
      <c r="M23" s="44">
        <f>M9+M15+M21</f>
        <v/>
      </c>
      <c r="N23" s="44">
        <f>N9+N15+N21</f>
        <v/>
      </c>
      <c r="O23" s="44">
        <f>O9+O15+O21</f>
        <v/>
      </c>
    </row>
    <row r="24">
      <c r="A24" s="5" t="inlineStr">
        <is>
          <t>Opening cash &amp; cash equivalents</t>
        </is>
      </c>
      <c r="B24" s="30" t="n">
        <v>789.05</v>
      </c>
      <c r="C24" s="30" t="n">
        <v>1396.6</v>
      </c>
      <c r="D24" s="30" t="n">
        <v>1527.18</v>
      </c>
      <c r="E24" s="30" t="n">
        <v>732.62</v>
      </c>
      <c r="F24" s="30" t="n">
        <v>1561.34</v>
      </c>
      <c r="G24" s="30" t="n">
        <v>1835.04</v>
      </c>
      <c r="H24" s="30" t="n">
        <v>439.21</v>
      </c>
      <c r="I24" s="33">
        <f>'Working Capital Schedule'!H27</f>
        <v/>
      </c>
      <c r="J24" s="33">
        <f>I25</f>
        <v/>
      </c>
      <c r="K24" s="33">
        <f>J25</f>
        <v/>
      </c>
      <c r="L24" s="33">
        <f>K25</f>
        <v/>
      </c>
      <c r="M24" s="33">
        <f>L25</f>
        <v/>
      </c>
      <c r="N24" s="33">
        <f>M25</f>
        <v/>
      </c>
      <c r="O24" s="33">
        <f>N25</f>
        <v/>
      </c>
    </row>
    <row r="25">
      <c r="A25" s="4" t="inlineStr">
        <is>
          <t>Closing cash &amp; cash equivalents</t>
        </is>
      </c>
      <c r="B25" s="61">
        <f>B24+B23</f>
        <v/>
      </c>
      <c r="C25" s="61">
        <f>C24+C23</f>
        <v/>
      </c>
      <c r="D25" s="61">
        <f>D24+D23</f>
        <v/>
      </c>
      <c r="E25" s="61">
        <f>E24+E23</f>
        <v/>
      </c>
      <c r="F25" s="61">
        <f>F24+F23</f>
        <v/>
      </c>
      <c r="G25" s="61">
        <f>G24+G23</f>
        <v/>
      </c>
      <c r="H25" s="61">
        <f>H24+H23</f>
        <v/>
      </c>
      <c r="I25" s="44">
        <f>I24+I23</f>
        <v/>
      </c>
      <c r="J25" s="44">
        <f>J24+J23</f>
        <v/>
      </c>
      <c r="K25" s="44">
        <f>K24+K23</f>
        <v/>
      </c>
      <c r="L25" s="44">
        <f>L24+L23</f>
        <v/>
      </c>
      <c r="M25" s="44">
        <f>M24+M23</f>
        <v/>
      </c>
      <c r="N25" s="44">
        <f>N24+N23</f>
        <v/>
      </c>
      <c r="O25" s="44">
        <f>O24+O23</f>
        <v/>
      </c>
    </row>
    <row r="27">
      <c r="A27" s="7" t="inlineStr">
        <is>
          <t>Memo: add bank balances/deposits &amp; current investments</t>
        </is>
      </c>
      <c r="B27" s="33">
        <f>6418.59-B25</f>
        <v/>
      </c>
      <c r="C27" s="33">
        <f>6701.45-C25</f>
        <v/>
      </c>
      <c r="D27" s="33">
        <f>7153.69-D25</f>
        <v/>
      </c>
      <c r="E27" s="33">
        <f>6642.58-E25</f>
        <v/>
      </c>
      <c r="F27" s="33">
        <f>6157.47-F25</f>
        <v/>
      </c>
      <c r="G27" s="33">
        <f>7612.41-G25</f>
        <v/>
      </c>
      <c r="H27" s="33">
        <f>11866.62-H25</f>
        <v/>
      </c>
    </row>
    <row r="28">
      <c r="A28" s="7" t="inlineStr">
        <is>
          <t>Memo: cash &amp; bank per balance sheet (broad)</t>
        </is>
      </c>
      <c r="B28" s="43" t="n">
        <v>6418.59</v>
      </c>
      <c r="C28" s="43" t="n">
        <v>6701.45</v>
      </c>
      <c r="D28" s="43" t="n">
        <v>7153.69</v>
      </c>
      <c r="E28" s="43" t="n">
        <v>6642.58</v>
      </c>
      <c r="F28" s="43" t="n">
        <v>6157.47</v>
      </c>
      <c r="G28" s="43" t="n">
        <v>7612.41</v>
      </c>
      <c r="H28" s="43" t="n">
        <v>11866.62</v>
      </c>
    </row>
    <row r="30">
      <c r="A30" s="13" t="inlineStr">
        <is>
          <t>Historical cash flow ties to AUDITED cash &amp; cash equivalents (annual reports). FY22 opening includes a +7.28 cr cash-credit reclassification (disclosed). The balance-sheet "Cash &amp; bank" line is broader - it adds bank deposits (&gt;3 months) &amp; current investments whose movement sits in investing activities; the forecast cash line and the FY27 opening balance are on this broad basis.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7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FORECAST FINANCIAL STATEMENTS</t>
        </is>
      </c>
      <c r="B1" s="1" t="n"/>
      <c r="C1" s="1" t="n"/>
      <c r="D1" s="1" t="n"/>
      <c r="E1" s="1" t="n"/>
      <c r="F1" s="1" t="n"/>
      <c r="G1" s="1" t="n"/>
      <c r="H1" s="1" t="n"/>
      <c r="I1" s="1" t="n"/>
      <c r="J1" s="1" t="n"/>
      <c r="K1" s="1" t="n"/>
      <c r="L1" s="1" t="n"/>
      <c r="M1" s="1" t="n"/>
      <c r="N1" s="1" t="n"/>
      <c r="O1" s="1" t="n"/>
    </row>
    <row r="2">
      <c r="A2" s="13" t="inlineStr">
        <is>
          <t>Integrated three-statement model. FY20-26 reported; FY27-33 forecast (linked to schedules). BS detail shown FY26 onward.</t>
        </is>
      </c>
    </row>
    <row r="3">
      <c r="A3" s="11" t="inlineStr">
        <is>
          <t>A.  INCOME STATEMENT</t>
        </is>
      </c>
      <c r="B3" s="1" t="n"/>
      <c r="C3" s="1" t="n"/>
      <c r="D3" s="1" t="n"/>
      <c r="E3" s="1" t="n"/>
      <c r="F3" s="1" t="n"/>
      <c r="G3" s="1" t="n"/>
      <c r="H3" s="1" t="n"/>
      <c r="I3" s="1" t="n"/>
      <c r="J3" s="1" t="n"/>
      <c r="K3" s="1" t="n"/>
      <c r="L3" s="1" t="n"/>
      <c r="M3" s="1" t="n"/>
      <c r="N3" s="1" t="n"/>
      <c r="O3" s="1" t="n"/>
    </row>
    <row r="4">
      <c r="A4" s="14" t="inlineStr">
        <is>
          <t>Particulars</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4" t="inlineStr">
        <is>
          <t>Sales</t>
        </is>
      </c>
      <c r="B5" s="43">
        <f>'Historical Financial Statements'!B5</f>
        <v/>
      </c>
      <c r="C5" s="43">
        <f>'Historical Financial Statements'!C5</f>
        <v/>
      </c>
      <c r="D5" s="43">
        <f>'Historical Financial Statements'!D5</f>
        <v/>
      </c>
      <c r="E5" s="43">
        <f>'Historical Financial Statements'!E5</f>
        <v/>
      </c>
      <c r="F5" s="43">
        <f>'Historical Financial Statements'!F5</f>
        <v/>
      </c>
      <c r="G5" s="43">
        <f>'Historical Financial Statements'!G5</f>
        <v/>
      </c>
      <c r="H5" s="43">
        <f>'Historical Financial Statements'!H5</f>
        <v/>
      </c>
      <c r="I5" s="33">
        <f>'Revenue Build-up'!I15</f>
        <v/>
      </c>
      <c r="J5" s="33">
        <f>'Revenue Build-up'!J15</f>
        <v/>
      </c>
      <c r="K5" s="33">
        <f>'Revenue Build-up'!K15</f>
        <v/>
      </c>
      <c r="L5" s="33">
        <f>'Revenue Build-up'!L15</f>
        <v/>
      </c>
      <c r="M5" s="33">
        <f>'Revenue Build-up'!M15</f>
        <v/>
      </c>
      <c r="N5" s="33">
        <f>'Revenue Build-up'!N15</f>
        <v/>
      </c>
      <c r="O5" s="33">
        <f>'Revenue Build-up'!O15</f>
        <v/>
      </c>
    </row>
    <row r="6">
      <c r="A6" s="5" t="inlineStr">
        <is>
          <t>Total COGS</t>
        </is>
      </c>
      <c r="B6" s="43">
        <f>'Historical Financial Statements'!B6</f>
        <v/>
      </c>
      <c r="C6" s="43">
        <f>'Historical Financial Statements'!C6</f>
        <v/>
      </c>
      <c r="D6" s="43">
        <f>'Historical Financial Statements'!D6</f>
        <v/>
      </c>
      <c r="E6" s="43">
        <f>'Historical Financial Statements'!E6</f>
        <v/>
      </c>
      <c r="F6" s="43">
        <f>'Historical Financial Statements'!F6</f>
        <v/>
      </c>
      <c r="G6" s="43">
        <f>'Historical Financial Statements'!G6</f>
        <v/>
      </c>
      <c r="H6" s="43">
        <f>'Historical Financial Statements'!H6</f>
        <v/>
      </c>
      <c r="I6" s="33">
        <f>'Cost Forecast'!I13</f>
        <v/>
      </c>
      <c r="J6" s="33">
        <f>'Cost Forecast'!J13</f>
        <v/>
      </c>
      <c r="K6" s="33">
        <f>'Cost Forecast'!K13</f>
        <v/>
      </c>
      <c r="L6" s="33">
        <f>'Cost Forecast'!L13</f>
        <v/>
      </c>
      <c r="M6" s="33">
        <f>'Cost Forecast'!M13</f>
        <v/>
      </c>
      <c r="N6" s="33">
        <f>'Cost Forecast'!N13</f>
        <v/>
      </c>
      <c r="O6" s="33">
        <f>'Cost Forecast'!O13</f>
        <v/>
      </c>
    </row>
    <row r="7">
      <c r="A7" s="4" t="inlineStr">
        <is>
          <t>Gross Profit</t>
        </is>
      </c>
      <c r="B7" s="31">
        <f>B5-B6</f>
        <v/>
      </c>
      <c r="C7" s="31">
        <f>C5-C6</f>
        <v/>
      </c>
      <c r="D7" s="31">
        <f>D5-D6</f>
        <v/>
      </c>
      <c r="E7" s="31">
        <f>E5-E6</f>
        <v/>
      </c>
      <c r="F7" s="31">
        <f>F5-F6</f>
        <v/>
      </c>
      <c r="G7" s="31">
        <f>G5-G6</f>
        <v/>
      </c>
      <c r="H7" s="31">
        <f>H5-H6</f>
        <v/>
      </c>
      <c r="I7" s="31">
        <f>I5-I6</f>
        <v/>
      </c>
      <c r="J7" s="31">
        <f>J5-J6</f>
        <v/>
      </c>
      <c r="K7" s="31">
        <f>K5-K6</f>
        <v/>
      </c>
      <c r="L7" s="31">
        <f>L5-L6</f>
        <v/>
      </c>
      <c r="M7" s="31">
        <f>M5-M6</f>
        <v/>
      </c>
      <c r="N7" s="31">
        <f>N5-N6</f>
        <v/>
      </c>
      <c r="O7" s="31">
        <f>O5-O6</f>
        <v/>
      </c>
    </row>
    <row r="8">
      <c r="A8" s="5" t="inlineStr">
        <is>
          <t>Operating Expenses</t>
        </is>
      </c>
    </row>
    <row r="9">
      <c r="A9" s="5" t="inlineStr">
        <is>
          <t xml:space="preserve">   Employee Cost</t>
        </is>
      </c>
      <c r="B9" s="43">
        <f>'Historical Financial Statements'!B9</f>
        <v/>
      </c>
      <c r="C9" s="43">
        <f>'Historical Financial Statements'!C9</f>
        <v/>
      </c>
      <c r="D9" s="43">
        <f>'Historical Financial Statements'!D9</f>
        <v/>
      </c>
      <c r="E9" s="43">
        <f>'Historical Financial Statements'!E9</f>
        <v/>
      </c>
      <c r="F9" s="43">
        <f>'Historical Financial Statements'!F9</f>
        <v/>
      </c>
      <c r="G9" s="43">
        <f>'Historical Financial Statements'!G9</f>
        <v/>
      </c>
      <c r="H9" s="43">
        <f>'Historical Financial Statements'!H9</f>
        <v/>
      </c>
      <c r="I9" s="33">
        <f>'Cost Forecast'!I16</f>
        <v/>
      </c>
      <c r="J9" s="33">
        <f>'Cost Forecast'!J16</f>
        <v/>
      </c>
      <c r="K9" s="33">
        <f>'Cost Forecast'!K16</f>
        <v/>
      </c>
      <c r="L9" s="33">
        <f>'Cost Forecast'!L16</f>
        <v/>
      </c>
      <c r="M9" s="33">
        <f>'Cost Forecast'!M16</f>
        <v/>
      </c>
      <c r="N9" s="33">
        <f>'Cost Forecast'!N16</f>
        <v/>
      </c>
      <c r="O9" s="33">
        <f>'Cost Forecast'!O16</f>
        <v/>
      </c>
    </row>
    <row r="10">
      <c r="A10" s="5" t="inlineStr">
        <is>
          <t xml:space="preserve">   Selling and admin</t>
        </is>
      </c>
      <c r="B10" s="43">
        <f>'Historical Financial Statements'!B10</f>
        <v/>
      </c>
      <c r="C10" s="43">
        <f>'Historical Financial Statements'!C10</f>
        <v/>
      </c>
      <c r="D10" s="43">
        <f>'Historical Financial Statements'!D10</f>
        <v/>
      </c>
      <c r="E10" s="43">
        <f>'Historical Financial Statements'!E10</f>
        <v/>
      </c>
      <c r="F10" s="43">
        <f>'Historical Financial Statements'!F10</f>
        <v/>
      </c>
      <c r="G10" s="43">
        <f>'Historical Financial Statements'!G10</f>
        <v/>
      </c>
      <c r="H10" s="43">
        <f>'Historical Financial Statements'!H10</f>
        <v/>
      </c>
      <c r="I10" s="33">
        <f>'Cost Forecast'!I20</f>
        <v/>
      </c>
      <c r="J10" s="33">
        <f>'Cost Forecast'!J20</f>
        <v/>
      </c>
      <c r="K10" s="33">
        <f>'Cost Forecast'!K20</f>
        <v/>
      </c>
      <c r="L10" s="33">
        <f>'Cost Forecast'!L20</f>
        <v/>
      </c>
      <c r="M10" s="33">
        <f>'Cost Forecast'!M20</f>
        <v/>
      </c>
      <c r="N10" s="33">
        <f>'Cost Forecast'!N20</f>
        <v/>
      </c>
      <c r="O10" s="33">
        <f>'Cost Forecast'!O20</f>
        <v/>
      </c>
    </row>
    <row r="11">
      <c r="A11" s="4" t="inlineStr">
        <is>
          <t>Total Operating Expenses</t>
        </is>
      </c>
      <c r="B11" s="31">
        <f>B9+B10</f>
        <v/>
      </c>
      <c r="C11" s="31">
        <f>C9+C10</f>
        <v/>
      </c>
      <c r="D11" s="31">
        <f>D9+D10</f>
        <v/>
      </c>
      <c r="E11" s="31">
        <f>E9+E10</f>
        <v/>
      </c>
      <c r="F11" s="31">
        <f>F9+F10</f>
        <v/>
      </c>
      <c r="G11" s="31">
        <f>G9+G10</f>
        <v/>
      </c>
      <c r="H11" s="31">
        <f>H9+H10</f>
        <v/>
      </c>
      <c r="I11" s="31">
        <f>I9+I10</f>
        <v/>
      </c>
      <c r="J11" s="31">
        <f>J9+J10</f>
        <v/>
      </c>
      <c r="K11" s="31">
        <f>K9+K10</f>
        <v/>
      </c>
      <c r="L11" s="31">
        <f>L9+L10</f>
        <v/>
      </c>
      <c r="M11" s="31">
        <f>M9+M10</f>
        <v/>
      </c>
      <c r="N11" s="31">
        <f>N9+N10</f>
        <v/>
      </c>
      <c r="O11" s="31">
        <f>O9+O10</f>
        <v/>
      </c>
    </row>
    <row r="12">
      <c r="A12" s="4" t="inlineStr">
        <is>
          <t>EBITDA</t>
        </is>
      </c>
      <c r="B12" s="32">
        <f>B7-B11</f>
        <v/>
      </c>
      <c r="C12" s="32">
        <f>C7-C11</f>
        <v/>
      </c>
      <c r="D12" s="32">
        <f>D7-D11</f>
        <v/>
      </c>
      <c r="E12" s="32">
        <f>E7-E11</f>
        <v/>
      </c>
      <c r="F12" s="32">
        <f>F7-F11</f>
        <v/>
      </c>
      <c r="G12" s="32">
        <f>G7-G11</f>
        <v/>
      </c>
      <c r="H12" s="32">
        <f>H7-H11</f>
        <v/>
      </c>
      <c r="I12" s="32">
        <f>I7-I11</f>
        <v/>
      </c>
      <c r="J12" s="32">
        <f>J7-J11</f>
        <v/>
      </c>
      <c r="K12" s="32">
        <f>K7-K11</f>
        <v/>
      </c>
      <c r="L12" s="32">
        <f>L7-L11</f>
        <v/>
      </c>
      <c r="M12" s="32">
        <f>M7-M11</f>
        <v/>
      </c>
      <c r="N12" s="32">
        <f>N7-N11</f>
        <v/>
      </c>
      <c r="O12" s="32">
        <f>O7-O11</f>
        <v/>
      </c>
    </row>
    <row r="13">
      <c r="A13" s="5" t="inlineStr">
        <is>
          <t>Depreciation &amp; Amortization</t>
        </is>
      </c>
      <c r="B13" s="43">
        <f>'Historical Financial Statements'!B13</f>
        <v/>
      </c>
      <c r="C13" s="43">
        <f>'Historical Financial Statements'!C13</f>
        <v/>
      </c>
      <c r="D13" s="43">
        <f>'Historical Financial Statements'!D13</f>
        <v/>
      </c>
      <c r="E13" s="43">
        <f>'Historical Financial Statements'!E13</f>
        <v/>
      </c>
      <c r="F13" s="43">
        <f>'Historical Financial Statements'!F13</f>
        <v/>
      </c>
      <c r="G13" s="43">
        <f>'Historical Financial Statements'!G13</f>
        <v/>
      </c>
      <c r="H13" s="43">
        <f>'Historical Financial Statements'!H13</f>
        <v/>
      </c>
      <c r="I13" s="33">
        <f>'Depreciation Schedule'!I8</f>
        <v/>
      </c>
      <c r="J13" s="33">
        <f>'Depreciation Schedule'!J8</f>
        <v/>
      </c>
      <c r="K13" s="33">
        <f>'Depreciation Schedule'!K8</f>
        <v/>
      </c>
      <c r="L13" s="33">
        <f>'Depreciation Schedule'!L8</f>
        <v/>
      </c>
      <c r="M13" s="33">
        <f>'Depreciation Schedule'!M8</f>
        <v/>
      </c>
      <c r="N13" s="33">
        <f>'Depreciation Schedule'!N8</f>
        <v/>
      </c>
      <c r="O13" s="33">
        <f>'Depreciation Schedule'!O8</f>
        <v/>
      </c>
    </row>
    <row r="14">
      <c r="A14" s="4" t="inlineStr">
        <is>
          <t>EBIT</t>
        </is>
      </c>
      <c r="B14" s="33">
        <f>B12-B13</f>
        <v/>
      </c>
      <c r="C14" s="33">
        <f>C12-C13</f>
        <v/>
      </c>
      <c r="D14" s="33">
        <f>D12-D13</f>
        <v/>
      </c>
      <c r="E14" s="33">
        <f>E12-E13</f>
        <v/>
      </c>
      <c r="F14" s="33">
        <f>F12-F13</f>
        <v/>
      </c>
      <c r="G14" s="33">
        <f>G12-G13</f>
        <v/>
      </c>
      <c r="H14" s="33">
        <f>H12-H13</f>
        <v/>
      </c>
      <c r="I14" s="33">
        <f>I12-I13</f>
        <v/>
      </c>
      <c r="J14" s="33">
        <f>J12-J13</f>
        <v/>
      </c>
      <c r="K14" s="33">
        <f>K12-K13</f>
        <v/>
      </c>
      <c r="L14" s="33">
        <f>L12-L13</f>
        <v/>
      </c>
      <c r="M14" s="33">
        <f>M12-M13</f>
        <v/>
      </c>
      <c r="N14" s="33">
        <f>N12-N13</f>
        <v/>
      </c>
      <c r="O14" s="33">
        <f>O12-O13</f>
        <v/>
      </c>
    </row>
    <row r="15">
      <c r="A15" s="5" t="inlineStr">
        <is>
          <t>Other Income</t>
        </is>
      </c>
      <c r="B15" s="43">
        <f>'Historical Financial Statements'!B15</f>
        <v/>
      </c>
      <c r="C15" s="43">
        <f>'Historical Financial Statements'!C15</f>
        <v/>
      </c>
      <c r="D15" s="43">
        <f>'Historical Financial Statements'!D15</f>
        <v/>
      </c>
      <c r="E15" s="43">
        <f>'Historical Financial Statements'!E15</f>
        <v/>
      </c>
      <c r="F15" s="43">
        <f>'Historical Financial Statements'!F15</f>
        <v/>
      </c>
      <c r="G15" s="43">
        <f>'Historical Financial Statements'!G15</f>
        <v/>
      </c>
      <c r="H15" s="43">
        <f>'Historical Financial Statements'!H15</f>
        <v/>
      </c>
      <c r="I15" s="33">
        <f>'Assumptions'!I23*I5</f>
        <v/>
      </c>
      <c r="J15" s="33">
        <f>'Assumptions'!J23*J5</f>
        <v/>
      </c>
      <c r="K15" s="33">
        <f>'Assumptions'!K23*K5</f>
        <v/>
      </c>
      <c r="L15" s="33">
        <f>'Assumptions'!L23*L5</f>
        <v/>
      </c>
      <c r="M15" s="33">
        <f>'Assumptions'!M23*M5</f>
        <v/>
      </c>
      <c r="N15" s="33">
        <f>'Assumptions'!N23*N5</f>
        <v/>
      </c>
      <c r="O15" s="33">
        <f>'Assumptions'!O23*O5</f>
        <v/>
      </c>
    </row>
    <row r="16">
      <c r="A16" s="5" t="inlineStr">
        <is>
          <t>Interest Paid</t>
        </is>
      </c>
      <c r="B16" s="43">
        <f>'Historical Financial Statements'!B16</f>
        <v/>
      </c>
      <c r="C16" s="43">
        <f>'Historical Financial Statements'!C16</f>
        <v/>
      </c>
      <c r="D16" s="43">
        <f>'Historical Financial Statements'!D16</f>
        <v/>
      </c>
      <c r="E16" s="43">
        <f>'Historical Financial Statements'!E16</f>
        <v/>
      </c>
      <c r="F16" s="43">
        <f>'Historical Financial Statements'!F16</f>
        <v/>
      </c>
      <c r="G16" s="43">
        <f>'Historical Financial Statements'!G16</f>
        <v/>
      </c>
      <c r="H16" s="43">
        <f>'Historical Financial Statements'!H16</f>
        <v/>
      </c>
      <c r="I16" s="33">
        <f>'Debt Schedule'!I11</f>
        <v/>
      </c>
      <c r="J16" s="33">
        <f>'Debt Schedule'!J11</f>
        <v/>
      </c>
      <c r="K16" s="33">
        <f>'Debt Schedule'!K11</f>
        <v/>
      </c>
      <c r="L16" s="33">
        <f>'Debt Schedule'!L11</f>
        <v/>
      </c>
      <c r="M16" s="33">
        <f>'Debt Schedule'!M11</f>
        <v/>
      </c>
      <c r="N16" s="33">
        <f>'Debt Schedule'!N11</f>
        <v/>
      </c>
      <c r="O16" s="33">
        <f>'Debt Schedule'!O11</f>
        <v/>
      </c>
    </row>
    <row r="17">
      <c r="A17" s="4" t="inlineStr">
        <is>
          <t>Profit Before Tax (PBT)</t>
        </is>
      </c>
      <c r="B17" s="31">
        <f>B14+B15-B16</f>
        <v/>
      </c>
      <c r="C17" s="31">
        <f>C14+C15-C16</f>
        <v/>
      </c>
      <c r="D17" s="31">
        <f>D14+D15-D16</f>
        <v/>
      </c>
      <c r="E17" s="31">
        <f>E14+E15-E16</f>
        <v/>
      </c>
      <c r="F17" s="31">
        <f>F14+F15-F16</f>
        <v/>
      </c>
      <c r="G17" s="31">
        <f>G14+G15-G16</f>
        <v/>
      </c>
      <c r="H17" s="31">
        <f>H14+H15-H16</f>
        <v/>
      </c>
      <c r="I17" s="31">
        <f>I14+I15-I16</f>
        <v/>
      </c>
      <c r="J17" s="31">
        <f>J14+J15-J16</f>
        <v/>
      </c>
      <c r="K17" s="31">
        <f>K14+K15-K16</f>
        <v/>
      </c>
      <c r="L17" s="31">
        <f>L14+L15-L16</f>
        <v/>
      </c>
      <c r="M17" s="31">
        <f>M14+M15-M16</f>
        <v/>
      </c>
      <c r="N17" s="31">
        <f>N14+N15-N16</f>
        <v/>
      </c>
      <c r="O17" s="31">
        <f>O14+O15-O16</f>
        <v/>
      </c>
    </row>
    <row r="18">
      <c r="A18" s="5" t="inlineStr">
        <is>
          <t>Tax</t>
        </is>
      </c>
      <c r="B18" s="43">
        <f>'Historical Financial Statements'!B18</f>
        <v/>
      </c>
      <c r="C18" s="43">
        <f>'Historical Financial Statements'!C18</f>
        <v/>
      </c>
      <c r="D18" s="43">
        <f>'Historical Financial Statements'!D18</f>
        <v/>
      </c>
      <c r="E18" s="43">
        <f>'Historical Financial Statements'!E18</f>
        <v/>
      </c>
      <c r="F18" s="43">
        <f>'Historical Financial Statements'!F18</f>
        <v/>
      </c>
      <c r="G18" s="43">
        <f>'Historical Financial Statements'!G18</f>
        <v/>
      </c>
      <c r="H18" s="43">
        <f>'Historical Financial Statements'!H18</f>
        <v/>
      </c>
      <c r="I18" s="33">
        <f>'Assumptions'!I48*I17</f>
        <v/>
      </c>
      <c r="J18" s="33">
        <f>'Assumptions'!J48*J17</f>
        <v/>
      </c>
      <c r="K18" s="33">
        <f>'Assumptions'!K48*K17</f>
        <v/>
      </c>
      <c r="L18" s="33">
        <f>'Assumptions'!L48*L17</f>
        <v/>
      </c>
      <c r="M18" s="33">
        <f>'Assumptions'!M48*M17</f>
        <v/>
      </c>
      <c r="N18" s="33">
        <f>'Assumptions'!N48*N17</f>
        <v/>
      </c>
      <c r="O18" s="33">
        <f>'Assumptions'!O48*O17</f>
        <v/>
      </c>
    </row>
    <row r="19">
      <c r="A19" s="5" t="inlineStr">
        <is>
          <t>Adjustments</t>
        </is>
      </c>
      <c r="B19" s="43">
        <f>'Historical Financial Statements'!B19</f>
        <v/>
      </c>
      <c r="C19" s="43">
        <f>'Historical Financial Statements'!C19</f>
        <v/>
      </c>
      <c r="D19" s="43">
        <f>'Historical Financial Statements'!D19</f>
        <v/>
      </c>
      <c r="E19" s="43">
        <f>'Historical Financial Statements'!E19</f>
        <v/>
      </c>
      <c r="F19" s="43">
        <f>'Historical Financial Statements'!F19</f>
        <v/>
      </c>
      <c r="G19" s="43">
        <f>'Historical Financial Statements'!G19</f>
        <v/>
      </c>
      <c r="H19" s="43">
        <f>'Historical Financial Statements'!H19</f>
        <v/>
      </c>
      <c r="I19" s="33" t="n">
        <v>0</v>
      </c>
      <c r="J19" s="33" t="n">
        <v>0</v>
      </c>
      <c r="K19" s="33" t="n">
        <v>0</v>
      </c>
      <c r="L19" s="33" t="n">
        <v>0</v>
      </c>
      <c r="M19" s="33" t="n">
        <v>0</v>
      </c>
      <c r="N19" s="33" t="n">
        <v>0</v>
      </c>
      <c r="O19" s="33" t="n">
        <v>0</v>
      </c>
    </row>
    <row r="20">
      <c r="A20" s="4" t="inlineStr">
        <is>
          <t>Profit After Tax (PAT)</t>
        </is>
      </c>
      <c r="B20" s="34">
        <f>B17-B18+B19</f>
        <v/>
      </c>
      <c r="C20" s="34">
        <f>C17-C18+C19</f>
        <v/>
      </c>
      <c r="D20" s="34">
        <f>D17-D18+D19</f>
        <v/>
      </c>
      <c r="E20" s="34">
        <f>E17-E18+E19</f>
        <v/>
      </c>
      <c r="F20" s="34">
        <f>F17-F18+F19</f>
        <v/>
      </c>
      <c r="G20" s="34">
        <f>G17-G18+G19</f>
        <v/>
      </c>
      <c r="H20" s="34">
        <f>H17-H18+H19</f>
        <v/>
      </c>
      <c r="I20" s="34">
        <f>I17-I18+I19</f>
        <v/>
      </c>
      <c r="J20" s="34">
        <f>J17-J18+J19</f>
        <v/>
      </c>
      <c r="K20" s="34">
        <f>K17-K18+K19</f>
        <v/>
      </c>
      <c r="L20" s="34">
        <f>L17-L18+L19</f>
        <v/>
      </c>
      <c r="M20" s="34">
        <f>M17-M18+M19</f>
        <v/>
      </c>
      <c r="N20" s="34">
        <f>N17-N18+N19</f>
        <v/>
      </c>
      <c r="O20" s="34">
        <f>O17-O18+O19</f>
        <v/>
      </c>
    </row>
    <row r="21">
      <c r="A21" s="5" t="inlineStr">
        <is>
          <t>EPS (INR)</t>
        </is>
      </c>
      <c r="B21" s="35">
        <f>B20/'Assumptions'!C68</f>
        <v/>
      </c>
      <c r="C21" s="35">
        <f>C20/'Assumptions'!C68</f>
        <v/>
      </c>
      <c r="D21" s="35">
        <f>D20/'Assumptions'!C68</f>
        <v/>
      </c>
      <c r="E21" s="35">
        <f>E20/'Assumptions'!C68</f>
        <v/>
      </c>
      <c r="F21" s="35">
        <f>F20/'Assumptions'!C68</f>
        <v/>
      </c>
      <c r="G21" s="35">
        <f>G20/'Assumptions'!C68</f>
        <v/>
      </c>
      <c r="H21" s="35">
        <f>H20/'Assumptions'!C68</f>
        <v/>
      </c>
      <c r="I21" s="35">
        <f>I20/'Assumptions'!C68</f>
        <v/>
      </c>
      <c r="J21" s="35">
        <f>J20/'Assumptions'!C68</f>
        <v/>
      </c>
      <c r="K21" s="35">
        <f>K20/'Assumptions'!C68</f>
        <v/>
      </c>
      <c r="L21" s="35">
        <f>L20/'Assumptions'!C68</f>
        <v/>
      </c>
      <c r="M21" s="35">
        <f>M20/'Assumptions'!C68</f>
        <v/>
      </c>
      <c r="N21" s="35">
        <f>N20/'Assumptions'!C68</f>
        <v/>
      </c>
      <c r="O21" s="35">
        <f>O20/'Assumptions'!C68</f>
        <v/>
      </c>
    </row>
    <row r="22">
      <c r="A22" s="5" t="inlineStr">
        <is>
          <t>Dividend</t>
        </is>
      </c>
      <c r="B22" s="43">
        <f>'Historical Financial Statements'!B22</f>
        <v/>
      </c>
      <c r="C22" s="43">
        <f>'Historical Financial Statements'!C22</f>
        <v/>
      </c>
      <c r="D22" s="43">
        <f>'Historical Financial Statements'!D22</f>
        <v/>
      </c>
      <c r="E22" s="43">
        <f>'Historical Financial Statements'!E22</f>
        <v/>
      </c>
      <c r="F22" s="43">
        <f>'Historical Financial Statements'!F22</f>
        <v/>
      </c>
      <c r="G22" s="43">
        <f>'Historical Financial Statements'!G22</f>
        <v/>
      </c>
      <c r="H22" s="43">
        <f>'Historical Financial Statements'!H22</f>
        <v/>
      </c>
      <c r="I22" s="33">
        <f>'Assumptions'!I49*I20</f>
        <v/>
      </c>
      <c r="J22" s="33">
        <f>'Assumptions'!J49*J20</f>
        <v/>
      </c>
      <c r="K22" s="33">
        <f>'Assumptions'!K49*K20</f>
        <v/>
      </c>
      <c r="L22" s="33">
        <f>'Assumptions'!L49*L20</f>
        <v/>
      </c>
      <c r="M22" s="33">
        <f>'Assumptions'!M49*M20</f>
        <v/>
      </c>
      <c r="N22" s="33">
        <f>'Assumptions'!N49*N20</f>
        <v/>
      </c>
      <c r="O22" s="33">
        <f>'Assumptions'!O49*O20</f>
        <v/>
      </c>
    </row>
    <row r="24">
      <c r="A24" s="11" t="inlineStr">
        <is>
          <t>B.  BALANCE SHEET  (FY2020-FY2026 reported, FY2027-33 forecast)</t>
        </is>
      </c>
      <c r="B24" s="1" t="n"/>
      <c r="C24" s="1" t="n"/>
      <c r="D24" s="1" t="n"/>
      <c r="E24" s="1" t="n"/>
      <c r="F24" s="1" t="n"/>
      <c r="G24" s="1" t="n"/>
      <c r="H24" s="1" t="n"/>
      <c r="I24" s="1" t="n"/>
      <c r="J24" s="1" t="n"/>
      <c r="K24" s="1" t="n"/>
      <c r="L24" s="1" t="n"/>
      <c r="M24" s="1" t="n"/>
      <c r="N24" s="1" t="n"/>
      <c r="O24" s="1" t="n"/>
    </row>
    <row r="25">
      <c r="A25" s="14" t="inlineStr">
        <is>
          <t>Particulars</t>
        </is>
      </c>
      <c r="B25" s="15" t="inlineStr">
        <is>
          <t>FY2020</t>
        </is>
      </c>
      <c r="C25" s="15" t="inlineStr">
        <is>
          <t>FY2021</t>
        </is>
      </c>
      <c r="D25" s="15" t="inlineStr">
        <is>
          <t>FY2022</t>
        </is>
      </c>
      <c r="E25" s="15" t="inlineStr">
        <is>
          <t>FY2023</t>
        </is>
      </c>
      <c r="F25" s="15" t="inlineStr">
        <is>
          <t>FY2024</t>
        </is>
      </c>
      <c r="G25" s="15" t="inlineStr">
        <is>
          <t>FY2025</t>
        </is>
      </c>
      <c r="H25" s="15" t="inlineStr">
        <is>
          <t>FY2026</t>
        </is>
      </c>
      <c r="I25" s="15" t="inlineStr">
        <is>
          <t>FY2027</t>
        </is>
      </c>
      <c r="J25" s="15" t="inlineStr">
        <is>
          <t>FY2028</t>
        </is>
      </c>
      <c r="K25" s="15" t="inlineStr">
        <is>
          <t>FY2029</t>
        </is>
      </c>
      <c r="L25" s="15" t="inlineStr">
        <is>
          <t>FY2030</t>
        </is>
      </c>
      <c r="M25" s="15" t="inlineStr">
        <is>
          <t>FY2031</t>
        </is>
      </c>
      <c r="N25" s="15" t="inlineStr">
        <is>
          <t>FY2032</t>
        </is>
      </c>
      <c r="O25" s="15" t="inlineStr">
        <is>
          <t>FY2033</t>
        </is>
      </c>
    </row>
    <row r="26">
      <c r="A26" s="63" t="inlineStr">
        <is>
          <t>Equities &amp; Liabilities</t>
        </is>
      </c>
      <c r="B26" s="64" t="n"/>
      <c r="C26" s="64" t="n"/>
      <c r="D26" s="64" t="n"/>
      <c r="E26" s="64" t="n"/>
      <c r="F26" s="64" t="n"/>
      <c r="G26" s="64" t="n"/>
      <c r="H26" s="64" t="n"/>
      <c r="I26" s="64" t="n"/>
      <c r="J26" s="64" t="n"/>
      <c r="K26" s="64" t="n"/>
      <c r="L26" s="64" t="n"/>
      <c r="M26" s="64" t="n"/>
      <c r="N26" s="64" t="n"/>
      <c r="O26" s="64" t="n"/>
    </row>
    <row r="27">
      <c r="A27" s="4" t="inlineStr">
        <is>
          <t>Shareholders' Fund</t>
        </is>
      </c>
    </row>
    <row r="28">
      <c r="A28" s="5" t="inlineStr">
        <is>
          <t xml:space="preserve">   Share Capital</t>
        </is>
      </c>
      <c r="B28" s="30" t="n">
        <v>696.41</v>
      </c>
      <c r="C28" s="30" t="n">
        <v>696.41</v>
      </c>
      <c r="D28" s="30" t="n">
        <v>696.41</v>
      </c>
      <c r="E28" s="30" t="n">
        <v>696.41</v>
      </c>
      <c r="F28" s="30" t="n">
        <v>696.41</v>
      </c>
      <c r="G28" s="30" t="n">
        <v>696.41</v>
      </c>
      <c r="H28" s="30" t="n">
        <v>696.41</v>
      </c>
      <c r="I28" s="43">
        <f>'Equity Schedule'!I12</f>
        <v/>
      </c>
      <c r="J28" s="43">
        <f>'Equity Schedule'!J12</f>
        <v/>
      </c>
      <c r="K28" s="43">
        <f>'Equity Schedule'!K12</f>
        <v/>
      </c>
      <c r="L28" s="43">
        <f>'Equity Schedule'!L12</f>
        <v/>
      </c>
      <c r="M28" s="43">
        <f>'Equity Schedule'!M12</f>
        <v/>
      </c>
      <c r="N28" s="43">
        <f>'Equity Schedule'!N12</f>
        <v/>
      </c>
      <c r="O28" s="43">
        <f>'Equity Schedule'!O12</f>
        <v/>
      </c>
    </row>
    <row r="29">
      <c r="A29" s="5" t="inlineStr">
        <is>
          <t xml:space="preserve">   Reserve &amp; Surplus</t>
        </is>
      </c>
      <c r="B29" s="30" t="n">
        <v>27955.24</v>
      </c>
      <c r="C29" s="30" t="n">
        <v>25275.59</v>
      </c>
      <c r="D29" s="30" t="n">
        <v>25810.19</v>
      </c>
      <c r="E29" s="30" t="n">
        <v>26131.62</v>
      </c>
      <c r="F29" s="30" t="n">
        <v>23742.24</v>
      </c>
      <c r="G29" s="30" t="n">
        <v>24025.75</v>
      </c>
      <c r="H29" s="30" t="n">
        <v>25450.19</v>
      </c>
      <c r="I29" s="43">
        <f>'Equity Schedule'!I10</f>
        <v/>
      </c>
      <c r="J29" s="43">
        <f>'Equity Schedule'!J10</f>
        <v/>
      </c>
      <c r="K29" s="43">
        <f>'Equity Schedule'!K10</f>
        <v/>
      </c>
      <c r="L29" s="43">
        <f>'Equity Schedule'!L10</f>
        <v/>
      </c>
      <c r="M29" s="43">
        <f>'Equity Schedule'!M10</f>
        <v/>
      </c>
      <c r="N29" s="43">
        <f>'Equity Schedule'!N10</f>
        <v/>
      </c>
      <c r="O29" s="43">
        <f>'Equity Schedule'!O10</f>
        <v/>
      </c>
    </row>
    <row r="30">
      <c r="A30" s="4" t="inlineStr">
        <is>
          <t>Total Shareholders' Fund</t>
        </is>
      </c>
      <c r="B30" s="32">
        <f>B28+B29</f>
        <v/>
      </c>
      <c r="C30" s="32">
        <f>C28+C29</f>
        <v/>
      </c>
      <c r="D30" s="32">
        <f>D28+D29</f>
        <v/>
      </c>
      <c r="E30" s="32">
        <f>E28+E29</f>
        <v/>
      </c>
      <c r="F30" s="32">
        <f>F28+F29</f>
        <v/>
      </c>
      <c r="G30" s="32">
        <f>G28+G29</f>
        <v/>
      </c>
      <c r="H30" s="32">
        <f>H28+H29</f>
        <v/>
      </c>
      <c r="I30" s="32">
        <f>I28+I29</f>
        <v/>
      </c>
      <c r="J30" s="32">
        <f>J28+J29</f>
        <v/>
      </c>
      <c r="K30" s="32">
        <f>K28+K29</f>
        <v/>
      </c>
      <c r="L30" s="32">
        <f>L28+L29</f>
        <v/>
      </c>
      <c r="M30" s="32">
        <f>M28+M29</f>
        <v/>
      </c>
      <c r="N30" s="32">
        <f>N28+N29</f>
        <v/>
      </c>
      <c r="O30" s="32">
        <f>O28+O29</f>
        <v/>
      </c>
    </row>
    <row r="32">
      <c r="A32" s="4" t="inlineStr">
        <is>
          <t>Liabilities</t>
        </is>
      </c>
    </row>
    <row r="33">
      <c r="A33" s="4" t="inlineStr">
        <is>
          <t>Non-Current Liabilities</t>
        </is>
      </c>
    </row>
    <row r="34">
      <c r="A34" s="5" t="inlineStr">
        <is>
          <t xml:space="preserve">   LT borrowings</t>
        </is>
      </c>
      <c r="B34" s="30" t="n">
        <v>75.37</v>
      </c>
      <c r="C34" s="30" t="n">
        <v>53.41</v>
      </c>
      <c r="D34" s="30" t="n">
        <v>35.12</v>
      </c>
      <c r="E34" s="30" t="n">
        <v>33.75</v>
      </c>
      <c r="F34" s="30" t="n">
        <v>23.55</v>
      </c>
      <c r="G34" s="30" t="n">
        <v>162.39</v>
      </c>
      <c r="H34" s="30" t="n">
        <v>168.18</v>
      </c>
      <c r="I34" s="43">
        <f>'Assumptions'!I53*'Debt Schedule'!I9</f>
        <v/>
      </c>
      <c r="J34" s="43">
        <f>'Assumptions'!J53*'Debt Schedule'!J9</f>
        <v/>
      </c>
      <c r="K34" s="43">
        <f>'Assumptions'!K53*'Debt Schedule'!K9</f>
        <v/>
      </c>
      <c r="L34" s="43">
        <f>'Assumptions'!L53*'Debt Schedule'!L9</f>
        <v/>
      </c>
      <c r="M34" s="43">
        <f>'Assumptions'!M53*'Debt Schedule'!M9</f>
        <v/>
      </c>
      <c r="N34" s="43">
        <f>'Assumptions'!N53*'Debt Schedule'!N9</f>
        <v/>
      </c>
      <c r="O34" s="43">
        <f>'Assumptions'!O53*'Debt Schedule'!O9</f>
        <v/>
      </c>
    </row>
    <row r="35">
      <c r="A35" s="5" t="inlineStr">
        <is>
          <t xml:space="preserve">   Other non current liabilities (incl NC contract liab)</t>
        </is>
      </c>
      <c r="B35" s="30" t="n">
        <v>8413.059999999999</v>
      </c>
      <c r="C35" s="30" t="n">
        <v>8854.9</v>
      </c>
      <c r="D35" s="30" t="n">
        <v>8330.889999999999</v>
      </c>
      <c r="E35" s="30" t="n">
        <v>9156.559999999999</v>
      </c>
      <c r="F35" s="30" t="n">
        <v>9292.48</v>
      </c>
      <c r="G35" s="30" t="n">
        <v>14973.04</v>
      </c>
      <c r="H35" s="30" t="n">
        <v>17568.65</v>
      </c>
      <c r="I35" s="43">
        <f>'Working Capital Schedule'!I22</f>
        <v/>
      </c>
      <c r="J35" s="43">
        <f>'Working Capital Schedule'!J22</f>
        <v/>
      </c>
      <c r="K35" s="43">
        <f>'Working Capital Schedule'!K22</f>
        <v/>
      </c>
      <c r="L35" s="43">
        <f>'Working Capital Schedule'!L22</f>
        <v/>
      </c>
      <c r="M35" s="43">
        <f>'Working Capital Schedule'!M22</f>
        <v/>
      </c>
      <c r="N35" s="43">
        <f>'Working Capital Schedule'!N22</f>
        <v/>
      </c>
      <c r="O35" s="43">
        <f>'Working Capital Schedule'!O22</f>
        <v/>
      </c>
    </row>
    <row r="36">
      <c r="A36" s="4" t="inlineStr">
        <is>
          <t>Total Non-Current Liabilities</t>
        </is>
      </c>
      <c r="B36" s="31">
        <f>B34+B35</f>
        <v/>
      </c>
      <c r="C36" s="31">
        <f>C34+C35</f>
        <v/>
      </c>
      <c r="D36" s="31">
        <f>D34+D35</f>
        <v/>
      </c>
      <c r="E36" s="31">
        <f>E34+E35</f>
        <v/>
      </c>
      <c r="F36" s="31">
        <f>F34+F35</f>
        <v/>
      </c>
      <c r="G36" s="31">
        <f>G34+G35</f>
        <v/>
      </c>
      <c r="H36" s="31">
        <f>H34+H35</f>
        <v/>
      </c>
      <c r="I36" s="31">
        <f>I34+I35</f>
        <v/>
      </c>
      <c r="J36" s="31">
        <f>J34+J35</f>
        <v/>
      </c>
      <c r="K36" s="31">
        <f>K34+K35</f>
        <v/>
      </c>
      <c r="L36" s="31">
        <f>L34+L35</f>
        <v/>
      </c>
      <c r="M36" s="31">
        <f>M34+M35</f>
        <v/>
      </c>
      <c r="N36" s="31">
        <f>N34+N35</f>
        <v/>
      </c>
      <c r="O36" s="31">
        <f>O34+O35</f>
        <v/>
      </c>
    </row>
    <row r="37">
      <c r="A37" s="5" t="inlineStr">
        <is>
          <t xml:space="preserve">   ST borrowings</t>
        </is>
      </c>
      <c r="B37" s="30" t="n">
        <v>5004.59</v>
      </c>
      <c r="C37" s="30" t="n">
        <v>4897.48</v>
      </c>
      <c r="D37" s="30" t="n">
        <v>4794.81</v>
      </c>
      <c r="E37" s="30" t="n">
        <v>5419.76</v>
      </c>
      <c r="F37" s="30" t="n">
        <v>8832.91</v>
      </c>
      <c r="G37" s="30" t="n">
        <v>8852.209999999999</v>
      </c>
      <c r="H37" s="30" t="n">
        <v>8018.77</v>
      </c>
      <c r="I37" s="43">
        <f>'Debt Schedule'!I9-I34</f>
        <v/>
      </c>
      <c r="J37" s="43">
        <f>'Debt Schedule'!J9-J34</f>
        <v/>
      </c>
      <c r="K37" s="43">
        <f>'Debt Schedule'!K9-K34</f>
        <v/>
      </c>
      <c r="L37" s="43">
        <f>'Debt Schedule'!L9-L34</f>
        <v/>
      </c>
      <c r="M37" s="43">
        <f>'Debt Schedule'!M9-M34</f>
        <v/>
      </c>
      <c r="N37" s="43">
        <f>'Debt Schedule'!N9-N34</f>
        <v/>
      </c>
      <c r="O37" s="43">
        <f>'Debt Schedule'!O9-O34</f>
        <v/>
      </c>
    </row>
    <row r="38">
      <c r="A38" s="5" t="inlineStr">
        <is>
          <t xml:space="preserve">   Trade Payables</t>
        </is>
      </c>
      <c r="B38" s="30" t="n">
        <v>8829.16</v>
      </c>
      <c r="C38" s="30" t="n">
        <v>6683.51</v>
      </c>
      <c r="D38" s="30" t="n">
        <v>7749.59</v>
      </c>
      <c r="E38" s="30" t="n">
        <v>9895.83</v>
      </c>
      <c r="F38" s="30" t="n">
        <v>8539.379999999999</v>
      </c>
      <c r="G38" s="30" t="n">
        <v>9540.92</v>
      </c>
      <c r="H38" s="30" t="n">
        <v>10491.6</v>
      </c>
      <c r="I38" s="43">
        <f>'Working Capital Schedule'!I13</f>
        <v/>
      </c>
      <c r="J38" s="43">
        <f>'Working Capital Schedule'!J13</f>
        <v/>
      </c>
      <c r="K38" s="43">
        <f>'Working Capital Schedule'!K13</f>
        <v/>
      </c>
      <c r="L38" s="43">
        <f>'Working Capital Schedule'!L13</f>
        <v/>
      </c>
      <c r="M38" s="43">
        <f>'Working Capital Schedule'!M13</f>
        <v/>
      </c>
      <c r="N38" s="43">
        <f>'Working Capital Schedule'!N13</f>
        <v/>
      </c>
      <c r="O38" s="43">
        <f>'Working Capital Schedule'!O13</f>
        <v/>
      </c>
    </row>
    <row r="39">
      <c r="A39" s="5" t="inlineStr">
        <is>
          <t xml:space="preserve">   Other Current Liabilities (provisions, advances)</t>
        </is>
      </c>
      <c r="B39" s="30" t="n">
        <v>8774.73</v>
      </c>
      <c r="C39" s="30" t="n">
        <v>8778.9</v>
      </c>
      <c r="D39" s="30" t="n">
        <v>8826.75</v>
      </c>
      <c r="E39" s="30" t="n">
        <v>8035.85</v>
      </c>
      <c r="F39" s="30" t="n">
        <v>7874.95</v>
      </c>
      <c r="G39" s="30" t="n">
        <v>9832.459999999999</v>
      </c>
      <c r="H39" s="30" t="n">
        <v>13791.81</v>
      </c>
      <c r="I39" s="43">
        <f>'Working Capital Schedule'!I14+'Working Capital Schedule'!I15</f>
        <v/>
      </c>
      <c r="J39" s="43">
        <f>'Working Capital Schedule'!J14+'Working Capital Schedule'!J15</f>
        <v/>
      </c>
      <c r="K39" s="43">
        <f>'Working Capital Schedule'!K14+'Working Capital Schedule'!K15</f>
        <v/>
      </c>
      <c r="L39" s="43">
        <f>'Working Capital Schedule'!L14+'Working Capital Schedule'!L15</f>
        <v/>
      </c>
      <c r="M39" s="43">
        <f>'Working Capital Schedule'!M14+'Working Capital Schedule'!M15</f>
        <v/>
      </c>
      <c r="N39" s="43">
        <f>'Working Capital Schedule'!N14+'Working Capital Schedule'!N15</f>
        <v/>
      </c>
      <c r="O39" s="43">
        <f>'Working Capital Schedule'!O14+'Working Capital Schedule'!O15</f>
        <v/>
      </c>
    </row>
    <row r="40">
      <c r="A40" s="4" t="inlineStr">
        <is>
          <t>Total Liabilities</t>
        </is>
      </c>
      <c r="B40" s="31">
        <f>B36+B37+B38+B39</f>
        <v/>
      </c>
      <c r="C40" s="31">
        <f>C36+C37+C38+C39</f>
        <v/>
      </c>
      <c r="D40" s="31">
        <f>D36+D37+D38+D39</f>
        <v/>
      </c>
      <c r="E40" s="31">
        <f>E36+E37+E38+E39</f>
        <v/>
      </c>
      <c r="F40" s="31">
        <f>F36+F37+F38+F39</f>
        <v/>
      </c>
      <c r="G40" s="31">
        <f>G36+G37+G38+G39</f>
        <v/>
      </c>
      <c r="H40" s="31">
        <f>H36+H37+H38+H39</f>
        <v/>
      </c>
      <c r="I40" s="31">
        <f>I36+I37+I38+I39</f>
        <v/>
      </c>
      <c r="J40" s="31">
        <f>J36+J37+J38+J39</f>
        <v/>
      </c>
      <c r="K40" s="31">
        <f>K36+K37+K38+K39</f>
        <v/>
      </c>
      <c r="L40" s="31">
        <f>L36+L37+L38+L39</f>
        <v/>
      </c>
      <c r="M40" s="31">
        <f>M36+M37+M38+M39</f>
        <v/>
      </c>
      <c r="N40" s="31">
        <f>N36+N37+N38+N39</f>
        <v/>
      </c>
      <c r="O40" s="31">
        <f>O36+O37+O38+O39</f>
        <v/>
      </c>
    </row>
    <row r="42">
      <c r="A42" s="4" t="inlineStr">
        <is>
          <t>Total Equity &amp; Liabilities</t>
        </is>
      </c>
      <c r="B42" s="34">
        <f>B30+B40</f>
        <v/>
      </c>
      <c r="C42" s="34">
        <f>C30+C40</f>
        <v/>
      </c>
      <c r="D42" s="34">
        <f>D30+D40</f>
        <v/>
      </c>
      <c r="E42" s="34">
        <f>E30+E40</f>
        <v/>
      </c>
      <c r="F42" s="34">
        <f>F30+F40</f>
        <v/>
      </c>
      <c r="G42" s="34">
        <f>G30+G40</f>
        <v/>
      </c>
      <c r="H42" s="34">
        <f>H30+H40</f>
        <v/>
      </c>
      <c r="I42" s="34">
        <f>I30+I40</f>
        <v/>
      </c>
      <c r="J42" s="34">
        <f>J30+J40</f>
        <v/>
      </c>
      <c r="K42" s="34">
        <f>K30+K40</f>
        <v/>
      </c>
      <c r="L42" s="34">
        <f>L30+L40</f>
        <v/>
      </c>
      <c r="M42" s="34">
        <f>M30+M40</f>
        <v/>
      </c>
      <c r="N42" s="34">
        <f>N30+N40</f>
        <v/>
      </c>
      <c r="O42" s="34">
        <f>O30+O40</f>
        <v/>
      </c>
    </row>
    <row r="44">
      <c r="A44" s="63" t="inlineStr">
        <is>
          <t>Assets</t>
        </is>
      </c>
      <c r="B44" s="64" t="n"/>
      <c r="C44" s="64" t="n"/>
      <c r="D44" s="64" t="n"/>
      <c r="E44" s="64" t="n"/>
      <c r="F44" s="64" t="n"/>
      <c r="G44" s="64" t="n"/>
      <c r="H44" s="64" t="n"/>
      <c r="I44" s="64" t="n"/>
      <c r="J44" s="64" t="n"/>
      <c r="K44" s="64" t="n"/>
      <c r="L44" s="64" t="n"/>
      <c r="M44" s="64" t="n"/>
      <c r="N44" s="64" t="n"/>
      <c r="O44" s="64" t="n"/>
    </row>
    <row r="45">
      <c r="A45" s="4" t="inlineStr">
        <is>
          <t>Non-Current Assets</t>
        </is>
      </c>
    </row>
    <row r="46">
      <c r="A46" s="4" t="inlineStr">
        <is>
          <t>Fixed Assets</t>
        </is>
      </c>
    </row>
    <row r="47">
      <c r="A47" s="5" t="inlineStr">
        <is>
          <t xml:space="preserve">   Property Plant &amp; Equip</t>
        </is>
      </c>
      <c r="B47" s="30" t="n">
        <v>2824.38</v>
      </c>
      <c r="C47" s="30" t="n">
        <v>2507.49</v>
      </c>
      <c r="D47" s="30" t="n">
        <v>2407.12</v>
      </c>
      <c r="E47" s="30" t="n">
        <v>2485.24</v>
      </c>
      <c r="F47" s="30" t="n">
        <v>2600.08</v>
      </c>
      <c r="G47" s="30" t="n">
        <v>2980.91</v>
      </c>
      <c r="H47" s="30" t="n">
        <v>3094.38</v>
      </c>
      <c r="I47" s="43">
        <f>'Fixed Asset Schedule'!I10</f>
        <v/>
      </c>
      <c r="J47" s="43">
        <f>'Fixed Asset Schedule'!J10</f>
        <v/>
      </c>
      <c r="K47" s="43">
        <f>'Fixed Asset Schedule'!K10</f>
        <v/>
      </c>
      <c r="L47" s="43">
        <f>'Fixed Asset Schedule'!L10</f>
        <v/>
      </c>
      <c r="M47" s="43">
        <f>'Fixed Asset Schedule'!M10</f>
        <v/>
      </c>
      <c r="N47" s="43">
        <f>'Fixed Asset Schedule'!N10</f>
        <v/>
      </c>
      <c r="O47" s="43">
        <f>'Fixed Asset Schedule'!O10</f>
        <v/>
      </c>
    </row>
    <row r="48">
      <c r="A48" s="5" t="inlineStr">
        <is>
          <t xml:space="preserve">   Capital Work in Progress</t>
        </is>
      </c>
      <c r="B48" s="30" t="n">
        <v>306.74</v>
      </c>
      <c r="C48" s="30" t="n">
        <v>403.21</v>
      </c>
      <c r="D48" s="30" t="n">
        <v>422.32</v>
      </c>
      <c r="E48" s="30" t="n">
        <v>344.59</v>
      </c>
      <c r="F48" s="30" t="n">
        <v>282.32</v>
      </c>
      <c r="G48" s="30" t="n">
        <v>161.7</v>
      </c>
      <c r="H48" s="30" t="n">
        <v>399.2</v>
      </c>
      <c r="I48" s="43">
        <f>'Assumptions'!I46</f>
        <v/>
      </c>
      <c r="J48" s="43">
        <f>'Assumptions'!J46</f>
        <v/>
      </c>
      <c r="K48" s="43">
        <f>'Assumptions'!K46</f>
        <v/>
      </c>
      <c r="L48" s="43">
        <f>'Assumptions'!L46</f>
        <v/>
      </c>
      <c r="M48" s="43">
        <f>'Assumptions'!M46</f>
        <v/>
      </c>
      <c r="N48" s="43">
        <f>'Assumptions'!N46</f>
        <v/>
      </c>
      <c r="O48" s="43">
        <f>'Assumptions'!O46</f>
        <v/>
      </c>
    </row>
    <row r="49">
      <c r="A49" s="5" t="inlineStr">
        <is>
          <t xml:space="preserve">   Investments</t>
        </is>
      </c>
      <c r="B49" s="30" t="n">
        <v>162.06</v>
      </c>
      <c r="C49" s="30" t="n">
        <v>185.34</v>
      </c>
      <c r="D49" s="30" t="n">
        <v>205.15</v>
      </c>
      <c r="E49" s="30" t="n">
        <v>235.42</v>
      </c>
      <c r="F49" s="30" t="n">
        <v>255.67</v>
      </c>
      <c r="G49" s="30" t="n">
        <v>275.57</v>
      </c>
      <c r="H49" s="30" t="n">
        <v>302.06</v>
      </c>
      <c r="I49" s="43">
        <f>'Assumptions'!I47</f>
        <v/>
      </c>
      <c r="J49" s="43">
        <f>'Assumptions'!J47</f>
        <v/>
      </c>
      <c r="K49" s="43">
        <f>'Assumptions'!K47</f>
        <v/>
      </c>
      <c r="L49" s="43">
        <f>'Assumptions'!L47</f>
        <v/>
      </c>
      <c r="M49" s="43">
        <f>'Assumptions'!M47</f>
        <v/>
      </c>
      <c r="N49" s="43">
        <f>'Assumptions'!N47</f>
        <v/>
      </c>
      <c r="O49" s="43">
        <f>'Assumptions'!O47</f>
        <v/>
      </c>
    </row>
    <row r="50">
      <c r="A50" s="4" t="inlineStr">
        <is>
          <t>Total Fixed Assets</t>
        </is>
      </c>
      <c r="B50" s="31">
        <f>SUM(B47:B49)</f>
        <v/>
      </c>
      <c r="C50" s="31">
        <f>SUM(C47:C49)</f>
        <v/>
      </c>
      <c r="D50" s="31">
        <f>SUM(D47:D49)</f>
        <v/>
      </c>
      <c r="E50" s="31">
        <f>SUM(E47:E49)</f>
        <v/>
      </c>
      <c r="F50" s="31">
        <f>SUM(F47:F49)</f>
        <v/>
      </c>
      <c r="G50" s="31">
        <f>SUM(G47:G49)</f>
        <v/>
      </c>
      <c r="H50" s="31">
        <f>SUM(H47:H49)</f>
        <v/>
      </c>
      <c r="I50" s="31">
        <f>SUM(I47:I49)</f>
        <v/>
      </c>
      <c r="J50" s="31">
        <f>SUM(J47:J49)</f>
        <v/>
      </c>
      <c r="K50" s="31">
        <f>SUM(K47:K49)</f>
        <v/>
      </c>
      <c r="L50" s="31">
        <f>SUM(L47:L49)</f>
        <v/>
      </c>
      <c r="M50" s="31">
        <f>SUM(M47:M49)</f>
        <v/>
      </c>
      <c r="N50" s="31">
        <f>SUM(N47:N49)</f>
        <v/>
      </c>
      <c r="O50" s="31">
        <f>SUM(O47:O49)</f>
        <v/>
      </c>
    </row>
    <row r="51">
      <c r="A51" s="5" t="inlineStr">
        <is>
          <t xml:space="preserve">   Other Non Current Assets (incl NC contract assets)</t>
        </is>
      </c>
      <c r="B51" s="30" t="n">
        <v>23744.2</v>
      </c>
      <c r="C51" s="30" t="n">
        <v>23800.81</v>
      </c>
      <c r="D51" s="30" t="n">
        <v>25347.19</v>
      </c>
      <c r="E51" s="30" t="n">
        <v>26222.26</v>
      </c>
      <c r="F51" s="30" t="n">
        <v>21321.74</v>
      </c>
      <c r="G51" s="30" t="n">
        <v>21905.23</v>
      </c>
      <c r="H51" s="30" t="n">
        <v>20934.62</v>
      </c>
      <c r="I51" s="43">
        <f>'Working Capital Schedule'!I21</f>
        <v/>
      </c>
      <c r="J51" s="43">
        <f>'Working Capital Schedule'!J21</f>
        <v/>
      </c>
      <c r="K51" s="43">
        <f>'Working Capital Schedule'!K21</f>
        <v/>
      </c>
      <c r="L51" s="43">
        <f>'Working Capital Schedule'!L21</f>
        <v/>
      </c>
      <c r="M51" s="43">
        <f>'Working Capital Schedule'!M21</f>
        <v/>
      </c>
      <c r="N51" s="43">
        <f>'Working Capital Schedule'!N21</f>
        <v/>
      </c>
      <c r="O51" s="43">
        <f>'Working Capital Schedule'!O21</f>
        <v/>
      </c>
    </row>
    <row r="52">
      <c r="A52" s="4" t="inlineStr">
        <is>
          <t>Total Non Current Assets</t>
        </is>
      </c>
      <c r="B52" s="31">
        <f>B50+B51</f>
        <v/>
      </c>
      <c r="C52" s="31">
        <f>C50+C51</f>
        <v/>
      </c>
      <c r="D52" s="31">
        <f>D50+D51</f>
        <v/>
      </c>
      <c r="E52" s="31">
        <f>E50+E51</f>
        <v/>
      </c>
      <c r="F52" s="31">
        <f>F50+F51</f>
        <v/>
      </c>
      <c r="G52" s="31">
        <f>G50+G51</f>
        <v/>
      </c>
      <c r="H52" s="31">
        <f>H50+H51</f>
        <v/>
      </c>
      <c r="I52" s="31">
        <f>I50+I51</f>
        <v/>
      </c>
      <c r="J52" s="31">
        <f>J50+J51</f>
        <v/>
      </c>
      <c r="K52" s="31">
        <f>K50+K51</f>
        <v/>
      </c>
      <c r="L52" s="31">
        <f>L50+L51</f>
        <v/>
      </c>
      <c r="M52" s="31">
        <f>M50+M51</f>
        <v/>
      </c>
      <c r="N52" s="31">
        <f>N50+N51</f>
        <v/>
      </c>
      <c r="O52" s="31">
        <f>O50+O51</f>
        <v/>
      </c>
    </row>
    <row r="54">
      <c r="A54" s="4" t="inlineStr">
        <is>
          <t>Current Assets</t>
        </is>
      </c>
    </row>
    <row r="55">
      <c r="A55" s="5" t="inlineStr">
        <is>
          <t xml:space="preserve">   Accounts Receivables</t>
        </is>
      </c>
      <c r="B55" s="30" t="n">
        <v>7108.6</v>
      </c>
      <c r="C55" s="30" t="n">
        <v>4035.07</v>
      </c>
      <c r="D55" s="30" t="n">
        <v>3024.75</v>
      </c>
      <c r="E55" s="30" t="n">
        <v>3128.35</v>
      </c>
      <c r="F55" s="30" t="n">
        <v>4785.38</v>
      </c>
      <c r="G55" s="30" t="n">
        <v>5884.35</v>
      </c>
      <c r="H55" s="30" t="n">
        <v>6796.27</v>
      </c>
      <c r="I55" s="43">
        <f>'Working Capital Schedule'!I8</f>
        <v/>
      </c>
      <c r="J55" s="43">
        <f>'Working Capital Schedule'!J8</f>
        <v/>
      </c>
      <c r="K55" s="43">
        <f>'Working Capital Schedule'!K8</f>
        <v/>
      </c>
      <c r="L55" s="43">
        <f>'Working Capital Schedule'!L8</f>
        <v/>
      </c>
      <c r="M55" s="43">
        <f>'Working Capital Schedule'!M8</f>
        <v/>
      </c>
      <c r="N55" s="43">
        <f>'Working Capital Schedule'!N8</f>
        <v/>
      </c>
      <c r="O55" s="43">
        <f>'Working Capital Schedule'!O8</f>
        <v/>
      </c>
    </row>
    <row r="56">
      <c r="A56" s="5" t="inlineStr">
        <is>
          <t xml:space="preserve">   Inventories</t>
        </is>
      </c>
      <c r="B56" s="30" t="n">
        <v>8908.23</v>
      </c>
      <c r="C56" s="30" t="n">
        <v>7194.45</v>
      </c>
      <c r="D56" s="30" t="n">
        <v>6560.21</v>
      </c>
      <c r="E56" s="30" t="n">
        <v>6755.9</v>
      </c>
      <c r="F56" s="30" t="n">
        <v>7220.57</v>
      </c>
      <c r="G56" s="30" t="n">
        <v>9869.49</v>
      </c>
      <c r="H56" s="30" t="n">
        <v>13334.58</v>
      </c>
      <c r="I56" s="43">
        <f>'Working Capital Schedule'!I9</f>
        <v/>
      </c>
      <c r="J56" s="43">
        <f>'Working Capital Schedule'!J9</f>
        <v/>
      </c>
      <c r="K56" s="43">
        <f>'Working Capital Schedule'!K9</f>
        <v/>
      </c>
      <c r="L56" s="43">
        <f>'Working Capital Schedule'!L9</f>
        <v/>
      </c>
      <c r="M56" s="43">
        <f>'Working Capital Schedule'!M9</f>
        <v/>
      </c>
      <c r="N56" s="43">
        <f>'Working Capital Schedule'!N9</f>
        <v/>
      </c>
      <c r="O56" s="43">
        <f>'Working Capital Schedule'!O9</f>
        <v/>
      </c>
    </row>
    <row r="57">
      <c r="A57" s="5" t="inlineStr">
        <is>
          <t xml:space="preserve">   Other Current Assets</t>
        </is>
      </c>
      <c r="B57" s="30" t="n">
        <v>10275.76</v>
      </c>
      <c r="C57" s="30" t="n">
        <v>10412.39</v>
      </c>
      <c r="D57" s="30" t="n">
        <v>11123.33</v>
      </c>
      <c r="E57" s="30" t="n">
        <v>13555.45</v>
      </c>
      <c r="F57" s="30" t="n">
        <v>16378.69</v>
      </c>
      <c r="G57" s="30" t="n">
        <v>19393.52</v>
      </c>
      <c r="H57" s="30" t="n">
        <v>19457.88</v>
      </c>
      <c r="I57" s="43">
        <f>'Working Capital Schedule'!I10+'Working Capital Schedule'!I11</f>
        <v/>
      </c>
      <c r="J57" s="43">
        <f>'Working Capital Schedule'!J10+'Working Capital Schedule'!J11</f>
        <v/>
      </c>
      <c r="K57" s="43">
        <f>'Working Capital Schedule'!K10+'Working Capital Schedule'!K11</f>
        <v/>
      </c>
      <c r="L57" s="43">
        <f>'Working Capital Schedule'!L10+'Working Capital Schedule'!L11</f>
        <v/>
      </c>
      <c r="M57" s="43">
        <f>'Working Capital Schedule'!M10+'Working Capital Schedule'!M11</f>
        <v/>
      </c>
      <c r="N57" s="43">
        <f>'Working Capital Schedule'!N10+'Working Capital Schedule'!N11</f>
        <v/>
      </c>
      <c r="O57" s="43">
        <f>'Working Capital Schedule'!O10+'Working Capital Schedule'!O11</f>
        <v/>
      </c>
    </row>
    <row r="58">
      <c r="A58" s="5" t="inlineStr">
        <is>
          <t xml:space="preserve">   Cash Balance (Incl. Bank and Current Invest)</t>
        </is>
      </c>
      <c r="B58" s="30" t="n">
        <v>6418.59</v>
      </c>
      <c r="C58" s="30" t="n">
        <v>6701.45</v>
      </c>
      <c r="D58" s="30" t="n">
        <v>7153.69</v>
      </c>
      <c r="E58" s="30" t="n">
        <v>6642.58</v>
      </c>
      <c r="F58" s="30" t="n">
        <v>6157.47</v>
      </c>
      <c r="G58" s="30" t="n">
        <v>7612.41</v>
      </c>
      <c r="H58" s="30" t="n">
        <v>11866.62</v>
      </c>
      <c r="I58" s="43">
        <f>'Cash Flow Statement'!I25</f>
        <v/>
      </c>
      <c r="J58" s="43">
        <f>'Cash Flow Statement'!J25</f>
        <v/>
      </c>
      <c r="K58" s="43">
        <f>'Cash Flow Statement'!K25</f>
        <v/>
      </c>
      <c r="L58" s="43">
        <f>'Cash Flow Statement'!L25</f>
        <v/>
      </c>
      <c r="M58" s="43">
        <f>'Cash Flow Statement'!M25</f>
        <v/>
      </c>
      <c r="N58" s="43">
        <f>'Cash Flow Statement'!N25</f>
        <v/>
      </c>
      <c r="O58" s="43">
        <f>'Cash Flow Statement'!O25</f>
        <v/>
      </c>
    </row>
    <row r="59">
      <c r="A59" s="4" t="inlineStr">
        <is>
          <t>Total Current Assets</t>
        </is>
      </c>
      <c r="B59" s="31">
        <f>SUM(B55:B58)</f>
        <v/>
      </c>
      <c r="C59" s="31">
        <f>SUM(C55:C58)</f>
        <v/>
      </c>
      <c r="D59" s="31">
        <f>SUM(D55:D58)</f>
        <v/>
      </c>
      <c r="E59" s="31">
        <f>SUM(E55:E58)</f>
        <v/>
      </c>
      <c r="F59" s="31">
        <f>SUM(F55:F58)</f>
        <v/>
      </c>
      <c r="G59" s="31">
        <f>SUM(G55:G58)</f>
        <v/>
      </c>
      <c r="H59" s="31">
        <f>SUM(H55:H58)</f>
        <v/>
      </c>
      <c r="I59" s="31">
        <f>SUM(I55:I58)</f>
        <v/>
      </c>
      <c r="J59" s="31">
        <f>SUM(J55:J58)</f>
        <v/>
      </c>
      <c r="K59" s="31">
        <f>SUM(K55:K58)</f>
        <v/>
      </c>
      <c r="L59" s="31">
        <f>SUM(L55:L58)</f>
        <v/>
      </c>
      <c r="M59" s="31">
        <f>SUM(M55:M58)</f>
        <v/>
      </c>
      <c r="N59" s="31">
        <f>SUM(N55:N58)</f>
        <v/>
      </c>
      <c r="O59" s="31">
        <f>SUM(O55:O58)</f>
        <v/>
      </c>
    </row>
    <row r="61">
      <c r="A61" s="4" t="inlineStr">
        <is>
          <t>Total Assets</t>
        </is>
      </c>
      <c r="B61" s="34">
        <f>B52+B59</f>
        <v/>
      </c>
      <c r="C61" s="34">
        <f>C52+C59</f>
        <v/>
      </c>
      <c r="D61" s="34">
        <f>D52+D59</f>
        <v/>
      </c>
      <c r="E61" s="34">
        <f>E52+E59</f>
        <v/>
      </c>
      <c r="F61" s="34">
        <f>F52+F59</f>
        <v/>
      </c>
      <c r="G61" s="34">
        <f>G52+G59</f>
        <v/>
      </c>
      <c r="H61" s="34">
        <f>H52+H59</f>
        <v/>
      </c>
      <c r="I61" s="34">
        <f>I52+I59</f>
        <v/>
      </c>
      <c r="J61" s="34">
        <f>J52+J59</f>
        <v/>
      </c>
      <c r="K61" s="34">
        <f>K52+K59</f>
        <v/>
      </c>
      <c r="L61" s="34">
        <f>L52+L59</f>
        <v/>
      </c>
      <c r="M61" s="34">
        <f>M52+M59</f>
        <v/>
      </c>
      <c r="N61" s="34">
        <f>N52+N59</f>
        <v/>
      </c>
      <c r="O61" s="34">
        <f>O52+O59</f>
        <v/>
      </c>
    </row>
    <row r="62">
      <c r="A62" s="4" t="inlineStr">
        <is>
          <t>Balance check (TA - TE&amp;L)</t>
        </is>
      </c>
      <c r="B62" s="33">
        <f>B61-B42</f>
        <v/>
      </c>
      <c r="C62" s="33">
        <f>C61-C42</f>
        <v/>
      </c>
      <c r="D62" s="33">
        <f>D61-D42</f>
        <v/>
      </c>
      <c r="E62" s="33">
        <f>E61-E42</f>
        <v/>
      </c>
      <c r="F62" s="33">
        <f>F61-F42</f>
        <v/>
      </c>
      <c r="G62" s="33">
        <f>G61-G42</f>
        <v/>
      </c>
      <c r="H62" s="33">
        <f>H61-H42</f>
        <v/>
      </c>
      <c r="I62" s="33">
        <f>I61-I42</f>
        <v/>
      </c>
      <c r="J62" s="33">
        <f>J61-J42</f>
        <v/>
      </c>
      <c r="K62" s="33">
        <f>K61-K42</f>
        <v/>
      </c>
      <c r="L62" s="33">
        <f>L61-L42</f>
        <v/>
      </c>
      <c r="M62" s="33">
        <f>M61-M42</f>
        <v/>
      </c>
      <c r="N62" s="33">
        <f>N61-N42</f>
        <v/>
      </c>
      <c r="O62" s="33">
        <f>O61-O42</f>
        <v/>
      </c>
    </row>
    <row r="63">
      <c r="A63" s="7" t="inlineStr">
        <is>
          <t>Memo: total borrowings (LT+ST)</t>
        </is>
      </c>
      <c r="B63" s="33">
        <f>B34+B37</f>
        <v/>
      </c>
      <c r="C63" s="33">
        <f>C34+C37</f>
        <v/>
      </c>
      <c r="D63" s="33">
        <f>D34+D37</f>
        <v/>
      </c>
      <c r="E63" s="33">
        <f>E34+E37</f>
        <v/>
      </c>
      <c r="F63" s="33">
        <f>F34+F37</f>
        <v/>
      </c>
      <c r="G63" s="33">
        <f>G34+G37</f>
        <v/>
      </c>
      <c r="H63" s="33">
        <f>H34+H37</f>
        <v/>
      </c>
      <c r="I63" s="33">
        <f>I34+I37</f>
        <v/>
      </c>
      <c r="J63" s="33">
        <f>J34+J37</f>
        <v/>
      </c>
      <c r="K63" s="33">
        <f>K34+K37</f>
        <v/>
      </c>
      <c r="L63" s="33">
        <f>L34+L37</f>
        <v/>
      </c>
      <c r="M63" s="33">
        <f>M34+M37</f>
        <v/>
      </c>
      <c r="N63" s="33">
        <f>N34+N37</f>
        <v/>
      </c>
      <c r="O63" s="33">
        <f>O34+O37</f>
        <v/>
      </c>
    </row>
    <row r="64">
      <c r="A64" s="13" t="inlineStr">
        <is>
          <t>Historical balance-sheet sub-lines are analyst estimates anchored exactly to reported totals (debtor/inventory/payable days; cash rolled from reported net cash flow).</t>
        </is>
      </c>
    </row>
    <row r="65">
      <c r="A65" s="4" t="inlineStr">
        <is>
          <t>Memo: Other NON-CURRENT ASSETS breakup (indicative)</t>
        </is>
      </c>
    </row>
    <row r="66">
      <c r="A66" s="7" t="inlineStr">
        <is>
          <t xml:space="preserve">   Deferred tax assets (~40%)</t>
        </is>
      </c>
      <c r="B66" s="33">
        <f>B51*0.4</f>
        <v/>
      </c>
      <c r="C66" s="33">
        <f>C51*0.4</f>
        <v/>
      </c>
      <c r="D66" s="33">
        <f>D51*0.4</f>
        <v/>
      </c>
      <c r="E66" s="33">
        <f>E51*0.4</f>
        <v/>
      </c>
      <c r="F66" s="33">
        <f>F51*0.4</f>
        <v/>
      </c>
      <c r="G66" s="33">
        <f>G51*0.4</f>
        <v/>
      </c>
      <c r="H66" s="33">
        <f>H51*0.4</f>
        <v/>
      </c>
      <c r="I66" s="33">
        <f>I51*0.4</f>
        <v/>
      </c>
      <c r="J66" s="33">
        <f>J51*0.4</f>
        <v/>
      </c>
      <c r="K66" s="33">
        <f>K51*0.4</f>
        <v/>
      </c>
      <c r="L66" s="33">
        <f>L51*0.4</f>
        <v/>
      </c>
      <c r="M66" s="33">
        <f>M51*0.4</f>
        <v/>
      </c>
      <c r="N66" s="33">
        <f>N51*0.4</f>
        <v/>
      </c>
      <c r="O66" s="33">
        <f>O51*0.4</f>
        <v/>
      </c>
    </row>
    <row r="67">
      <c r="A67" s="7" t="inlineStr">
        <is>
          <t xml:space="preserve">   Long-term trade &amp; other receivables (~35%)</t>
        </is>
      </c>
      <c r="B67" s="33">
        <f>B51*0.35</f>
        <v/>
      </c>
      <c r="C67" s="33">
        <f>C51*0.35</f>
        <v/>
      </c>
      <c r="D67" s="33">
        <f>D51*0.35</f>
        <v/>
      </c>
      <c r="E67" s="33">
        <f>E51*0.35</f>
        <v/>
      </c>
      <c r="F67" s="33">
        <f>F51*0.35</f>
        <v/>
      </c>
      <c r="G67" s="33">
        <f>G51*0.35</f>
        <v/>
      </c>
      <c r="H67" s="33">
        <f>H51*0.35</f>
        <v/>
      </c>
      <c r="I67" s="33">
        <f>I51*0.35</f>
        <v/>
      </c>
      <c r="J67" s="33">
        <f>J51*0.35</f>
        <v/>
      </c>
      <c r="K67" s="33">
        <f>K51*0.35</f>
        <v/>
      </c>
      <c r="L67" s="33">
        <f>L51*0.35</f>
        <v/>
      </c>
      <c r="M67" s="33">
        <f>M51*0.35</f>
        <v/>
      </c>
      <c r="N67" s="33">
        <f>N51*0.35</f>
        <v/>
      </c>
      <c r="O67" s="33">
        <f>O51*0.35</f>
        <v/>
      </c>
    </row>
    <row r="68">
      <c r="A68" s="7" t="inlineStr">
        <is>
          <t xml:space="preserve">   Long-term loans, deposits &amp; other (~25%)</t>
        </is>
      </c>
      <c r="B68" s="33">
        <f>B51*0.25</f>
        <v/>
      </c>
      <c r="C68" s="33">
        <f>C51*0.25</f>
        <v/>
      </c>
      <c r="D68" s="33">
        <f>D51*0.25</f>
        <v/>
      </c>
      <c r="E68" s="33">
        <f>E51*0.25</f>
        <v/>
      </c>
      <c r="F68" s="33">
        <f>F51*0.25</f>
        <v/>
      </c>
      <c r="G68" s="33">
        <f>G51*0.25</f>
        <v/>
      </c>
      <c r="H68" s="33">
        <f>H51*0.25</f>
        <v/>
      </c>
      <c r="I68" s="33">
        <f>I51*0.25</f>
        <v/>
      </c>
      <c r="J68" s="33">
        <f>J51*0.25</f>
        <v/>
      </c>
      <c r="K68" s="33">
        <f>K51*0.25</f>
        <v/>
      </c>
      <c r="L68" s="33">
        <f>L51*0.25</f>
        <v/>
      </c>
      <c r="M68" s="33">
        <f>M51*0.25</f>
        <v/>
      </c>
      <c r="N68" s="33">
        <f>N51*0.25</f>
        <v/>
      </c>
      <c r="O68" s="33">
        <f>O51*0.25</f>
        <v/>
      </c>
    </row>
    <row r="69">
      <c r="A69" s="4" t="inlineStr">
        <is>
          <t>Memo: Other NON-CURRENT LIABILITIES breakup (indicative)</t>
        </is>
      </c>
    </row>
    <row r="70">
      <c r="A70" s="7" t="inlineStr">
        <is>
          <t xml:space="preserve">   Lease liabilities (~30%)</t>
        </is>
      </c>
      <c r="B70" s="33">
        <f>B35*0.3</f>
        <v/>
      </c>
      <c r="C70" s="33">
        <f>C35*0.3</f>
        <v/>
      </c>
      <c r="D70" s="33">
        <f>D35*0.3</f>
        <v/>
      </c>
      <c r="E70" s="33">
        <f>E35*0.3</f>
        <v/>
      </c>
      <c r="F70" s="33">
        <f>F35*0.3</f>
        <v/>
      </c>
      <c r="G70" s="33">
        <f>G35*0.3</f>
        <v/>
      </c>
      <c r="H70" s="33">
        <f>H35*0.3</f>
        <v/>
      </c>
      <c r="I70" s="33">
        <f>I35*0.3</f>
        <v/>
      </c>
      <c r="J70" s="33">
        <f>J35*0.3</f>
        <v/>
      </c>
      <c r="K70" s="33">
        <f>K35*0.3</f>
        <v/>
      </c>
      <c r="L70" s="33">
        <f>L35*0.3</f>
        <v/>
      </c>
      <c r="M70" s="33">
        <f>M35*0.3</f>
        <v/>
      </c>
      <c r="N70" s="33">
        <f>N35*0.3</f>
        <v/>
      </c>
      <c r="O70" s="33">
        <f>O35*0.3</f>
        <v/>
      </c>
    </row>
    <row r="71">
      <c r="A71" s="7" t="inlineStr">
        <is>
          <t xml:space="preserve">   Long-term provisions - warranty &amp; employee benefits (~50%)</t>
        </is>
      </c>
      <c r="B71" s="33">
        <f>B35*0.5</f>
        <v/>
      </c>
      <c r="C71" s="33">
        <f>C35*0.5</f>
        <v/>
      </c>
      <c r="D71" s="33">
        <f>D35*0.5</f>
        <v/>
      </c>
      <c r="E71" s="33">
        <f>E35*0.5</f>
        <v/>
      </c>
      <c r="F71" s="33">
        <f>F35*0.5</f>
        <v/>
      </c>
      <c r="G71" s="33">
        <f>G35*0.5</f>
        <v/>
      </c>
      <c r="H71" s="33">
        <f>H35*0.5</f>
        <v/>
      </c>
      <c r="I71" s="33">
        <f>I35*0.5</f>
        <v/>
      </c>
      <c r="J71" s="33">
        <f>J35*0.5</f>
        <v/>
      </c>
      <c r="K71" s="33">
        <f>K35*0.5</f>
        <v/>
      </c>
      <c r="L71" s="33">
        <f>L35*0.5</f>
        <v/>
      </c>
      <c r="M71" s="33">
        <f>M35*0.5</f>
        <v/>
      </c>
      <c r="N71" s="33">
        <f>N35*0.5</f>
        <v/>
      </c>
      <c r="O71" s="33">
        <f>O35*0.5</f>
        <v/>
      </c>
    </row>
    <row r="72">
      <c r="A72" s="7" t="inlineStr">
        <is>
          <t xml:space="preserve">   Deferred tax liabilities &amp; other (~20%)</t>
        </is>
      </c>
      <c r="B72" s="33">
        <f>B35*0.2</f>
        <v/>
      </c>
      <c r="C72" s="33">
        <f>C35*0.2</f>
        <v/>
      </c>
      <c r="D72" s="33">
        <f>D35*0.2</f>
        <v/>
      </c>
      <c r="E72" s="33">
        <f>E35*0.2</f>
        <v/>
      </c>
      <c r="F72" s="33">
        <f>F35*0.2</f>
        <v/>
      </c>
      <c r="G72" s="33">
        <f>G35*0.2</f>
        <v/>
      </c>
      <c r="H72" s="33">
        <f>H35*0.2</f>
        <v/>
      </c>
      <c r="I72" s="33">
        <f>I35*0.2</f>
        <v/>
      </c>
      <c r="J72" s="33">
        <f>J35*0.2</f>
        <v/>
      </c>
      <c r="K72" s="33">
        <f>K35*0.2</f>
        <v/>
      </c>
      <c r="L72" s="33">
        <f>L35*0.2</f>
        <v/>
      </c>
      <c r="M72" s="33">
        <f>M35*0.2</f>
        <v/>
      </c>
      <c r="N72" s="33">
        <f>N35*0.2</f>
        <v/>
      </c>
      <c r="O72" s="33">
        <f>O35*0.2</f>
        <v/>
      </c>
    </row>
    <row r="73">
      <c r="A73" s="13" t="inlineStr">
        <is>
          <t>Non-current breakup shares are indicative analyst estimates; verify against Annual Report notes.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RATIO ANALYSIS</t>
        </is>
      </c>
      <c r="B1" s="1" t="n"/>
      <c r="C1" s="1" t="n"/>
      <c r="D1" s="1" t="n"/>
      <c r="E1" s="1" t="n"/>
      <c r="F1" s="1" t="n"/>
      <c r="G1" s="1" t="n"/>
      <c r="H1" s="1" t="n"/>
      <c r="I1" s="1" t="n"/>
      <c r="J1" s="1" t="n"/>
      <c r="K1" s="1" t="n"/>
      <c r="L1" s="1" t="n"/>
      <c r="M1" s="1" t="n"/>
      <c r="N1" s="1" t="n"/>
      <c r="O1" s="1" t="n"/>
    </row>
    <row r="2">
      <c r="A2" s="13" t="inlineStr">
        <is>
          <t>FY20-25 from Historical Financial Statements; FY26-33 from integrated Forecast statements.</t>
        </is>
      </c>
    </row>
    <row r="4">
      <c r="A4" s="14" t="inlineStr">
        <is>
          <t>INR Crore</t>
        </is>
      </c>
      <c r="B4" s="15" t="inlineStr">
        <is>
          <t>FY2020</t>
        </is>
      </c>
      <c r="C4" s="15" t="inlineStr">
        <is>
          <t>FY2021</t>
        </is>
      </c>
      <c r="D4" s="15" t="inlineStr">
        <is>
          <t>FY2022</t>
        </is>
      </c>
      <c r="E4" s="15" t="inlineStr">
        <is>
          <t>FY2023</t>
        </is>
      </c>
      <c r="F4" s="15" t="inlineStr">
        <is>
          <t>FY2024</t>
        </is>
      </c>
      <c r="G4" s="15" t="inlineStr">
        <is>
          <t>FY2025</t>
        </is>
      </c>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Growth &amp; margins</t>
        </is>
      </c>
      <c r="B5" s="1" t="n"/>
      <c r="C5" s="1" t="n"/>
      <c r="D5" s="1" t="n"/>
      <c r="E5" s="1" t="n"/>
      <c r="F5" s="1" t="n"/>
      <c r="G5" s="1" t="n"/>
      <c r="H5" s="1" t="n"/>
      <c r="I5" s="1" t="n"/>
      <c r="J5" s="1" t="n"/>
      <c r="K5" s="1" t="n"/>
      <c r="L5" s="1" t="n"/>
      <c r="M5" s="1" t="n"/>
      <c r="N5" s="1" t="n"/>
      <c r="O5" s="1" t="n"/>
    </row>
    <row r="6">
      <c r="A6" s="5" t="inlineStr">
        <is>
          <t>Revenue growth %</t>
        </is>
      </c>
      <c r="C6" s="36">
        <f>'Historical Financial Statements'!C5/'Historical Financial Statements'!B5-1</f>
        <v/>
      </c>
      <c r="D6" s="36">
        <f>'Historical Financial Statements'!D5/'Historical Financial Statements'!C5-1</f>
        <v/>
      </c>
      <c r="E6" s="36">
        <f>'Historical Financial Statements'!E5/'Historical Financial Statements'!D5-1</f>
        <v/>
      </c>
      <c r="F6" s="36">
        <f>'Historical Financial Statements'!F5/'Historical Financial Statements'!E5-1</f>
        <v/>
      </c>
      <c r="G6" s="36">
        <f>'Historical Financial Statements'!G5/'Historical Financial Statements'!F5-1</f>
        <v/>
      </c>
      <c r="H6" s="36">
        <f>'Forecast Financial Statements'!H5/'Historical Financial Statements'!G5-1</f>
        <v/>
      </c>
      <c r="I6" s="36">
        <f>'Forecast Financial Statements'!I5/'Forecast Financial Statements'!H5-1</f>
        <v/>
      </c>
      <c r="J6" s="36">
        <f>'Forecast Financial Statements'!J5/'Forecast Financial Statements'!I5-1</f>
        <v/>
      </c>
      <c r="K6" s="36">
        <f>'Forecast Financial Statements'!K5/'Forecast Financial Statements'!J5-1</f>
        <v/>
      </c>
      <c r="L6" s="36">
        <f>'Forecast Financial Statements'!L5/'Forecast Financial Statements'!K5-1</f>
        <v/>
      </c>
      <c r="M6" s="36">
        <f>'Forecast Financial Statements'!M5/'Forecast Financial Statements'!L5-1</f>
        <v/>
      </c>
      <c r="N6" s="36">
        <f>'Forecast Financial Statements'!N5/'Forecast Financial Statements'!M5-1</f>
        <v/>
      </c>
      <c r="O6" s="36">
        <f>'Forecast Financial Statements'!O5/'Forecast Financial Statements'!N5-1</f>
        <v/>
      </c>
    </row>
    <row r="7">
      <c r="A7" s="5" t="inlineStr">
        <is>
          <t>Gross margin %</t>
        </is>
      </c>
      <c r="B7" s="36">
        <f>'Historical Financial Statements'!B7/'Historical Financial Statements'!B5</f>
        <v/>
      </c>
      <c r="C7" s="36">
        <f>'Historical Financial Statements'!C7/'Historical Financial Statements'!C5</f>
        <v/>
      </c>
      <c r="D7" s="36">
        <f>'Historical Financial Statements'!D7/'Historical Financial Statements'!D5</f>
        <v/>
      </c>
      <c r="E7" s="36">
        <f>'Historical Financial Statements'!E7/'Historical Financial Statements'!E5</f>
        <v/>
      </c>
      <c r="F7" s="36">
        <f>'Historical Financial Statements'!F7/'Historical Financial Statements'!F5</f>
        <v/>
      </c>
      <c r="G7" s="36">
        <f>'Historical Financial Statements'!G7/'Historical Financial Statements'!G5</f>
        <v/>
      </c>
      <c r="H7" s="36">
        <f>'Forecast Financial Statements'!H7/'Forecast Financial Statements'!H5</f>
        <v/>
      </c>
      <c r="I7" s="36">
        <f>'Forecast Financial Statements'!I7/'Forecast Financial Statements'!I5</f>
        <v/>
      </c>
      <c r="J7" s="36">
        <f>'Forecast Financial Statements'!J7/'Forecast Financial Statements'!J5</f>
        <v/>
      </c>
      <c r="K7" s="36">
        <f>'Forecast Financial Statements'!K7/'Forecast Financial Statements'!K5</f>
        <v/>
      </c>
      <c r="L7" s="36">
        <f>'Forecast Financial Statements'!L7/'Forecast Financial Statements'!L5</f>
        <v/>
      </c>
      <c r="M7" s="36">
        <f>'Forecast Financial Statements'!M7/'Forecast Financial Statements'!M5</f>
        <v/>
      </c>
      <c r="N7" s="36">
        <f>'Forecast Financial Statements'!N7/'Forecast Financial Statements'!N5</f>
        <v/>
      </c>
      <c r="O7" s="36">
        <f>'Forecast Financial Statements'!O7/'Forecast Financial Statements'!O5</f>
        <v/>
      </c>
    </row>
    <row r="8">
      <c r="A8" s="5" t="inlineStr">
        <is>
          <t>EBITDA margin %</t>
        </is>
      </c>
      <c r="B8" s="36">
        <f>'Historical Financial Statements'!B12/'Historical Financial Statements'!B5</f>
        <v/>
      </c>
      <c r="C8" s="36">
        <f>'Historical Financial Statements'!C12/'Historical Financial Statements'!C5</f>
        <v/>
      </c>
      <c r="D8" s="36">
        <f>'Historical Financial Statements'!D12/'Historical Financial Statements'!D5</f>
        <v/>
      </c>
      <c r="E8" s="36">
        <f>'Historical Financial Statements'!E12/'Historical Financial Statements'!E5</f>
        <v/>
      </c>
      <c r="F8" s="36">
        <f>'Historical Financial Statements'!F12/'Historical Financial Statements'!F5</f>
        <v/>
      </c>
      <c r="G8" s="36">
        <f>'Historical Financial Statements'!G12/'Historical Financial Statements'!G5</f>
        <v/>
      </c>
      <c r="H8" s="36">
        <f>'Forecast Financial Statements'!H12/'Forecast Financial Statements'!H5</f>
        <v/>
      </c>
      <c r="I8" s="36">
        <f>'Forecast Financial Statements'!I12/'Forecast Financial Statements'!I5</f>
        <v/>
      </c>
      <c r="J8" s="36">
        <f>'Forecast Financial Statements'!J12/'Forecast Financial Statements'!J5</f>
        <v/>
      </c>
      <c r="K8" s="36">
        <f>'Forecast Financial Statements'!K12/'Forecast Financial Statements'!K5</f>
        <v/>
      </c>
      <c r="L8" s="36">
        <f>'Forecast Financial Statements'!L12/'Forecast Financial Statements'!L5</f>
        <v/>
      </c>
      <c r="M8" s="36">
        <f>'Forecast Financial Statements'!M12/'Forecast Financial Statements'!M5</f>
        <v/>
      </c>
      <c r="N8" s="36">
        <f>'Forecast Financial Statements'!N12/'Forecast Financial Statements'!N5</f>
        <v/>
      </c>
      <c r="O8" s="36">
        <f>'Forecast Financial Statements'!O12/'Forecast Financial Statements'!O5</f>
        <v/>
      </c>
    </row>
    <row r="9">
      <c r="A9" s="5" t="inlineStr">
        <is>
          <t>EBIT margin %</t>
        </is>
      </c>
      <c r="B9" s="36">
        <f>'Historical Financial Statements'!B14/'Historical Financial Statements'!B5</f>
        <v/>
      </c>
      <c r="C9" s="36">
        <f>'Historical Financial Statements'!C14/'Historical Financial Statements'!C5</f>
        <v/>
      </c>
      <c r="D9" s="36">
        <f>'Historical Financial Statements'!D14/'Historical Financial Statements'!D5</f>
        <v/>
      </c>
      <c r="E9" s="36">
        <f>'Historical Financial Statements'!E14/'Historical Financial Statements'!E5</f>
        <v/>
      </c>
      <c r="F9" s="36">
        <f>'Historical Financial Statements'!F14/'Historical Financial Statements'!F5</f>
        <v/>
      </c>
      <c r="G9" s="36">
        <f>'Historical Financial Statements'!G14/'Historical Financial Statements'!G5</f>
        <v/>
      </c>
      <c r="H9" s="36">
        <f>'Forecast Financial Statements'!H14/'Forecast Financial Statements'!H5</f>
        <v/>
      </c>
      <c r="I9" s="36">
        <f>'Forecast Financial Statements'!I14/'Forecast Financial Statements'!I5</f>
        <v/>
      </c>
      <c r="J9" s="36">
        <f>'Forecast Financial Statements'!J14/'Forecast Financial Statements'!J5</f>
        <v/>
      </c>
      <c r="K9" s="36">
        <f>'Forecast Financial Statements'!K14/'Forecast Financial Statements'!K5</f>
        <v/>
      </c>
      <c r="L9" s="36">
        <f>'Forecast Financial Statements'!L14/'Forecast Financial Statements'!L5</f>
        <v/>
      </c>
      <c r="M9" s="36">
        <f>'Forecast Financial Statements'!M14/'Forecast Financial Statements'!M5</f>
        <v/>
      </c>
      <c r="N9" s="36">
        <f>'Forecast Financial Statements'!N14/'Forecast Financial Statements'!N5</f>
        <v/>
      </c>
      <c r="O9" s="36">
        <f>'Forecast Financial Statements'!O14/'Forecast Financial Statements'!O5</f>
        <v/>
      </c>
    </row>
    <row r="10">
      <c r="A10" s="5" t="inlineStr">
        <is>
          <t>PAT margin %</t>
        </is>
      </c>
      <c r="B10" s="36">
        <f>'Historical Financial Statements'!B20/'Historical Financial Statements'!B5</f>
        <v/>
      </c>
      <c r="C10" s="36">
        <f>'Historical Financial Statements'!C20/'Historical Financial Statements'!C5</f>
        <v/>
      </c>
      <c r="D10" s="36">
        <f>'Historical Financial Statements'!D20/'Historical Financial Statements'!D5</f>
        <v/>
      </c>
      <c r="E10" s="36">
        <f>'Historical Financial Statements'!E20/'Historical Financial Statements'!E5</f>
        <v/>
      </c>
      <c r="F10" s="36">
        <f>'Historical Financial Statements'!F20/'Historical Financial Statements'!F5</f>
        <v/>
      </c>
      <c r="G10" s="36">
        <f>'Historical Financial Statements'!G20/'Historical Financial Statements'!G5</f>
        <v/>
      </c>
      <c r="H10" s="36">
        <f>'Forecast Financial Statements'!H20/'Forecast Financial Statements'!H5</f>
        <v/>
      </c>
      <c r="I10" s="36">
        <f>'Forecast Financial Statements'!I20/'Forecast Financial Statements'!I5</f>
        <v/>
      </c>
      <c r="J10" s="36">
        <f>'Forecast Financial Statements'!J20/'Forecast Financial Statements'!J5</f>
        <v/>
      </c>
      <c r="K10" s="36">
        <f>'Forecast Financial Statements'!K20/'Forecast Financial Statements'!K5</f>
        <v/>
      </c>
      <c r="L10" s="36">
        <f>'Forecast Financial Statements'!L20/'Forecast Financial Statements'!L5</f>
        <v/>
      </c>
      <c r="M10" s="36">
        <f>'Forecast Financial Statements'!M20/'Forecast Financial Statements'!M5</f>
        <v/>
      </c>
      <c r="N10" s="36">
        <f>'Forecast Financial Statements'!N20/'Forecast Financial Statements'!N5</f>
        <v/>
      </c>
      <c r="O10" s="36">
        <f>'Forecast Financial Statements'!O20/'Forecast Financial Statements'!O5</f>
        <v/>
      </c>
    </row>
    <row r="12">
      <c r="A12" s="11" t="inlineStr">
        <is>
          <t>Returns</t>
        </is>
      </c>
      <c r="B12" s="1" t="n"/>
      <c r="C12" s="1" t="n"/>
      <c r="D12" s="1" t="n"/>
      <c r="E12" s="1" t="n"/>
      <c r="F12" s="1" t="n"/>
      <c r="G12" s="1" t="n"/>
      <c r="H12" s="1" t="n"/>
      <c r="I12" s="1" t="n"/>
      <c r="J12" s="1" t="n"/>
      <c r="K12" s="1" t="n"/>
      <c r="L12" s="1" t="n"/>
      <c r="M12" s="1" t="n"/>
      <c r="N12" s="1" t="n"/>
      <c r="O12" s="1" t="n"/>
    </row>
    <row r="13">
      <c r="A13" s="5" t="inlineStr">
        <is>
          <t>ROE %</t>
        </is>
      </c>
      <c r="C13" s="36">
        <f>'Historical Financial Statements'!C20/((('Historical Financial Statements'!C33+'Historical Financial Statements'!C34)+('Historical Financial Statements'!B33+'Historical Financial Statements'!B34))/2)</f>
        <v/>
      </c>
      <c r="D13" s="36">
        <f>'Historical Financial Statements'!D20/((('Historical Financial Statements'!D33+'Historical Financial Statements'!D34)+('Historical Financial Statements'!C33+'Historical Financial Statements'!C34))/2)</f>
        <v/>
      </c>
      <c r="E13" s="36">
        <f>'Historical Financial Statements'!E20/((('Historical Financial Statements'!E33+'Historical Financial Statements'!E34)+('Historical Financial Statements'!D33+'Historical Financial Statements'!D34))/2)</f>
        <v/>
      </c>
      <c r="F13" s="36">
        <f>'Historical Financial Statements'!F20/((('Historical Financial Statements'!F33+'Historical Financial Statements'!F34)+('Historical Financial Statements'!E33+'Historical Financial Statements'!E34))/2)</f>
        <v/>
      </c>
      <c r="G13" s="36">
        <f>'Historical Financial Statements'!G20/((('Historical Financial Statements'!G33+'Historical Financial Statements'!G34)+('Historical Financial Statements'!F33+'Historical Financial Statements'!F34))/2)</f>
        <v/>
      </c>
      <c r="H13" s="36">
        <f>'Forecast Financial Statements'!H20/((('Forecast Financial Statements'!H28+'Forecast Financial Statements'!H29)+('Historical Financial Statements'!G33+'Historical Financial Statements'!G34))/2)</f>
        <v/>
      </c>
      <c r="I13" s="36">
        <f>'Forecast Financial Statements'!I20/((('Forecast Financial Statements'!I28+'Forecast Financial Statements'!I29)+('Forecast Financial Statements'!H28+'Forecast Financial Statements'!H29))/2)</f>
        <v/>
      </c>
      <c r="J13" s="36">
        <f>'Forecast Financial Statements'!J20/((('Forecast Financial Statements'!J28+'Forecast Financial Statements'!J29)+('Forecast Financial Statements'!I28+'Forecast Financial Statements'!I29))/2)</f>
        <v/>
      </c>
      <c r="K13" s="36">
        <f>'Forecast Financial Statements'!K20/((('Forecast Financial Statements'!K28+'Forecast Financial Statements'!K29)+('Forecast Financial Statements'!J28+'Forecast Financial Statements'!J29))/2)</f>
        <v/>
      </c>
      <c r="L13" s="36">
        <f>'Forecast Financial Statements'!L20/((('Forecast Financial Statements'!L28+'Forecast Financial Statements'!L29)+('Forecast Financial Statements'!K28+'Forecast Financial Statements'!K29))/2)</f>
        <v/>
      </c>
      <c r="M13" s="36">
        <f>'Forecast Financial Statements'!M20/((('Forecast Financial Statements'!M28+'Forecast Financial Statements'!M29)+('Forecast Financial Statements'!L28+'Forecast Financial Statements'!L29))/2)</f>
        <v/>
      </c>
      <c r="N13" s="36">
        <f>'Forecast Financial Statements'!N20/((('Forecast Financial Statements'!N28+'Forecast Financial Statements'!N29)+('Forecast Financial Statements'!M28+'Forecast Financial Statements'!M29))/2)</f>
        <v/>
      </c>
      <c r="O13" s="36">
        <f>'Forecast Financial Statements'!O20/((('Forecast Financial Statements'!O28+'Forecast Financial Statements'!O29)+('Forecast Financial Statements'!N28+'Forecast Financial Statements'!N29))/2)</f>
        <v/>
      </c>
    </row>
    <row r="14">
      <c r="A14" s="5" t="inlineStr">
        <is>
          <t>ROCE %</t>
        </is>
      </c>
      <c r="B14" s="36">
        <f>'Historical Financial Statements'!B14/(('Historical Financial Statements'!B33+'Historical Financial Statements'!B34)+'Historical Financial Statements'!B35)</f>
        <v/>
      </c>
      <c r="C14" s="36">
        <f>'Historical Financial Statements'!C14/(('Historical Financial Statements'!C33+'Historical Financial Statements'!C34)+'Historical Financial Statements'!C35)</f>
        <v/>
      </c>
      <c r="D14" s="36">
        <f>'Historical Financial Statements'!D14/(('Historical Financial Statements'!D33+'Historical Financial Statements'!D34)+'Historical Financial Statements'!D35)</f>
        <v/>
      </c>
      <c r="E14" s="36">
        <f>'Historical Financial Statements'!E14/(('Historical Financial Statements'!E33+'Historical Financial Statements'!E34)+'Historical Financial Statements'!E35)</f>
        <v/>
      </c>
      <c r="F14" s="36">
        <f>'Historical Financial Statements'!F14/(('Historical Financial Statements'!F33+'Historical Financial Statements'!F34)+'Historical Financial Statements'!F35)</f>
        <v/>
      </c>
      <c r="G14" s="36">
        <f>'Historical Financial Statements'!G14/(('Historical Financial Statements'!G33+'Historical Financial Statements'!G34)+'Historical Financial Statements'!G35)</f>
        <v/>
      </c>
      <c r="H14" s="36">
        <f>'Forecast Financial Statements'!H14/(('Forecast Financial Statements'!H28+'Forecast Financial Statements'!H29)+'Forecast Financial Statements'!H63)</f>
        <v/>
      </c>
      <c r="I14" s="36">
        <f>'Forecast Financial Statements'!I14/(('Forecast Financial Statements'!I28+'Forecast Financial Statements'!I29)+'Forecast Financial Statements'!I63)</f>
        <v/>
      </c>
      <c r="J14" s="36">
        <f>'Forecast Financial Statements'!J14/(('Forecast Financial Statements'!J28+'Forecast Financial Statements'!J29)+'Forecast Financial Statements'!J63)</f>
        <v/>
      </c>
      <c r="K14" s="36">
        <f>'Forecast Financial Statements'!K14/(('Forecast Financial Statements'!K28+'Forecast Financial Statements'!K29)+'Forecast Financial Statements'!K63)</f>
        <v/>
      </c>
      <c r="L14" s="36">
        <f>'Forecast Financial Statements'!L14/(('Forecast Financial Statements'!L28+'Forecast Financial Statements'!L29)+'Forecast Financial Statements'!L63)</f>
        <v/>
      </c>
      <c r="M14" s="36">
        <f>'Forecast Financial Statements'!M14/(('Forecast Financial Statements'!M28+'Forecast Financial Statements'!M29)+'Forecast Financial Statements'!M63)</f>
        <v/>
      </c>
      <c r="N14" s="36">
        <f>'Forecast Financial Statements'!N14/(('Forecast Financial Statements'!N28+'Forecast Financial Statements'!N29)+'Forecast Financial Statements'!N63)</f>
        <v/>
      </c>
      <c r="O14" s="36">
        <f>'Forecast Financial Statements'!O14/(('Forecast Financial Statements'!O28+'Forecast Financial Statements'!O29)+'Forecast Financial Statements'!O63)</f>
        <v/>
      </c>
    </row>
    <row r="15">
      <c r="A15" s="5" t="inlineStr">
        <is>
          <t>ROA %</t>
        </is>
      </c>
      <c r="B15" s="36">
        <f>'Historical Financial Statements'!B20/'Historical Financial Statements'!B32</f>
        <v/>
      </c>
      <c r="C15" s="36">
        <f>'Historical Financial Statements'!C20/'Historical Financial Statements'!C32</f>
        <v/>
      </c>
      <c r="D15" s="36">
        <f>'Historical Financial Statements'!D20/'Historical Financial Statements'!D32</f>
        <v/>
      </c>
      <c r="E15" s="36">
        <f>'Historical Financial Statements'!E20/'Historical Financial Statements'!E32</f>
        <v/>
      </c>
      <c r="F15" s="36">
        <f>'Historical Financial Statements'!F20/'Historical Financial Statements'!F32</f>
        <v/>
      </c>
      <c r="G15" s="36">
        <f>'Historical Financial Statements'!G20/'Historical Financial Statements'!G32</f>
        <v/>
      </c>
      <c r="H15" s="36">
        <f>'Forecast Financial Statements'!H20/'Forecast Financial Statements'!H61</f>
        <v/>
      </c>
      <c r="I15" s="36">
        <f>'Forecast Financial Statements'!I20/'Forecast Financial Statements'!I61</f>
        <v/>
      </c>
      <c r="J15" s="36">
        <f>'Forecast Financial Statements'!J20/'Forecast Financial Statements'!J61</f>
        <v/>
      </c>
      <c r="K15" s="36">
        <f>'Forecast Financial Statements'!K20/'Forecast Financial Statements'!K61</f>
        <v/>
      </c>
      <c r="L15" s="36">
        <f>'Forecast Financial Statements'!L20/'Forecast Financial Statements'!L61</f>
        <v/>
      </c>
      <c r="M15" s="36">
        <f>'Forecast Financial Statements'!M20/'Forecast Financial Statements'!M61</f>
        <v/>
      </c>
      <c r="N15" s="36">
        <f>'Forecast Financial Statements'!N20/'Forecast Financial Statements'!N61</f>
        <v/>
      </c>
      <c r="O15" s="36">
        <f>'Forecast Financial Statements'!O20/'Forecast Financial Statements'!O61</f>
        <v/>
      </c>
    </row>
    <row r="16">
      <c r="A16" s="5" t="inlineStr">
        <is>
          <t>Asset turnover (x)</t>
        </is>
      </c>
      <c r="B16" s="37">
        <f>'Historical Financial Statements'!B5/'Historical Financial Statements'!B32</f>
        <v/>
      </c>
      <c r="C16" s="37">
        <f>'Historical Financial Statements'!C5/'Historical Financial Statements'!C32</f>
        <v/>
      </c>
      <c r="D16" s="37">
        <f>'Historical Financial Statements'!D5/'Historical Financial Statements'!D32</f>
        <v/>
      </c>
      <c r="E16" s="37">
        <f>'Historical Financial Statements'!E5/'Historical Financial Statements'!E32</f>
        <v/>
      </c>
      <c r="F16" s="37">
        <f>'Historical Financial Statements'!F5/'Historical Financial Statements'!F32</f>
        <v/>
      </c>
      <c r="G16" s="37">
        <f>'Historical Financial Statements'!G5/'Historical Financial Statements'!G32</f>
        <v/>
      </c>
      <c r="H16" s="37">
        <f>'Forecast Financial Statements'!H5/'Forecast Financial Statements'!H61</f>
        <v/>
      </c>
      <c r="I16" s="37">
        <f>'Forecast Financial Statements'!I5/'Forecast Financial Statements'!I61</f>
        <v/>
      </c>
      <c r="J16" s="37">
        <f>'Forecast Financial Statements'!J5/'Forecast Financial Statements'!J61</f>
        <v/>
      </c>
      <c r="K16" s="37">
        <f>'Forecast Financial Statements'!K5/'Forecast Financial Statements'!K61</f>
        <v/>
      </c>
      <c r="L16" s="37">
        <f>'Forecast Financial Statements'!L5/'Forecast Financial Statements'!L61</f>
        <v/>
      </c>
      <c r="M16" s="37">
        <f>'Forecast Financial Statements'!M5/'Forecast Financial Statements'!M61</f>
        <v/>
      </c>
      <c r="N16" s="37">
        <f>'Forecast Financial Statements'!N5/'Forecast Financial Statements'!N61</f>
        <v/>
      </c>
      <c r="O16" s="37">
        <f>'Forecast Financial Statements'!O5/'Forecast Financial Statements'!O61</f>
        <v/>
      </c>
    </row>
    <row r="18">
      <c r="A18" s="11" t="inlineStr">
        <is>
          <t>Leverage &amp; coverage</t>
        </is>
      </c>
      <c r="B18" s="1" t="n"/>
      <c r="C18" s="1" t="n"/>
      <c r="D18" s="1" t="n"/>
      <c r="E18" s="1" t="n"/>
      <c r="F18" s="1" t="n"/>
      <c r="G18" s="1" t="n"/>
      <c r="H18" s="1" t="n"/>
      <c r="I18" s="1" t="n"/>
      <c r="J18" s="1" t="n"/>
      <c r="K18" s="1" t="n"/>
      <c r="L18" s="1" t="n"/>
      <c r="M18" s="1" t="n"/>
      <c r="N18" s="1" t="n"/>
      <c r="O18" s="1" t="n"/>
    </row>
    <row r="19">
      <c r="A19" s="5" t="inlineStr">
        <is>
          <t>Debt / equity (x)</t>
        </is>
      </c>
      <c r="B19" s="37">
        <f>'Historical Financial Statements'!B35/('Historical Financial Statements'!B33+'Historical Financial Statements'!B34)</f>
        <v/>
      </c>
      <c r="C19" s="37">
        <f>'Historical Financial Statements'!C35/('Historical Financial Statements'!C33+'Historical Financial Statements'!C34)</f>
        <v/>
      </c>
      <c r="D19" s="37">
        <f>'Historical Financial Statements'!D35/('Historical Financial Statements'!D33+'Historical Financial Statements'!D34)</f>
        <v/>
      </c>
      <c r="E19" s="37">
        <f>'Historical Financial Statements'!E35/('Historical Financial Statements'!E33+'Historical Financial Statements'!E34)</f>
        <v/>
      </c>
      <c r="F19" s="37">
        <f>'Historical Financial Statements'!F35/('Historical Financial Statements'!F33+'Historical Financial Statements'!F34)</f>
        <v/>
      </c>
      <c r="G19" s="37">
        <f>'Historical Financial Statements'!G35/('Historical Financial Statements'!G33+'Historical Financial Statements'!G34)</f>
        <v/>
      </c>
      <c r="H19" s="37">
        <f>'Forecast Financial Statements'!H63/('Forecast Financial Statements'!H28+'Forecast Financial Statements'!H29)</f>
        <v/>
      </c>
      <c r="I19" s="37">
        <f>'Forecast Financial Statements'!I63/('Forecast Financial Statements'!I28+'Forecast Financial Statements'!I29)</f>
        <v/>
      </c>
      <c r="J19" s="37">
        <f>'Forecast Financial Statements'!J63/('Forecast Financial Statements'!J28+'Forecast Financial Statements'!J29)</f>
        <v/>
      </c>
      <c r="K19" s="37">
        <f>'Forecast Financial Statements'!K63/('Forecast Financial Statements'!K28+'Forecast Financial Statements'!K29)</f>
        <v/>
      </c>
      <c r="L19" s="37">
        <f>'Forecast Financial Statements'!L63/('Forecast Financial Statements'!L28+'Forecast Financial Statements'!L29)</f>
        <v/>
      </c>
      <c r="M19" s="37">
        <f>'Forecast Financial Statements'!M63/('Forecast Financial Statements'!M28+'Forecast Financial Statements'!M29)</f>
        <v/>
      </c>
      <c r="N19" s="37">
        <f>'Forecast Financial Statements'!N63/('Forecast Financial Statements'!N28+'Forecast Financial Statements'!N29)</f>
        <v/>
      </c>
      <c r="O19" s="37">
        <f>'Forecast Financial Statements'!O63/('Forecast Financial Statements'!O28+'Forecast Financial Statements'!O29)</f>
        <v/>
      </c>
    </row>
    <row r="20">
      <c r="A20" s="5" t="inlineStr">
        <is>
          <t>Interest coverage (x)</t>
        </is>
      </c>
      <c r="B20" s="37">
        <f>'Historical Financial Statements'!B14/'Historical Financial Statements'!B16</f>
        <v/>
      </c>
      <c r="C20" s="37">
        <f>'Historical Financial Statements'!C14/'Historical Financial Statements'!C16</f>
        <v/>
      </c>
      <c r="D20" s="37">
        <f>'Historical Financial Statements'!D14/'Historical Financial Statements'!D16</f>
        <v/>
      </c>
      <c r="E20" s="37">
        <f>'Historical Financial Statements'!E14/'Historical Financial Statements'!E16</f>
        <v/>
      </c>
      <c r="F20" s="37">
        <f>'Historical Financial Statements'!F14/'Historical Financial Statements'!F16</f>
        <v/>
      </c>
      <c r="G20" s="37">
        <f>'Historical Financial Statements'!G14/'Historical Financial Statements'!G16</f>
        <v/>
      </c>
      <c r="H20" s="37">
        <f>'Forecast Financial Statements'!H14/'Forecast Financial Statements'!H16</f>
        <v/>
      </c>
      <c r="I20" s="37">
        <f>'Forecast Financial Statements'!I14/'Forecast Financial Statements'!I16</f>
        <v/>
      </c>
      <c r="J20" s="37">
        <f>'Forecast Financial Statements'!J14/'Forecast Financial Statements'!J16</f>
        <v/>
      </c>
      <c r="K20" s="37">
        <f>'Forecast Financial Statements'!K14/'Forecast Financial Statements'!K16</f>
        <v/>
      </c>
      <c r="L20" s="37">
        <f>'Forecast Financial Statements'!L14/'Forecast Financial Statements'!L16</f>
        <v/>
      </c>
      <c r="M20" s="37">
        <f>'Forecast Financial Statements'!M14/'Forecast Financial Statements'!M16</f>
        <v/>
      </c>
      <c r="N20" s="37">
        <f>'Forecast Financial Statements'!N14/'Forecast Financial Statements'!N16</f>
        <v/>
      </c>
      <c r="O20" s="37">
        <f>'Forecast Financial Statements'!O14/'Forecast Financial Statements'!O16</f>
        <v/>
      </c>
    </row>
    <row r="21">
      <c r="A21" s="5" t="inlineStr">
        <is>
          <t>Net debt / EBITDA (x)</t>
        </is>
      </c>
      <c r="H21" s="37">
        <f>('Forecast Financial Statements'!H63-'Forecast Financial Statements'!H58)/'Forecast Financial Statements'!H12</f>
        <v/>
      </c>
      <c r="I21" s="37">
        <f>('Forecast Financial Statements'!I63-'Forecast Financial Statements'!I58)/'Forecast Financial Statements'!I12</f>
        <v/>
      </c>
      <c r="J21" s="37">
        <f>('Forecast Financial Statements'!J63-'Forecast Financial Statements'!J58)/'Forecast Financial Statements'!J12</f>
        <v/>
      </c>
      <c r="K21" s="37">
        <f>('Forecast Financial Statements'!K63-'Forecast Financial Statements'!K58)/'Forecast Financial Statements'!K12</f>
        <v/>
      </c>
      <c r="L21" s="37">
        <f>('Forecast Financial Statements'!L63-'Forecast Financial Statements'!L58)/'Forecast Financial Statements'!L12</f>
        <v/>
      </c>
      <c r="M21" s="37">
        <f>('Forecast Financial Statements'!M63-'Forecast Financial Statements'!M58)/'Forecast Financial Statements'!M12</f>
        <v/>
      </c>
      <c r="N21" s="37">
        <f>('Forecast Financial Statements'!N63-'Forecast Financial Statements'!N58)/'Forecast Financial Statements'!N12</f>
        <v/>
      </c>
      <c r="O21" s="37">
        <f>('Forecast Financial Statements'!O63-'Forecast Financial Statements'!O58)/'Forecast Financial Statements'!O12</f>
        <v/>
      </c>
    </row>
    <row r="23">
      <c r="A23" s="11" t="inlineStr">
        <is>
          <t>Per share &amp; payout</t>
        </is>
      </c>
      <c r="B23" s="1" t="n"/>
      <c r="C23" s="1" t="n"/>
      <c r="D23" s="1" t="n"/>
      <c r="E23" s="1" t="n"/>
      <c r="F23" s="1" t="n"/>
      <c r="G23" s="1" t="n"/>
      <c r="H23" s="1" t="n"/>
      <c r="I23" s="1" t="n"/>
      <c r="J23" s="1" t="n"/>
      <c r="K23" s="1" t="n"/>
      <c r="L23" s="1" t="n"/>
      <c r="M23" s="1" t="n"/>
      <c r="N23" s="1" t="n"/>
      <c r="O23" s="1" t="n"/>
    </row>
    <row r="24">
      <c r="A24" s="5" t="inlineStr">
        <is>
          <t>EPS (INR)</t>
        </is>
      </c>
      <c r="B24" s="65">
        <f>'Historical Financial Statements'!B21</f>
        <v/>
      </c>
      <c r="C24" s="65">
        <f>'Historical Financial Statements'!C21</f>
        <v/>
      </c>
      <c r="D24" s="65">
        <f>'Historical Financial Statements'!D21</f>
        <v/>
      </c>
      <c r="E24" s="65">
        <f>'Historical Financial Statements'!E21</f>
        <v/>
      </c>
      <c r="F24" s="65">
        <f>'Historical Financial Statements'!F21</f>
        <v/>
      </c>
      <c r="G24" s="65">
        <f>'Historical Financial Statements'!G21</f>
        <v/>
      </c>
      <c r="H24" s="65">
        <f>'Forecast Financial Statements'!H21</f>
        <v/>
      </c>
      <c r="I24" s="65">
        <f>'Forecast Financial Statements'!I21</f>
        <v/>
      </c>
      <c r="J24" s="65">
        <f>'Forecast Financial Statements'!J21</f>
        <v/>
      </c>
      <c r="K24" s="65">
        <f>'Forecast Financial Statements'!K21</f>
        <v/>
      </c>
      <c r="L24" s="65">
        <f>'Forecast Financial Statements'!L21</f>
        <v/>
      </c>
      <c r="M24" s="65">
        <f>'Forecast Financial Statements'!M21</f>
        <v/>
      </c>
      <c r="N24" s="65">
        <f>'Forecast Financial Statements'!N21</f>
        <v/>
      </c>
      <c r="O24" s="65">
        <f>'Forecast Financial Statements'!O21</f>
        <v/>
      </c>
    </row>
    <row r="25">
      <c r="A25" s="5" t="inlineStr">
        <is>
          <t>DPS (INR)</t>
        </is>
      </c>
      <c r="B25" s="65">
        <f>'Historical Financial Statements'!B22/'Assumptions'!C68</f>
        <v/>
      </c>
      <c r="C25" s="65">
        <f>'Historical Financial Statements'!C22/'Assumptions'!C68</f>
        <v/>
      </c>
      <c r="D25" s="65">
        <f>'Historical Financial Statements'!D22/'Assumptions'!C68</f>
        <v/>
      </c>
      <c r="E25" s="65">
        <f>'Historical Financial Statements'!E22/'Assumptions'!C68</f>
        <v/>
      </c>
      <c r="F25" s="65">
        <f>'Historical Financial Statements'!F22/'Assumptions'!C68</f>
        <v/>
      </c>
      <c r="G25" s="65">
        <f>'Historical Financial Statements'!G22/'Assumptions'!C68</f>
        <v/>
      </c>
      <c r="H25" s="65">
        <f>'Forecast Financial Statements'!H22/'Assumptions'!C68</f>
        <v/>
      </c>
      <c r="I25" s="65">
        <f>'Forecast Financial Statements'!I22/'Assumptions'!C68</f>
        <v/>
      </c>
      <c r="J25" s="65">
        <f>'Forecast Financial Statements'!J22/'Assumptions'!C68</f>
        <v/>
      </c>
      <c r="K25" s="65">
        <f>'Forecast Financial Statements'!K22/'Assumptions'!C68</f>
        <v/>
      </c>
      <c r="L25" s="65">
        <f>'Forecast Financial Statements'!L22/'Assumptions'!C68</f>
        <v/>
      </c>
      <c r="M25" s="65">
        <f>'Forecast Financial Statements'!M22/'Assumptions'!C68</f>
        <v/>
      </c>
      <c r="N25" s="65">
        <f>'Forecast Financial Statements'!N22/'Assumptions'!C68</f>
        <v/>
      </c>
      <c r="O25" s="65">
        <f>'Forecast Financial Statements'!O22/'Assumptions'!C68</f>
        <v/>
      </c>
    </row>
    <row r="26">
      <c r="A26" s="5" t="inlineStr">
        <is>
          <t>Dividend payout %</t>
        </is>
      </c>
      <c r="B26" s="36">
        <f>IF('Historical Financial Statements'!B20=0,0,'Historical Financial Statements'!B22/'Historical Financial Statements'!B20)</f>
        <v/>
      </c>
      <c r="C26" s="36">
        <f>IF('Historical Financial Statements'!C20=0,0,'Historical Financial Statements'!C22/'Historical Financial Statements'!C20)</f>
        <v/>
      </c>
      <c r="D26" s="36">
        <f>IF('Historical Financial Statements'!D20=0,0,'Historical Financial Statements'!D22/'Historical Financial Statements'!D20)</f>
        <v/>
      </c>
      <c r="E26" s="36">
        <f>IF('Historical Financial Statements'!E20=0,0,'Historical Financial Statements'!E22/'Historical Financial Statements'!E20)</f>
        <v/>
      </c>
      <c r="F26" s="36">
        <f>IF('Historical Financial Statements'!F20=0,0,'Historical Financial Statements'!F22/'Historical Financial Statements'!F20)</f>
        <v/>
      </c>
      <c r="G26" s="36">
        <f>IF('Historical Financial Statements'!G20=0,0,'Historical Financial Statements'!G22/'Historical Financial Statements'!G20)</f>
        <v/>
      </c>
      <c r="H26" s="36">
        <f>IF('Forecast Financial Statements'!H20=0,0,'Forecast Financial Statements'!H22/'Forecast Financial Statements'!H20)</f>
        <v/>
      </c>
      <c r="I26" s="36">
        <f>IF('Forecast Financial Statements'!I20=0,0,'Forecast Financial Statements'!I22/'Forecast Financial Statements'!I20)</f>
        <v/>
      </c>
      <c r="J26" s="36">
        <f>IF('Forecast Financial Statements'!J20=0,0,'Forecast Financial Statements'!J22/'Forecast Financial Statements'!J20)</f>
        <v/>
      </c>
      <c r="K26" s="36">
        <f>IF('Forecast Financial Statements'!K20=0,0,'Forecast Financial Statements'!K22/'Forecast Financial Statements'!K20)</f>
        <v/>
      </c>
      <c r="L26" s="36">
        <f>IF('Forecast Financial Statements'!L20=0,0,'Forecast Financial Statements'!L22/'Forecast Financial Statements'!L20)</f>
        <v/>
      </c>
      <c r="M26" s="36">
        <f>IF('Forecast Financial Statements'!M20=0,0,'Forecast Financial Statements'!M22/'Forecast Financial Statements'!M20)</f>
        <v/>
      </c>
      <c r="N26" s="36">
        <f>IF('Forecast Financial Statements'!N20=0,0,'Forecast Financial Statements'!N22/'Forecast Financial Statements'!N20)</f>
        <v/>
      </c>
      <c r="O26" s="36">
        <f>IF('Forecast Financial Statements'!O20=0,0,'Forecast Financial Statements'!O22/'Forecast Financial Statements'!O20)</f>
        <v/>
      </c>
    </row>
    <row r="27">
      <c r="A27" s="5" t="inlineStr">
        <is>
          <t>Book value per share (INR)</t>
        </is>
      </c>
      <c r="B27" s="65">
        <f>('Historical Financial Statements'!B33+'Historical Financial Statements'!B34)/'Assumptions'!C68</f>
        <v/>
      </c>
      <c r="C27" s="65">
        <f>('Historical Financial Statements'!C33+'Historical Financial Statements'!C34)/'Assumptions'!C68</f>
        <v/>
      </c>
      <c r="D27" s="65">
        <f>('Historical Financial Statements'!D33+'Historical Financial Statements'!D34)/'Assumptions'!C68</f>
        <v/>
      </c>
      <c r="E27" s="65">
        <f>('Historical Financial Statements'!E33+'Historical Financial Statements'!E34)/'Assumptions'!C68</f>
        <v/>
      </c>
      <c r="F27" s="65">
        <f>('Historical Financial Statements'!F33+'Historical Financial Statements'!F34)/'Assumptions'!C68</f>
        <v/>
      </c>
      <c r="G27" s="65">
        <f>('Historical Financial Statements'!G33+'Historical Financial Statements'!G34)/'Assumptions'!C68</f>
        <v/>
      </c>
      <c r="H27" s="65">
        <f>('Forecast Financial Statements'!H28+'Forecast Financial Statements'!H29)/'Assumptions'!C68</f>
        <v/>
      </c>
      <c r="I27" s="65">
        <f>('Forecast Financial Statements'!I28+'Forecast Financial Statements'!I29)/'Assumptions'!C68</f>
        <v/>
      </c>
      <c r="J27" s="65">
        <f>('Forecast Financial Statements'!J28+'Forecast Financial Statements'!J29)/'Assumptions'!C68</f>
        <v/>
      </c>
      <c r="K27" s="65">
        <f>('Forecast Financial Statements'!K28+'Forecast Financial Statements'!K29)/'Assumptions'!C68</f>
        <v/>
      </c>
      <c r="L27" s="65">
        <f>('Forecast Financial Statements'!L28+'Forecast Financial Statements'!L29)/'Assumptions'!C68</f>
        <v/>
      </c>
      <c r="M27" s="65">
        <f>('Forecast Financial Statements'!M28+'Forecast Financial Statements'!M29)/'Assumptions'!C68</f>
        <v/>
      </c>
      <c r="N27" s="65">
        <f>('Forecast Financial Statements'!N28+'Forecast Financial Statements'!N29)/'Assumptions'!C68</f>
        <v/>
      </c>
      <c r="O27" s="65">
        <f>('Forecast Financial Statements'!O28+'Forecast Financial Statements'!O29)/'Assumptions'!C68</f>
        <v/>
      </c>
    </row>
    <row r="29">
      <c r="A29" s="11" t="inlineStr">
        <is>
          <t>Working capital &amp; cash flow (forecast)</t>
        </is>
      </c>
      <c r="B29" s="1" t="n"/>
      <c r="C29" s="1" t="n"/>
      <c r="D29" s="1" t="n"/>
      <c r="E29" s="1" t="n"/>
      <c r="F29" s="1" t="n"/>
      <c r="G29" s="1" t="n"/>
      <c r="H29" s="1" t="n"/>
      <c r="I29" s="1" t="n"/>
      <c r="J29" s="1" t="n"/>
      <c r="K29" s="1" t="n"/>
      <c r="L29" s="1" t="n"/>
      <c r="M29" s="1" t="n"/>
      <c r="N29" s="1" t="n"/>
      <c r="O29" s="1" t="n"/>
    </row>
    <row r="30">
      <c r="A30" s="5" t="inlineStr">
        <is>
          <t>Receivable days</t>
        </is>
      </c>
      <c r="H30" s="66">
        <f>'Forecast Financial Statements'!H55/'Forecast Financial Statements'!H5*365</f>
        <v/>
      </c>
      <c r="I30" s="66">
        <f>'Forecast Financial Statements'!I55/'Forecast Financial Statements'!I5*365</f>
        <v/>
      </c>
      <c r="J30" s="66">
        <f>'Forecast Financial Statements'!J55/'Forecast Financial Statements'!J5*365</f>
        <v/>
      </c>
      <c r="K30" s="66">
        <f>'Forecast Financial Statements'!K55/'Forecast Financial Statements'!K5*365</f>
        <v/>
      </c>
      <c r="L30" s="66">
        <f>'Forecast Financial Statements'!L55/'Forecast Financial Statements'!L5*365</f>
        <v/>
      </c>
      <c r="M30" s="66">
        <f>'Forecast Financial Statements'!M55/'Forecast Financial Statements'!M5*365</f>
        <v/>
      </c>
      <c r="N30" s="66">
        <f>'Forecast Financial Statements'!N55/'Forecast Financial Statements'!N5*365</f>
        <v/>
      </c>
      <c r="O30" s="66">
        <f>'Forecast Financial Statements'!O55/'Forecast Financial Statements'!O5*365</f>
        <v/>
      </c>
    </row>
    <row r="31">
      <c r="A31" s="5" t="inlineStr">
        <is>
          <t>Inventory days</t>
        </is>
      </c>
      <c r="I31" s="66">
        <f>'Forecast Financial Statements'!I56/'Cost Forecast'!I24*365</f>
        <v/>
      </c>
      <c r="J31" s="66">
        <f>'Forecast Financial Statements'!J56/'Cost Forecast'!J24*365</f>
        <v/>
      </c>
      <c r="K31" s="66">
        <f>'Forecast Financial Statements'!K56/'Cost Forecast'!K24*365</f>
        <v/>
      </c>
      <c r="L31" s="66">
        <f>'Forecast Financial Statements'!L56/'Cost Forecast'!L24*365</f>
        <v/>
      </c>
      <c r="M31" s="66">
        <f>'Forecast Financial Statements'!M56/'Cost Forecast'!M24*365</f>
        <v/>
      </c>
      <c r="N31" s="66">
        <f>'Forecast Financial Statements'!N56/'Cost Forecast'!N24*365</f>
        <v/>
      </c>
      <c r="O31" s="66">
        <f>'Forecast Financial Statements'!O56/'Cost Forecast'!O24*365</f>
        <v/>
      </c>
    </row>
    <row r="32">
      <c r="A32" s="5" t="inlineStr">
        <is>
          <t>Payable days</t>
        </is>
      </c>
      <c r="I32" s="66">
        <f>'Forecast Financial Statements'!I38/'Cost Forecast'!I24*365</f>
        <v/>
      </c>
      <c r="J32" s="66">
        <f>'Forecast Financial Statements'!J38/'Cost Forecast'!J24*365</f>
        <v/>
      </c>
      <c r="K32" s="66">
        <f>'Forecast Financial Statements'!K38/'Cost Forecast'!K24*365</f>
        <v/>
      </c>
      <c r="L32" s="66">
        <f>'Forecast Financial Statements'!L38/'Cost Forecast'!L24*365</f>
        <v/>
      </c>
      <c r="M32" s="66">
        <f>'Forecast Financial Statements'!M38/'Cost Forecast'!M24*365</f>
        <v/>
      </c>
      <c r="N32" s="66">
        <f>'Forecast Financial Statements'!N38/'Cost Forecast'!N24*365</f>
        <v/>
      </c>
      <c r="O32" s="66">
        <f>'Forecast Financial Statements'!O38/'Cost Forecast'!O24*365</f>
        <v/>
      </c>
    </row>
    <row r="33">
      <c r="A33" s="5" t="inlineStr">
        <is>
          <t>FCFF (INR Cr)</t>
        </is>
      </c>
      <c r="I33" s="43">
        <f>'DCF Valuation'!I12</f>
        <v/>
      </c>
      <c r="J33" s="43">
        <f>'DCF Valuation'!J12</f>
        <v/>
      </c>
      <c r="K33" s="43">
        <f>'DCF Valuation'!K12</f>
        <v/>
      </c>
      <c r="L33" s="43">
        <f>'DCF Valuation'!L12</f>
        <v/>
      </c>
      <c r="M33" s="43">
        <f>'DCF Valuation'!M12</f>
        <v/>
      </c>
      <c r="N33" s="43">
        <f>'DCF Valuation'!N12</f>
        <v/>
      </c>
      <c r="O33" s="43">
        <f>'DCF Valuation'!O12</f>
        <v/>
      </c>
    </row>
    <row r="34">
      <c r="A34" s="5" t="inlineStr">
        <is>
          <t>Capex / sales %</t>
        </is>
      </c>
      <c r="I34" s="36">
        <f>'Assumptions'!I35/'Forecast Financial Statements'!I5</f>
        <v/>
      </c>
      <c r="J34" s="36">
        <f>'Assumptions'!J35/'Forecast Financial Statements'!J5</f>
        <v/>
      </c>
      <c r="K34" s="36">
        <f>'Assumptions'!K35/'Forecast Financial Statements'!K5</f>
        <v/>
      </c>
      <c r="L34" s="36">
        <f>'Assumptions'!L35/'Forecast Financial Statements'!L5</f>
        <v/>
      </c>
      <c r="M34" s="36">
        <f>'Assumptions'!M35/'Forecast Financial Statements'!M5</f>
        <v/>
      </c>
      <c r="N34" s="36">
        <f>'Assumptions'!N35/'Forecast Financial Statements'!N5</f>
        <v/>
      </c>
      <c r="O34" s="36">
        <f>'Assumptions'!O35/'Forecast Financial Statements'!O5</f>
        <v/>
      </c>
    </row>
    <row r="35">
      <c r="A35" s="5" t="inlineStr">
        <is>
          <t>FCFE (INR Cr)</t>
        </is>
      </c>
      <c r="I35" s="43">
        <f>'DCF Valuation'!I12-'Forecast Financial Statements'!I16*(1-'Assumptions'!I48)+'Debt Schedule'!I7+'Debt Schedule'!I8</f>
        <v/>
      </c>
      <c r="J35" s="43">
        <f>'DCF Valuation'!J12-'Forecast Financial Statements'!J16*(1-'Assumptions'!J48)+'Debt Schedule'!J7+'Debt Schedule'!J8</f>
        <v/>
      </c>
      <c r="K35" s="43">
        <f>'DCF Valuation'!K12-'Forecast Financial Statements'!K16*(1-'Assumptions'!K48)+'Debt Schedule'!K7+'Debt Schedule'!K8</f>
        <v/>
      </c>
      <c r="L35" s="43">
        <f>'DCF Valuation'!L12-'Forecast Financial Statements'!L16*(1-'Assumptions'!L48)+'Debt Schedule'!L7+'Debt Schedule'!L8</f>
        <v/>
      </c>
      <c r="M35" s="43">
        <f>'DCF Valuation'!M12-'Forecast Financial Statements'!M16*(1-'Assumptions'!M48)+'Debt Schedule'!M7+'Debt Schedule'!M8</f>
        <v/>
      </c>
      <c r="N35" s="43">
        <f>'DCF Valuation'!N12-'Forecast Financial Statements'!N16*(1-'Assumptions'!N48)+'Debt Schedule'!N7+'Debt Schedule'!N8</f>
        <v/>
      </c>
      <c r="O35" s="43">
        <f>'DCF Valuation'!O12-'Forecast Financial Statements'!O16*(1-'Assumptions'!O48)+'Debt Schedule'!O7+'Debt Schedule'!O8</f>
        <v/>
      </c>
    </row>
  </sheetData>
  <pageMargins left="0.75" right="0.75" top="1" bottom="1" header="0.5" footer="0.5"/>
</worksheet>
</file>

<file path=xl/worksheets/sheet19.xml><?xml version="1.0" encoding="utf-8"?>
<worksheet xmlns="http://schemas.openxmlformats.org/spreadsheetml/2006/main">
  <sheetPr>
    <tabColor rgb="00548235"/>
    <outlinePr summaryBelow="1" summaryRight="1"/>
    <pageSetUpPr/>
  </sheetPr>
  <dimension ref="A1:O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6"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DCF VALUATION</t>
        </is>
      </c>
      <c r="B1" s="1" t="n"/>
      <c r="C1" s="1" t="n"/>
      <c r="D1" s="1" t="n"/>
      <c r="E1" s="1" t="n"/>
      <c r="F1" s="1" t="n"/>
      <c r="G1" s="1" t="n"/>
      <c r="H1" s="1" t="n"/>
      <c r="I1" s="1" t="n"/>
      <c r="J1" s="1" t="n"/>
      <c r="K1" s="1" t="n"/>
      <c r="L1" s="1" t="n"/>
      <c r="M1" s="1" t="n"/>
      <c r="N1" s="1" t="n"/>
      <c r="O1" s="1" t="n"/>
    </row>
    <row r="2">
      <c r="A2" s="13" t="inlineStr">
        <is>
          <t>Free Cash Flow to Firm (FCFF) valuation; WACC computed dynamically on Assumptions.</t>
        </is>
      </c>
    </row>
    <row r="4">
      <c r="A4" s="14" t="inlineStr">
        <is>
          <t>INR Crore</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11" t="inlineStr">
        <is>
          <t>A.  Unlevered free cash flow</t>
        </is>
      </c>
      <c r="B5" s="1" t="n"/>
      <c r="C5" s="1" t="n"/>
      <c r="D5" s="1" t="n"/>
      <c r="E5" s="1" t="n"/>
      <c r="F5" s="1" t="n"/>
      <c r="G5" s="1" t="n"/>
      <c r="H5" s="1" t="n"/>
      <c r="I5" s="1" t="n"/>
      <c r="J5" s="1" t="n"/>
      <c r="K5" s="1" t="n"/>
      <c r="L5" s="1" t="n"/>
      <c r="M5" s="1" t="n"/>
      <c r="N5" s="1" t="n"/>
      <c r="O5" s="1" t="n"/>
    </row>
    <row r="6">
      <c r="A6" s="4" t="inlineStr">
        <is>
          <t>EBIT</t>
        </is>
      </c>
      <c r="I6" s="43">
        <f>'Forecast Financial Statements'!I14</f>
        <v/>
      </c>
      <c r="J6" s="43">
        <f>'Forecast Financial Statements'!J14</f>
        <v/>
      </c>
      <c r="K6" s="43">
        <f>'Forecast Financial Statements'!K14</f>
        <v/>
      </c>
      <c r="L6" s="43">
        <f>'Forecast Financial Statements'!L14</f>
        <v/>
      </c>
      <c r="M6" s="43">
        <f>'Forecast Financial Statements'!M14</f>
        <v/>
      </c>
      <c r="N6" s="43">
        <f>'Forecast Financial Statements'!N14</f>
        <v/>
      </c>
      <c r="O6" s="43">
        <f>'Forecast Financial Statements'!O14</f>
        <v/>
      </c>
    </row>
    <row r="7">
      <c r="A7" s="5" t="inlineStr">
        <is>
          <t xml:space="preserve">   Less: cash taxes on EBIT</t>
        </is>
      </c>
      <c r="I7" s="33">
        <f>-I6*'Assumptions'!I48</f>
        <v/>
      </c>
      <c r="J7" s="33">
        <f>-J6*'Assumptions'!J48</f>
        <v/>
      </c>
      <c r="K7" s="33">
        <f>-K6*'Assumptions'!K48</f>
        <v/>
      </c>
      <c r="L7" s="33">
        <f>-L6*'Assumptions'!L48</f>
        <v/>
      </c>
      <c r="M7" s="33">
        <f>-M6*'Assumptions'!M48</f>
        <v/>
      </c>
      <c r="N7" s="33">
        <f>-N6*'Assumptions'!N48</f>
        <v/>
      </c>
      <c r="O7" s="33">
        <f>-O6*'Assumptions'!O48</f>
        <v/>
      </c>
    </row>
    <row r="8">
      <c r="A8" s="4" t="inlineStr">
        <is>
          <t>NOPAT</t>
        </is>
      </c>
      <c r="I8" s="33">
        <f>I6+I7</f>
        <v/>
      </c>
      <c r="J8" s="33">
        <f>J6+J7</f>
        <v/>
      </c>
      <c r="K8" s="33">
        <f>K6+K7</f>
        <v/>
      </c>
      <c r="L8" s="33">
        <f>L6+L7</f>
        <v/>
      </c>
      <c r="M8" s="33">
        <f>M6+M7</f>
        <v/>
      </c>
      <c r="N8" s="33">
        <f>N6+N7</f>
        <v/>
      </c>
      <c r="O8" s="33">
        <f>O6+O7</f>
        <v/>
      </c>
    </row>
    <row r="9">
      <c r="A9" s="5" t="inlineStr">
        <is>
          <t xml:space="preserve">   Add: depreciation &amp; amortisation</t>
        </is>
      </c>
      <c r="I9" s="43">
        <f>'Depreciation Schedule'!I8</f>
        <v/>
      </c>
      <c r="J9" s="43">
        <f>'Depreciation Schedule'!J8</f>
        <v/>
      </c>
      <c r="K9" s="43">
        <f>'Depreciation Schedule'!K8</f>
        <v/>
      </c>
      <c r="L9" s="43">
        <f>'Depreciation Schedule'!L8</f>
        <v/>
      </c>
      <c r="M9" s="43">
        <f>'Depreciation Schedule'!M8</f>
        <v/>
      </c>
      <c r="N9" s="43">
        <f>'Depreciation Schedule'!N8</f>
        <v/>
      </c>
      <c r="O9" s="43">
        <f>'Depreciation Schedule'!O8</f>
        <v/>
      </c>
    </row>
    <row r="10">
      <c r="A10" s="5" t="inlineStr">
        <is>
          <t xml:space="preserve">   Less: capital expenditure</t>
        </is>
      </c>
      <c r="I10" s="43">
        <f>-'Assumptions'!I35</f>
        <v/>
      </c>
      <c r="J10" s="43">
        <f>-'Assumptions'!J35</f>
        <v/>
      </c>
      <c r="K10" s="43">
        <f>-'Assumptions'!K35</f>
        <v/>
      </c>
      <c r="L10" s="43">
        <f>-'Assumptions'!L35</f>
        <v/>
      </c>
      <c r="M10" s="43">
        <f>-'Assumptions'!M35</f>
        <v/>
      </c>
      <c r="N10" s="43">
        <f>-'Assumptions'!N35</f>
        <v/>
      </c>
      <c r="O10" s="43">
        <f>-'Assumptions'!O35</f>
        <v/>
      </c>
    </row>
    <row r="11">
      <c r="A11" s="5" t="inlineStr">
        <is>
          <t xml:space="preserve">   Add/(less): change in operating working capital</t>
        </is>
      </c>
      <c r="I11" s="43">
        <f>'Working Capital Schedule'!I18</f>
        <v/>
      </c>
      <c r="J11" s="43">
        <f>'Working Capital Schedule'!J18</f>
        <v/>
      </c>
      <c r="K11" s="43">
        <f>'Working Capital Schedule'!K18</f>
        <v/>
      </c>
      <c r="L11" s="43">
        <f>'Working Capital Schedule'!L18</f>
        <v/>
      </c>
      <c r="M11" s="43">
        <f>'Working Capital Schedule'!M18</f>
        <v/>
      </c>
      <c r="N11" s="43">
        <f>'Working Capital Schedule'!N18</f>
        <v/>
      </c>
      <c r="O11" s="43">
        <f>'Working Capital Schedule'!O18</f>
        <v/>
      </c>
    </row>
    <row r="12">
      <c r="A12" s="4" t="inlineStr">
        <is>
          <t>Free cash flow to firm (FCFF)</t>
        </is>
      </c>
      <c r="I12" s="44">
        <f>I8+I9+I10+I11</f>
        <v/>
      </c>
      <c r="J12" s="44">
        <f>J8+J9+J10+J11</f>
        <v/>
      </c>
      <c r="K12" s="44">
        <f>K8+K9+K10+K11</f>
        <v/>
      </c>
      <c r="L12" s="44">
        <f>L8+L9+L10+L11</f>
        <v/>
      </c>
      <c r="M12" s="44">
        <f>M8+M9+M10+M11</f>
        <v/>
      </c>
      <c r="N12" s="44">
        <f>N8+N9+N10+N11</f>
        <v/>
      </c>
      <c r="O12" s="44">
        <f>O8+O9+O10+O11</f>
        <v/>
      </c>
    </row>
    <row r="13">
      <c r="A13" s="5" t="inlineStr">
        <is>
          <t>Discount period (years)</t>
        </is>
      </c>
      <c r="I13" s="67" t="n">
        <v>1</v>
      </c>
      <c r="J13" s="67" t="n">
        <v>2</v>
      </c>
      <c r="K13" s="67" t="n">
        <v>3</v>
      </c>
      <c r="L13" s="67" t="n">
        <v>4</v>
      </c>
      <c r="M13" s="67" t="n">
        <v>5</v>
      </c>
      <c r="N13" s="67" t="n">
        <v>6</v>
      </c>
      <c r="O13" s="67" t="n">
        <v>7</v>
      </c>
    </row>
    <row r="14">
      <c r="A14" s="5" t="inlineStr">
        <is>
          <t>Discount factor @ WACC</t>
        </is>
      </c>
      <c r="I14" s="68">
        <f>1/(1+'Assumptions'!C67)^I13</f>
        <v/>
      </c>
      <c r="J14" s="68">
        <f>1/(1+'Assumptions'!C67)^J13</f>
        <v/>
      </c>
      <c r="K14" s="68">
        <f>1/(1+'Assumptions'!C67)^K13</f>
        <v/>
      </c>
      <c r="L14" s="68">
        <f>1/(1+'Assumptions'!C67)^L13</f>
        <v/>
      </c>
      <c r="M14" s="68">
        <f>1/(1+'Assumptions'!C67)^M13</f>
        <v/>
      </c>
      <c r="N14" s="68">
        <f>1/(1+'Assumptions'!C67)^N13</f>
        <v/>
      </c>
      <c r="O14" s="68">
        <f>1/(1+'Assumptions'!C67)^O13</f>
        <v/>
      </c>
    </row>
    <row r="15">
      <c r="A15" s="4" t="inlineStr">
        <is>
          <t>PV of FCFF</t>
        </is>
      </c>
      <c r="I15" s="44">
        <f>I12*I14</f>
        <v/>
      </c>
      <c r="J15" s="44">
        <f>J12*J14</f>
        <v/>
      </c>
      <c r="K15" s="44">
        <f>K12*K14</f>
        <v/>
      </c>
      <c r="L15" s="44">
        <f>L12*L14</f>
        <v/>
      </c>
      <c r="M15" s="44">
        <f>M12*M14</f>
        <v/>
      </c>
      <c r="N15" s="44">
        <f>N12*N14</f>
        <v/>
      </c>
      <c r="O15" s="44">
        <f>O12*O14</f>
        <v/>
      </c>
    </row>
    <row r="17">
      <c r="A17" s="11" t="inlineStr">
        <is>
          <t>B.  Enterprise &amp; equity value</t>
        </is>
      </c>
      <c r="B17" s="1" t="n"/>
      <c r="C17" s="1" t="n"/>
      <c r="D17" s="1" t="n"/>
      <c r="E17" s="1" t="n"/>
      <c r="F17" s="1" t="n"/>
      <c r="G17" s="1" t="n"/>
      <c r="H17" s="1" t="n"/>
      <c r="I17" s="1" t="n"/>
      <c r="J17" s="1" t="n"/>
      <c r="K17" s="1" t="n"/>
      <c r="L17" s="1" t="n"/>
      <c r="M17" s="1" t="n"/>
      <c r="N17" s="1" t="n"/>
      <c r="O17" s="1" t="n"/>
    </row>
    <row r="18">
      <c r="A18" s="4" t="inlineStr">
        <is>
          <t>Sum of PV of explicit FCFF (FY27-33)</t>
        </is>
      </c>
      <c r="C18" s="59">
        <f>SUM(I15:O15)</f>
        <v/>
      </c>
    </row>
    <row r="19">
      <c r="A19" s="5" t="inlineStr">
        <is>
          <t>WACC</t>
        </is>
      </c>
      <c r="C19" s="69">
        <f>'Assumptions'!C67</f>
        <v/>
      </c>
    </row>
    <row r="20">
      <c r="A20" s="5" t="inlineStr">
        <is>
          <t>Terminal growth rate (g)</t>
        </is>
      </c>
      <c r="C20" s="69">
        <f>'Assumptions'!C65</f>
        <v/>
      </c>
    </row>
    <row r="21">
      <c r="A21" s="5" t="inlineStr">
        <is>
          <t>Terminal value (Gordon growth, normalized WC)</t>
        </is>
      </c>
      <c r="C21" s="59">
        <f>(O8+O9+O10-C20*'Working Capital Schedule'!O17)*(1+C20)/(C19-C20)</f>
        <v/>
      </c>
    </row>
    <row r="22">
      <c r="A22" s="5" t="inlineStr">
        <is>
          <t>PV of terminal value</t>
        </is>
      </c>
      <c r="C22" s="59">
        <f>C21*O14</f>
        <v/>
      </c>
    </row>
    <row r="23">
      <c r="A23" s="4" t="inlineStr">
        <is>
          <t>Enterprise value (EV)</t>
        </is>
      </c>
      <c r="C23" s="16">
        <f>C18+C22</f>
        <v/>
      </c>
    </row>
    <row r="24">
      <c r="A24" s="5" t="inlineStr">
        <is>
          <t>Less: net debt (FY26 debt - cash)</t>
        </is>
      </c>
      <c r="C24" s="45">
        <f>-('Forecast Financial Statements'!H63-'Forecast Financial Statements'!H58)</f>
        <v/>
      </c>
    </row>
    <row r="25">
      <c r="A25" s="4" t="inlineStr">
        <is>
          <t>Equity value</t>
        </is>
      </c>
      <c r="C25" s="16">
        <f>C23+C24</f>
        <v/>
      </c>
    </row>
    <row r="26">
      <c r="A26" s="5" t="inlineStr">
        <is>
          <t>Shares outstanding (crore)</t>
        </is>
      </c>
      <c r="C26" s="70">
        <f>'Assumptions'!C68</f>
        <v/>
      </c>
    </row>
    <row r="27">
      <c r="A27" s="4" t="inlineStr">
        <is>
          <t>Intrinsic value per share (INR)</t>
        </is>
      </c>
      <c r="C27" s="71">
        <f>C25/C26</f>
        <v/>
      </c>
    </row>
    <row r="28">
      <c r="A28" s="5" t="inlineStr">
        <is>
          <t>Current market price (INR)</t>
        </is>
      </c>
      <c r="C28" s="72">
        <f>'Assumptions'!C69</f>
        <v/>
      </c>
    </row>
    <row r="29">
      <c r="A29" s="4" t="inlineStr">
        <is>
          <t>Upside / (downside)</t>
        </is>
      </c>
      <c r="C29" s="22">
        <f>C27/C28-1</f>
        <v/>
      </c>
    </row>
  </sheetData>
  <pageMargins left="0.75" right="0.75" top="1" bottom="1" header="0.5" footer="0.5"/>
</worksheet>
</file>

<file path=xl/worksheets/sheet20.xml><?xml version="1.0" encoding="utf-8"?>
<worksheet xmlns="http://schemas.openxmlformats.org/spreadsheetml/2006/main">
  <sheetPr>
    <tabColor rgb="00548235"/>
    <outlinePr summaryBelow="1" summaryRight="1"/>
    <pageSetUpPr/>
  </sheetPr>
  <dimension ref="A1:O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RELATIVE VALUATION</t>
        </is>
      </c>
      <c r="B1" s="1" t="n"/>
      <c r="C1" s="1" t="n"/>
      <c r="D1" s="1" t="n"/>
      <c r="E1" s="1" t="n"/>
      <c r="F1" s="1" t="n"/>
      <c r="G1" s="1" t="n"/>
      <c r="H1" s="1" t="n"/>
      <c r="I1" s="1" t="n"/>
      <c r="J1" s="1" t="n"/>
      <c r="K1" s="1" t="n"/>
      <c r="L1" s="1" t="n"/>
      <c r="M1" s="1" t="n"/>
      <c r="N1" s="1" t="n"/>
      <c r="O1" s="1" t="n"/>
    </row>
    <row r="2">
      <c r="A2" s="13" t="inlineStr">
        <is>
          <t>Peer multiples reflect current (2025-26) market levels. BHEL is valued at a QUALITY DISCOUNT to premium MNC peers (Siemens/ABB ~50x P/E) given its lower margins (~8% vs 15-18%), low ROE (~2-8% vs 15-30%) and PSU profile; the closest large comp is L&amp;T (~20x EV/EBITDA, ~33x P/E). EV/Revenue is intentionally EXCLUDED - it is invalid across such different margin profiles. Refresh peer data before use.</t>
        </is>
      </c>
    </row>
    <row r="4">
      <c r="A4" s="11" t="inlineStr">
        <is>
          <t>A.  Peer trading multiples (current, indicative)</t>
        </is>
      </c>
      <c r="B4" s="1" t="n"/>
      <c r="C4" s="1" t="n"/>
      <c r="D4" s="1" t="n"/>
      <c r="E4" s="1" t="n"/>
      <c r="F4" s="1" t="n"/>
    </row>
    <row r="5">
      <c r="A5" s="15" t="inlineStr">
        <is>
          <t>Peer company</t>
        </is>
      </c>
      <c r="B5" s="15" t="inlineStr">
        <is>
          <t>EV/EBITDA (x)</t>
        </is>
      </c>
      <c r="C5" s="15" t="inlineStr">
        <is>
          <t>P/E (x)</t>
        </is>
      </c>
      <c r="D5" s="15" t="inlineStr">
        <is>
          <t>P/B (x)</t>
        </is>
      </c>
      <c r="E5" s="15" t="inlineStr">
        <is>
          <t>ROE %</t>
        </is>
      </c>
      <c r="F5" s="15" t="inlineStr">
        <is>
          <t>Div yld %</t>
        </is>
      </c>
    </row>
    <row r="6">
      <c r="A6" s="5" t="inlineStr">
        <is>
          <t>Siemens India</t>
        </is>
      </c>
      <c r="B6" s="73" t="n">
        <v>42</v>
      </c>
      <c r="C6" s="73" t="n">
        <v>50</v>
      </c>
      <c r="D6" s="73" t="n">
        <v>9</v>
      </c>
      <c r="E6" s="74" t="n">
        <v>16</v>
      </c>
      <c r="F6" s="74" t="n">
        <v>0.4</v>
      </c>
    </row>
    <row r="7">
      <c r="A7" s="5" t="inlineStr">
        <is>
          <t>ABB India</t>
        </is>
      </c>
      <c r="B7" s="73" t="n">
        <v>48</v>
      </c>
      <c r="C7" s="73" t="n">
        <v>52</v>
      </c>
      <c r="D7" s="73" t="n">
        <v>14</v>
      </c>
      <c r="E7" s="74" t="n">
        <v>20</v>
      </c>
      <c r="F7" s="74" t="n">
        <v>0.4</v>
      </c>
    </row>
    <row r="8">
      <c r="A8" s="5" t="inlineStr">
        <is>
          <t>CG Power &amp; Ind.</t>
        </is>
      </c>
      <c r="B8" s="73" t="n">
        <v>45</v>
      </c>
      <c r="C8" s="73" t="n">
        <v>60</v>
      </c>
      <c r="D8" s="73" t="n">
        <v>18</v>
      </c>
      <c r="E8" s="74" t="n">
        <v>22</v>
      </c>
      <c r="F8" s="74" t="n">
        <v>0.2</v>
      </c>
    </row>
    <row r="9">
      <c r="A9" s="5" t="inlineStr">
        <is>
          <t>Thermax</t>
        </is>
      </c>
      <c r="B9" s="73" t="n">
        <v>34</v>
      </c>
      <c r="C9" s="73" t="n">
        <v>48</v>
      </c>
      <c r="D9" s="73" t="n">
        <v>8</v>
      </c>
      <c r="E9" s="74" t="n">
        <v>14</v>
      </c>
      <c r="F9" s="74" t="n">
        <v>0.3</v>
      </c>
    </row>
    <row r="10">
      <c r="A10" s="5" t="inlineStr">
        <is>
          <t>Triveni Turbine</t>
        </is>
      </c>
      <c r="B10" s="73" t="n">
        <v>38</v>
      </c>
      <c r="C10" s="73" t="n">
        <v>50</v>
      </c>
      <c r="D10" s="73" t="n">
        <v>16</v>
      </c>
      <c r="E10" s="74" t="n">
        <v>30</v>
      </c>
      <c r="F10" s="74" t="n">
        <v>0.5</v>
      </c>
    </row>
    <row r="11">
      <c r="A11" s="5" t="inlineStr">
        <is>
          <t>Larsen &amp; Toubro</t>
        </is>
      </c>
      <c r="B11" s="73" t="n">
        <v>20</v>
      </c>
      <c r="C11" s="73" t="n">
        <v>33</v>
      </c>
      <c r="D11" s="73" t="n">
        <v>5</v>
      </c>
      <c r="E11" s="74" t="n">
        <v>15</v>
      </c>
      <c r="F11" s="74" t="n">
        <v>0.7</v>
      </c>
    </row>
    <row r="12">
      <c r="A12" s="5" t="inlineStr">
        <is>
          <t>Kalpataru Projects</t>
        </is>
      </c>
      <c r="B12" s="73" t="n">
        <v>11</v>
      </c>
      <c r="C12" s="73" t="n">
        <v>20</v>
      </c>
      <c r="D12" s="73" t="n">
        <v>3</v>
      </c>
      <c r="E12" s="74" t="n">
        <v>11</v>
      </c>
      <c r="F12" s="74" t="n">
        <v>0.4</v>
      </c>
    </row>
    <row r="13">
      <c r="A13" s="75" t="inlineStr">
        <is>
          <t>Peer median</t>
        </is>
      </c>
      <c r="B13" s="76">
        <f>MEDIAN(B6:B12)</f>
        <v/>
      </c>
      <c r="C13" s="76">
        <f>MEDIAN(C6:C12)</f>
        <v/>
      </c>
      <c r="D13" s="76">
        <f>MEDIAN(D6:D12)</f>
        <v/>
      </c>
      <c r="E13" s="77">
        <f>MEDIAN(E6:E12)</f>
        <v/>
      </c>
      <c r="F13" s="77">
        <f>MEDIAN(F6:F12)</f>
        <v/>
      </c>
      <c r="G13" s="13" t="inlineStr">
        <is>
          <t>BHEL ROE ~2-8% -&gt; discount to peers</t>
        </is>
      </c>
    </row>
    <row r="15">
      <c r="A15" s="11" t="inlineStr">
        <is>
          <t>B.  BHEL target multiples (quality-discounted)</t>
        </is>
      </c>
      <c r="B15" s="1" t="n"/>
      <c r="C15" s="1" t="n"/>
      <c r="D15" s="1" t="n"/>
      <c r="E15" s="1" t="n"/>
      <c r="F15" s="1" t="n"/>
    </row>
    <row r="16">
      <c r="A16" s="15" t="inlineStr">
        <is>
          <t>Multiple</t>
        </is>
      </c>
      <c r="B16" s="15" t="inlineStr">
        <is>
          <t>Bear</t>
        </is>
      </c>
      <c r="C16" s="15" t="inlineStr">
        <is>
          <t>Base</t>
        </is>
      </c>
      <c r="D16" s="15" t="inlineStr">
        <is>
          <t>Bull</t>
        </is>
      </c>
    </row>
    <row r="17">
      <c r="A17" s="5" t="inlineStr">
        <is>
          <t>EV/EBITDA (x)  [L&amp;T ~20x]</t>
        </is>
      </c>
      <c r="B17" s="73" t="n">
        <v>15</v>
      </c>
      <c r="C17" s="73" t="n">
        <v>20</v>
      </c>
      <c r="D17" s="73" t="n">
        <v>28</v>
      </c>
    </row>
    <row r="18">
      <c r="A18" s="5" t="inlineStr">
        <is>
          <t>P/E (x)  [L&amp;T ~33x]</t>
        </is>
      </c>
      <c r="B18" s="73" t="n">
        <v>25</v>
      </c>
      <c r="C18" s="73" t="n">
        <v>35</v>
      </c>
      <c r="D18" s="73" t="n">
        <v>45</v>
      </c>
    </row>
    <row r="20">
      <c r="A20" s="11" t="inlineStr">
        <is>
          <t>C.  Implied value for BHEL (FY2027E)</t>
        </is>
      </c>
      <c r="B20" s="1" t="n"/>
      <c r="C20" s="1" t="n"/>
      <c r="D20" s="1" t="n"/>
      <c r="E20" s="1" t="n"/>
      <c r="F20" s="1" t="n"/>
    </row>
    <row r="21">
      <c r="A21" s="5" t="inlineStr">
        <is>
          <t>BHEL FY2027E EBITDA</t>
        </is>
      </c>
      <c r="C21" s="45">
        <f>'Forecast Financial Statements'!I12</f>
        <v/>
      </c>
    </row>
    <row r="22">
      <c r="A22" s="5" t="inlineStr">
        <is>
          <t>BHEL FY2027E EPS (INR)</t>
        </is>
      </c>
      <c r="C22" s="72">
        <f>'Forecast Financial Statements'!I21</f>
        <v/>
      </c>
    </row>
    <row r="23">
      <c r="A23" s="5" t="inlineStr">
        <is>
          <t>Net cash (FY26)</t>
        </is>
      </c>
      <c r="C23" s="45">
        <f>'Forecast Financial Statements'!H58-'Forecast Financial Statements'!H63</f>
        <v/>
      </c>
    </row>
    <row r="25">
      <c r="A25" s="15" t="inlineStr">
        <is>
          <t>Implied price (INR)</t>
        </is>
      </c>
      <c r="B25" s="15" t="inlineStr">
        <is>
          <t>Bear</t>
        </is>
      </c>
      <c r="C25" s="15" t="inlineStr">
        <is>
          <t>Base</t>
        </is>
      </c>
      <c r="D25" s="15" t="inlineStr">
        <is>
          <t>Bull</t>
        </is>
      </c>
    </row>
    <row r="26">
      <c r="A26" s="5" t="inlineStr">
        <is>
          <t>EV/EBITDA method</t>
        </is>
      </c>
      <c r="B26" s="78">
        <f>(B17*$C$21+$C$23)/'Assumptions'!C68</f>
        <v/>
      </c>
      <c r="C26" s="78">
        <f>(C17*$C$21+$C$23)/'Assumptions'!C68</f>
        <v/>
      </c>
      <c r="D26" s="78">
        <f>(D17*$C$21+$C$23)/'Assumptions'!C68</f>
        <v/>
      </c>
    </row>
    <row r="27">
      <c r="A27" s="5" t="inlineStr">
        <is>
          <t>P/E method</t>
        </is>
      </c>
      <c r="B27" s="78">
        <f>B18*$C$22</f>
        <v/>
      </c>
      <c r="C27" s="78">
        <f>C18*$C$22</f>
        <v/>
      </c>
      <c r="D27" s="78">
        <f>D18*$C$22</f>
        <v/>
      </c>
    </row>
    <row r="28">
      <c r="A28" s="4" t="inlineStr">
        <is>
          <t>Relative fair value (avg of methods)</t>
        </is>
      </c>
      <c r="B28" s="71">
        <f>AVERAGE(B26,B27)</f>
        <v/>
      </c>
      <c r="C28" s="71">
        <f>AVERAGE(C26,C27)</f>
        <v/>
      </c>
      <c r="D28" s="71">
        <f>AVERAGE(D26,D27)</f>
        <v/>
      </c>
    </row>
    <row r="30">
      <c r="A30" s="7" t="inlineStr">
        <is>
          <t>Memo: sector-parity (peer median EV/EBITDA, no discount)</t>
        </is>
      </c>
      <c r="C30" s="78">
        <f>(C13*$C$21+$C$23)/'Assumptions'!C68</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2"/>
  <sheetViews>
    <sheetView showGridLines="0"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SENSITIVITY ANALYSIS</t>
        </is>
      </c>
      <c r="B1" s="1" t="n"/>
      <c r="C1" s="1" t="n"/>
      <c r="D1" s="1" t="n"/>
      <c r="E1" s="1" t="n"/>
      <c r="F1" s="1" t="n"/>
      <c r="G1" s="1" t="n"/>
      <c r="H1" s="1" t="n"/>
      <c r="I1" s="1" t="n"/>
      <c r="J1" s="1" t="n"/>
      <c r="K1" s="1" t="n"/>
      <c r="L1" s="1" t="n"/>
      <c r="M1" s="1" t="n"/>
      <c r="N1" s="1" t="n"/>
      <c r="O1" s="1" t="n"/>
    </row>
    <row r="2">
      <c r="A2" s="13" t="inlineStr">
        <is>
          <t>Two-way table: intrinsic value per share (INR) vs WACC and terminal growth. Centre = base case.</t>
        </is>
      </c>
    </row>
    <row r="4">
      <c r="B4" s="4" t="inlineStr">
        <is>
          <t>Intrinsic value/share (INR)</t>
        </is>
      </c>
    </row>
    <row r="5">
      <c r="B5" s="15" t="inlineStr">
        <is>
          <t>WACC \ g</t>
        </is>
      </c>
      <c r="C5" s="58">
        <f>'Assumptions'!C65+-0.015</f>
        <v/>
      </c>
      <c r="D5" s="58">
        <f>'Assumptions'!C65+-0.0075</f>
        <v/>
      </c>
      <c r="E5" s="58">
        <f>'Assumptions'!C65+0.0</f>
        <v/>
      </c>
      <c r="F5" s="58">
        <f>'Assumptions'!C65+0.0075</f>
        <v/>
      </c>
      <c r="G5" s="58">
        <f>'Assumptions'!C65+0.015</f>
        <v/>
      </c>
    </row>
    <row r="6">
      <c r="B6" s="58">
        <f>'Assumptions'!C67+0.02</f>
        <v/>
      </c>
      <c r="C6" s="78">
        <f>(SUMPRODUCT('DCF Valuation'!$I$12:$O$12,(1+$B6)^(-'DCF Valuation'!$I$13:$O$13))+('DCF Valuation'!$O$12*(1+C$5)/($B6-C$5))*(1+$B6)^(-7)+'DCF Valuation'!$C$24)/'DCF Valuation'!$C$26</f>
        <v/>
      </c>
      <c r="D6" s="78">
        <f>(SUMPRODUCT('DCF Valuation'!$I$12:$O$12,(1+$B6)^(-'DCF Valuation'!$I$13:$O$13))+('DCF Valuation'!$O$12*(1+D$5)/($B6-D$5))*(1+$B6)^(-7)+'DCF Valuation'!$C$24)/'DCF Valuation'!$C$26</f>
        <v/>
      </c>
      <c r="E6" s="78">
        <f>(SUMPRODUCT('DCF Valuation'!$I$12:$O$12,(1+$B6)^(-'DCF Valuation'!$I$13:$O$13))+('DCF Valuation'!$O$12*(1+E$5)/($B6-E$5))*(1+$B6)^(-7)+'DCF Valuation'!$C$24)/'DCF Valuation'!$C$26</f>
        <v/>
      </c>
      <c r="F6" s="78">
        <f>(SUMPRODUCT('DCF Valuation'!$I$12:$O$12,(1+$B6)^(-'DCF Valuation'!$I$13:$O$13))+('DCF Valuation'!$O$12*(1+F$5)/($B6-F$5))*(1+$B6)^(-7)+'DCF Valuation'!$C$24)/'DCF Valuation'!$C$26</f>
        <v/>
      </c>
      <c r="G6" s="78">
        <f>(SUMPRODUCT('DCF Valuation'!$I$12:$O$12,(1+$B6)^(-'DCF Valuation'!$I$13:$O$13))+('DCF Valuation'!$O$12*(1+G$5)/($B6-G$5))*(1+$B6)^(-7)+'DCF Valuation'!$C$24)/'DCF Valuation'!$C$26</f>
        <v/>
      </c>
    </row>
    <row r="7">
      <c r="B7" s="58">
        <f>'Assumptions'!C67+0.01</f>
        <v/>
      </c>
      <c r="C7" s="78">
        <f>(SUMPRODUCT('DCF Valuation'!$I$12:$O$12,(1+$B7)^(-'DCF Valuation'!$I$13:$O$13))+('DCF Valuation'!$O$12*(1+C$5)/($B7-C$5))*(1+$B7)^(-7)+'DCF Valuation'!$C$24)/'DCF Valuation'!$C$26</f>
        <v/>
      </c>
      <c r="D7" s="78">
        <f>(SUMPRODUCT('DCF Valuation'!$I$12:$O$12,(1+$B7)^(-'DCF Valuation'!$I$13:$O$13))+('DCF Valuation'!$O$12*(1+D$5)/($B7-D$5))*(1+$B7)^(-7)+'DCF Valuation'!$C$24)/'DCF Valuation'!$C$26</f>
        <v/>
      </c>
      <c r="E7" s="78">
        <f>(SUMPRODUCT('DCF Valuation'!$I$12:$O$12,(1+$B7)^(-'DCF Valuation'!$I$13:$O$13))+('DCF Valuation'!$O$12*(1+E$5)/($B7-E$5))*(1+$B7)^(-7)+'DCF Valuation'!$C$24)/'DCF Valuation'!$C$26</f>
        <v/>
      </c>
      <c r="F7" s="78">
        <f>(SUMPRODUCT('DCF Valuation'!$I$12:$O$12,(1+$B7)^(-'DCF Valuation'!$I$13:$O$13))+('DCF Valuation'!$O$12*(1+F$5)/($B7-F$5))*(1+$B7)^(-7)+'DCF Valuation'!$C$24)/'DCF Valuation'!$C$26</f>
        <v/>
      </c>
      <c r="G7" s="78">
        <f>(SUMPRODUCT('DCF Valuation'!$I$12:$O$12,(1+$B7)^(-'DCF Valuation'!$I$13:$O$13))+('DCF Valuation'!$O$12*(1+G$5)/($B7-G$5))*(1+$B7)^(-7)+'DCF Valuation'!$C$24)/'DCF Valuation'!$C$26</f>
        <v/>
      </c>
    </row>
    <row r="8">
      <c r="B8" s="58">
        <f>'Assumptions'!C67+0.0</f>
        <v/>
      </c>
      <c r="C8" s="78">
        <f>(SUMPRODUCT('DCF Valuation'!$I$12:$O$12,(1+$B8)^(-'DCF Valuation'!$I$13:$O$13))+('DCF Valuation'!$O$12*(1+C$5)/($B8-C$5))*(1+$B8)^(-7)+'DCF Valuation'!$C$24)/'DCF Valuation'!$C$26</f>
        <v/>
      </c>
      <c r="D8" s="78">
        <f>(SUMPRODUCT('DCF Valuation'!$I$12:$O$12,(1+$B8)^(-'DCF Valuation'!$I$13:$O$13))+('DCF Valuation'!$O$12*(1+D$5)/($B8-D$5))*(1+$B8)^(-7)+'DCF Valuation'!$C$24)/'DCF Valuation'!$C$26</f>
        <v/>
      </c>
      <c r="E8" s="71">
        <f>(SUMPRODUCT('DCF Valuation'!$I$12:$O$12,(1+$B8)^(-'DCF Valuation'!$I$13:$O$13))+('DCF Valuation'!$O$12*(1+E$5)/($B8-E$5))*(1+$B8)^(-7)+'DCF Valuation'!$C$24)/'DCF Valuation'!$C$26</f>
        <v/>
      </c>
      <c r="F8" s="78">
        <f>(SUMPRODUCT('DCF Valuation'!$I$12:$O$12,(1+$B8)^(-'DCF Valuation'!$I$13:$O$13))+('DCF Valuation'!$O$12*(1+F$5)/($B8-F$5))*(1+$B8)^(-7)+'DCF Valuation'!$C$24)/'DCF Valuation'!$C$26</f>
        <v/>
      </c>
      <c r="G8" s="78">
        <f>(SUMPRODUCT('DCF Valuation'!$I$12:$O$12,(1+$B8)^(-'DCF Valuation'!$I$13:$O$13))+('DCF Valuation'!$O$12*(1+G$5)/($B8-G$5))*(1+$B8)^(-7)+'DCF Valuation'!$C$24)/'DCF Valuation'!$C$26</f>
        <v/>
      </c>
    </row>
    <row r="9">
      <c r="B9" s="58">
        <f>'Assumptions'!C67+-0.01</f>
        <v/>
      </c>
      <c r="C9" s="78">
        <f>(SUMPRODUCT('DCF Valuation'!$I$12:$O$12,(1+$B9)^(-'DCF Valuation'!$I$13:$O$13))+('DCF Valuation'!$O$12*(1+C$5)/($B9-C$5))*(1+$B9)^(-7)+'DCF Valuation'!$C$24)/'DCF Valuation'!$C$26</f>
        <v/>
      </c>
      <c r="D9" s="78">
        <f>(SUMPRODUCT('DCF Valuation'!$I$12:$O$12,(1+$B9)^(-'DCF Valuation'!$I$13:$O$13))+('DCF Valuation'!$O$12*(1+D$5)/($B9-D$5))*(1+$B9)^(-7)+'DCF Valuation'!$C$24)/'DCF Valuation'!$C$26</f>
        <v/>
      </c>
      <c r="E9" s="78">
        <f>(SUMPRODUCT('DCF Valuation'!$I$12:$O$12,(1+$B9)^(-'DCF Valuation'!$I$13:$O$13))+('DCF Valuation'!$O$12*(1+E$5)/($B9-E$5))*(1+$B9)^(-7)+'DCF Valuation'!$C$24)/'DCF Valuation'!$C$26</f>
        <v/>
      </c>
      <c r="F9" s="78">
        <f>(SUMPRODUCT('DCF Valuation'!$I$12:$O$12,(1+$B9)^(-'DCF Valuation'!$I$13:$O$13))+('DCF Valuation'!$O$12*(1+F$5)/($B9-F$5))*(1+$B9)^(-7)+'DCF Valuation'!$C$24)/'DCF Valuation'!$C$26</f>
        <v/>
      </c>
      <c r="G9" s="78">
        <f>(SUMPRODUCT('DCF Valuation'!$I$12:$O$12,(1+$B9)^(-'DCF Valuation'!$I$13:$O$13))+('DCF Valuation'!$O$12*(1+G$5)/($B9-G$5))*(1+$B9)^(-7)+'DCF Valuation'!$C$24)/'DCF Valuation'!$C$26</f>
        <v/>
      </c>
    </row>
    <row r="10">
      <c r="B10" s="58">
        <f>'Assumptions'!C67+-0.02</f>
        <v/>
      </c>
      <c r="C10" s="78">
        <f>(SUMPRODUCT('DCF Valuation'!$I$12:$O$12,(1+$B10)^(-'DCF Valuation'!$I$13:$O$13))+('DCF Valuation'!$O$12*(1+C$5)/($B10-C$5))*(1+$B10)^(-7)+'DCF Valuation'!$C$24)/'DCF Valuation'!$C$26</f>
        <v/>
      </c>
      <c r="D10" s="78">
        <f>(SUMPRODUCT('DCF Valuation'!$I$12:$O$12,(1+$B10)^(-'DCF Valuation'!$I$13:$O$13))+('DCF Valuation'!$O$12*(1+D$5)/($B10-D$5))*(1+$B10)^(-7)+'DCF Valuation'!$C$24)/'DCF Valuation'!$C$26</f>
        <v/>
      </c>
      <c r="E10" s="78">
        <f>(SUMPRODUCT('DCF Valuation'!$I$12:$O$12,(1+$B10)^(-'DCF Valuation'!$I$13:$O$13))+('DCF Valuation'!$O$12*(1+E$5)/($B10-E$5))*(1+$B10)^(-7)+'DCF Valuation'!$C$24)/'DCF Valuation'!$C$26</f>
        <v/>
      </c>
      <c r="F10" s="78">
        <f>(SUMPRODUCT('DCF Valuation'!$I$12:$O$12,(1+$B10)^(-'DCF Valuation'!$I$13:$O$13))+('DCF Valuation'!$O$12*(1+F$5)/($B10-F$5))*(1+$B10)^(-7)+'DCF Valuation'!$C$24)/'DCF Valuation'!$C$26</f>
        <v/>
      </c>
      <c r="G10" s="78">
        <f>(SUMPRODUCT('DCF Valuation'!$I$12:$O$12,(1+$B10)^(-'DCF Valuation'!$I$13:$O$13))+('DCF Valuation'!$O$12*(1+G$5)/($B10-G$5))*(1+$B10)^(-7)+'DCF Valuation'!$C$24)/'DCF Valuation'!$C$26</f>
        <v/>
      </c>
    </row>
    <row r="12">
      <c r="A12" s="7" t="inlineStr">
        <is>
          <t>Other sensitivities (order inflow, execution, margins, commodities, capex, rates, WC) are on Scenario Analysis and the Assumptions sheet.</t>
        </is>
      </c>
    </row>
  </sheetData>
  <pageMargins left="0.75" right="0.75" top="1" bottom="1" header="0.5" footer="0.5"/>
</worksheet>
</file>

<file path=xl/worksheets/sheet22.xml><?xml version="1.0" encoding="utf-8"?>
<worksheet xmlns="http://schemas.openxmlformats.org/spreadsheetml/2006/main">
  <sheetPr>
    <tabColor rgb="00548235"/>
    <outlinePr summaryBelow="1" summaryRight="1"/>
    <pageSetUpPr/>
  </sheetPr>
  <dimension ref="A1:O17"/>
  <sheetViews>
    <sheetView showGridLines="0" workbookViewId="0">
      <selection activeCell="A1" sqref="A1"/>
    </sheetView>
  </sheetViews>
  <sheetFormatPr baseColWidth="8" defaultRowHeight="15"/>
  <cols>
    <col width="36" customWidth="1" min="1" max="1"/>
    <col width="16" customWidth="1" min="2" max="2"/>
    <col width="16" customWidth="1" min="3" max="3"/>
    <col width="16"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SCENARIO ANALYSIS</t>
        </is>
      </c>
      <c r="B1" s="1" t="n"/>
      <c r="C1" s="1" t="n"/>
      <c r="D1" s="1" t="n"/>
      <c r="E1" s="1" t="n"/>
      <c r="F1" s="1" t="n"/>
      <c r="G1" s="1" t="n"/>
      <c r="H1" s="1" t="n"/>
      <c r="I1" s="1" t="n"/>
      <c r="J1" s="1" t="n"/>
      <c r="K1" s="1" t="n"/>
      <c r="L1" s="1" t="n"/>
      <c r="M1" s="1" t="n"/>
      <c r="N1" s="1" t="n"/>
      <c r="O1" s="1" t="n"/>
    </row>
    <row r="2">
      <c r="A2" s="13" t="inlineStr">
        <is>
          <t>Bull/Base/Bear via exit EV/EBITDA on FY2033E, discounted to present. Base links to the live model.</t>
        </is>
      </c>
    </row>
    <row r="3">
      <c r="A3" s="11" t="inlineStr">
        <is>
          <t>Scenario drivers &amp; valuation</t>
        </is>
      </c>
      <c r="B3" s="1" t="n"/>
      <c r="C3" s="1" t="n"/>
      <c r="D3" s="1" t="n"/>
    </row>
    <row r="4">
      <c r="A4" s="15" t="inlineStr">
        <is>
          <t>Driver / output</t>
        </is>
      </c>
      <c r="B4" s="15" t="inlineStr">
        <is>
          <t>Bear case</t>
        </is>
      </c>
      <c r="C4" s="15" t="inlineStr">
        <is>
          <t>Base case</t>
        </is>
      </c>
      <c r="D4" s="15" t="inlineStr">
        <is>
          <t>Bull case</t>
        </is>
      </c>
    </row>
    <row r="5">
      <c r="A5" s="5" t="inlineStr">
        <is>
          <t>FY2033E revenue (INR Cr)</t>
        </is>
      </c>
      <c r="B5" s="17" t="n">
        <v>68000</v>
      </c>
      <c r="C5" s="45">
        <f>'Forecast Financial Statements'!O5</f>
        <v/>
      </c>
      <c r="D5" s="17" t="n">
        <v>92000</v>
      </c>
    </row>
    <row r="6">
      <c r="A6" s="5" t="inlineStr">
        <is>
          <t>Terminal EBITDA margin</t>
        </is>
      </c>
      <c r="B6" s="19" t="n">
        <v>0.09</v>
      </c>
      <c r="C6" s="69">
        <f>'Forecast Financial Statements'!O12/'Forecast Financial Statements'!O5</f>
        <v/>
      </c>
      <c r="D6" s="19" t="n">
        <v>0.15</v>
      </c>
    </row>
    <row r="7">
      <c r="A7" s="5" t="inlineStr">
        <is>
          <t>Exit EV/EBITDA multiple (x)</t>
        </is>
      </c>
      <c r="B7" s="73" t="n">
        <v>14</v>
      </c>
      <c r="C7" s="73" t="n">
        <v>18</v>
      </c>
      <c r="D7" s="73" t="n">
        <v>24</v>
      </c>
    </row>
    <row r="8">
      <c r="A8" s="5" t="inlineStr">
        <is>
          <t>WACC</t>
        </is>
      </c>
      <c r="B8" s="19" t="n">
        <v>0.155</v>
      </c>
      <c r="C8" s="69">
        <f>'Assumptions'!C67</f>
        <v/>
      </c>
      <c r="D8" s="19" t="n">
        <v>0.12</v>
      </c>
    </row>
    <row r="9">
      <c r="A9" s="5" t="inlineStr">
        <is>
          <t>FY2033E EBITDA (INR Cr)</t>
        </is>
      </c>
      <c r="B9" s="59">
        <f>B5*B6</f>
        <v/>
      </c>
      <c r="C9" s="59">
        <f>C5*C6</f>
        <v/>
      </c>
      <c r="D9" s="59">
        <f>D5*D6</f>
        <v/>
      </c>
    </row>
    <row r="10">
      <c r="A10" s="5" t="inlineStr">
        <is>
          <t>Terminal EV (INR Cr)</t>
        </is>
      </c>
      <c r="B10" s="59">
        <f>B9*B7</f>
        <v/>
      </c>
      <c r="C10" s="59">
        <f>C9*C7</f>
        <v/>
      </c>
      <c r="D10" s="59">
        <f>D9*D7</f>
        <v/>
      </c>
    </row>
    <row r="11">
      <c r="A11" s="5" t="inlineStr">
        <is>
          <t>PV of EV (discounted 7y)</t>
        </is>
      </c>
      <c r="B11" s="59">
        <f>B10/(1+B8)^7</f>
        <v/>
      </c>
      <c r="C11" s="59">
        <f>C10/(1+C8)^7</f>
        <v/>
      </c>
      <c r="D11" s="59">
        <f>D10/(1+D8)^7</f>
        <v/>
      </c>
    </row>
    <row r="12">
      <c r="A12" s="5" t="inlineStr">
        <is>
          <t>Less: net debt (FY26)</t>
        </is>
      </c>
      <c r="B12" s="45">
        <f>'Forecast Financial Statements'!H63-'Forecast Financial Statements'!H58</f>
        <v/>
      </c>
      <c r="C12" s="45">
        <f>'Forecast Financial Statements'!H63-'Forecast Financial Statements'!H58</f>
        <v/>
      </c>
      <c r="D12" s="45">
        <f>'Forecast Financial Statements'!H63-'Forecast Financial Statements'!H58</f>
        <v/>
      </c>
    </row>
    <row r="13">
      <c r="A13" s="5" t="inlineStr">
        <is>
          <t>Equity value (INR Cr)</t>
        </is>
      </c>
      <c r="B13" s="59">
        <f>B11-B12</f>
        <v/>
      </c>
      <c r="C13" s="59">
        <f>C11-C12</f>
        <v/>
      </c>
      <c r="D13" s="59">
        <f>D11-D12</f>
        <v/>
      </c>
    </row>
    <row r="14">
      <c r="A14" s="4" t="inlineStr">
        <is>
          <t>Target price (INR)</t>
        </is>
      </c>
      <c r="B14" s="71">
        <f>B13/'Assumptions'!C68</f>
        <v/>
      </c>
      <c r="C14" s="71">
        <f>C13/'Assumptions'!C68</f>
        <v/>
      </c>
      <c r="D14" s="71">
        <f>D13/'Assumptions'!C68</f>
        <v/>
      </c>
    </row>
    <row r="15">
      <c r="A15" s="4" t="inlineStr">
        <is>
          <t>Scenario probability</t>
        </is>
      </c>
      <c r="B15" s="19" t="n">
        <v>0.25</v>
      </c>
      <c r="C15" s="19" t="n">
        <v>0.5</v>
      </c>
      <c r="D15" s="19" t="n">
        <v>0.25</v>
      </c>
    </row>
    <row r="17">
      <c r="A17" s="4" t="inlineStr">
        <is>
          <t>Probability-weighted target price (INR)</t>
        </is>
      </c>
      <c r="B17" s="79">
        <f>SUMPRODUCT(B14:D14,B15:D15)</f>
        <v/>
      </c>
    </row>
  </sheetData>
  <pageMargins left="0.75" right="0.75" top="1" bottom="1" header="0.5" footer="0.5"/>
</worksheet>
</file>

<file path=xl/worksheets/sheet23.xml><?xml version="1.0" encoding="utf-8"?>
<worksheet xmlns="http://schemas.openxmlformats.org/spreadsheetml/2006/main">
  <sheetPr>
    <tabColor rgb="00548235"/>
    <outlinePr summaryBelow="1" summaryRight="1"/>
    <pageSetUpPr/>
  </sheetPr>
  <dimension ref="A1:O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PRICE TARGETS</t>
        </is>
      </c>
      <c r="B1" s="1" t="n"/>
      <c r="C1" s="1" t="n"/>
      <c r="D1" s="1" t="n"/>
      <c r="E1" s="1" t="n"/>
      <c r="F1" s="1" t="n"/>
      <c r="G1" s="1" t="n"/>
      <c r="H1" s="1" t="n"/>
      <c r="I1" s="1" t="n"/>
      <c r="J1" s="1" t="n"/>
      <c r="K1" s="1" t="n"/>
      <c r="L1" s="1" t="n"/>
      <c r="M1" s="1" t="n"/>
      <c r="N1" s="1" t="n"/>
      <c r="O1" s="1" t="n"/>
    </row>
    <row r="2">
      <c r="A2" s="13" t="inlineStr">
        <is>
          <t>Blended valuation &amp; scenario price targets. Fundamental fair value = 50% DCF + 50% quality-adjusted relative. Horizon targets apply scenario EV/EBITDA multiples to forward EBITDA (3M/6M on FY2027E, 12M rolled to FY2028E) plus net cash, per share. Multiples (gold) are editable. Model output, not investment advice.</t>
        </is>
      </c>
    </row>
    <row r="4">
      <c r="A4" s="11" t="inlineStr">
        <is>
          <t>A.  Inputs (live links)</t>
        </is>
      </c>
      <c r="B4" s="1" t="n"/>
      <c r="C4" s="1" t="n"/>
      <c r="D4" s="1" t="n"/>
    </row>
    <row r="5">
      <c r="A5" s="5" t="inlineStr">
        <is>
          <t>FY2027E EBITDA (INR Cr)</t>
        </is>
      </c>
      <c r="C5" s="45">
        <f>'Forecast Financial Statements'!I12</f>
        <v/>
      </c>
    </row>
    <row r="6">
      <c r="A6" s="5" t="inlineStr">
        <is>
          <t>FY2028E EBITDA (INR Cr)</t>
        </is>
      </c>
      <c r="C6" s="45">
        <f>'Forecast Financial Statements'!J12</f>
        <v/>
      </c>
    </row>
    <row r="7">
      <c r="A7" s="5" t="inlineStr">
        <is>
          <t>Net cash - FY26 (INR Cr)</t>
        </is>
      </c>
      <c r="C7" s="45">
        <f>'Forecast Financial Statements'!H58-'Forecast Financial Statements'!H63</f>
        <v/>
      </c>
    </row>
    <row r="8">
      <c r="A8" s="5" t="inlineStr">
        <is>
          <t>Shares outstanding (crore)</t>
        </is>
      </c>
      <c r="C8" s="70">
        <f>'Assumptions'!C68</f>
        <v/>
      </c>
    </row>
    <row r="9">
      <c r="A9" s="5" t="inlineStr">
        <is>
          <t>Current market price (INR)</t>
        </is>
      </c>
      <c r="C9" s="72">
        <f>'Assumptions'!C69</f>
        <v/>
      </c>
    </row>
    <row r="10">
      <c r="A10" s="5" t="inlineStr">
        <is>
          <t>DCF value/share - base (INR)</t>
        </is>
      </c>
      <c r="C10" s="72">
        <f>'DCF Valuation'!C27</f>
        <v/>
      </c>
    </row>
    <row r="11">
      <c r="A11" s="5" t="inlineStr">
        <is>
          <t>Relative fair value - Bear/Base/Bull (INR)</t>
        </is>
      </c>
      <c r="B11" s="72">
        <f>'Relative Valuation'!B28</f>
        <v/>
      </c>
      <c r="C11" s="72">
        <f>'Relative Valuation'!C28</f>
        <v/>
      </c>
      <c r="D11" s="72">
        <f>'Relative Valuation'!D28</f>
        <v/>
      </c>
    </row>
    <row r="13">
      <c r="A13" s="11" t="inlineStr">
        <is>
          <t>B.  Fundamental fair value (12-month)</t>
        </is>
      </c>
      <c r="B13" s="1" t="n"/>
      <c r="C13" s="1" t="n"/>
      <c r="D13" s="1" t="n"/>
    </row>
    <row r="14">
      <c r="A14" s="15" t="inlineStr"/>
      <c r="B14" s="15" t="inlineStr">
        <is>
          <t>Bear</t>
        </is>
      </c>
      <c r="C14" s="15" t="inlineStr">
        <is>
          <t>Base</t>
        </is>
      </c>
      <c r="D14" s="15" t="inlineStr">
        <is>
          <t>Bull</t>
        </is>
      </c>
    </row>
    <row r="15">
      <c r="A15" s="5" t="inlineStr">
        <is>
          <t>DCF (INR/share)</t>
        </is>
      </c>
      <c r="B15" s="78">
        <f>$C$10*0.81</f>
        <v/>
      </c>
      <c r="C15" s="78">
        <f>$C$10</f>
        <v/>
      </c>
      <c r="D15" s="78">
        <f>$C$10*1.20</f>
        <v/>
      </c>
    </row>
    <row r="16">
      <c r="A16" s="5" t="inlineStr">
        <is>
          <t>Relative (INR/share)</t>
        </is>
      </c>
      <c r="B16" s="78">
        <f>B11</f>
        <v/>
      </c>
      <c r="C16" s="78">
        <f>C11</f>
        <v/>
      </c>
      <c r="D16" s="78">
        <f>D11</f>
        <v/>
      </c>
    </row>
    <row r="17">
      <c r="A17" s="4" t="inlineStr">
        <is>
          <t>Blended fair value (50/50)</t>
        </is>
      </c>
      <c r="B17" s="71">
        <f>AVERAGE(B15,B16)</f>
        <v/>
      </c>
      <c r="C17" s="71">
        <f>AVERAGE(C15,C16)</f>
        <v/>
      </c>
      <c r="D17" s="71">
        <f>AVERAGE(D15,D16)</f>
        <v/>
      </c>
    </row>
    <row r="18">
      <c r="A18" s="7" t="inlineStr">
        <is>
          <t xml:space="preserve">  Upside/(downside) vs current price</t>
        </is>
      </c>
      <c r="B18" s="22">
        <f>B17/$C$9-1</f>
        <v/>
      </c>
      <c r="C18" s="22">
        <f>C17/$C$9-1</f>
        <v/>
      </c>
      <c r="D18" s="22">
        <f>D17/$C$9-1</f>
        <v/>
      </c>
    </row>
    <row r="20">
      <c r="A20" s="11" t="inlineStr">
        <is>
          <t>C.  Scenario EV/EBITDA multiple (x) - editable</t>
        </is>
      </c>
      <c r="B20" s="1" t="n"/>
      <c r="C20" s="1" t="n"/>
      <c r="D20" s="1" t="n"/>
    </row>
    <row r="21">
      <c r="A21" s="15" t="inlineStr">
        <is>
          <t>Scenario</t>
        </is>
      </c>
      <c r="B21" s="15" t="inlineStr">
        <is>
          <t>3-month</t>
        </is>
      </c>
      <c r="C21" s="15" t="inlineStr">
        <is>
          <t>6-month</t>
        </is>
      </c>
      <c r="D21" s="15" t="inlineStr">
        <is>
          <t>12-month</t>
        </is>
      </c>
    </row>
    <row r="22">
      <c r="A22" s="5" t="inlineStr">
        <is>
          <t>Bull</t>
        </is>
      </c>
      <c r="B22" s="73" t="n">
        <v>45</v>
      </c>
      <c r="C22" s="73" t="n">
        <v>46</v>
      </c>
      <c r="D22" s="73" t="n">
        <v>44</v>
      </c>
    </row>
    <row r="23">
      <c r="A23" s="5" t="inlineStr">
        <is>
          <t>Base</t>
        </is>
      </c>
      <c r="B23" s="73" t="n">
        <v>43</v>
      </c>
      <c r="C23" s="73" t="n">
        <v>40</v>
      </c>
      <c r="D23" s="73" t="n">
        <v>36</v>
      </c>
    </row>
    <row r="24">
      <c r="A24" s="5" t="inlineStr">
        <is>
          <t>Bear</t>
        </is>
      </c>
      <c r="B24" s="73" t="n">
        <v>38</v>
      </c>
      <c r="C24" s="73" t="n">
        <v>32</v>
      </c>
      <c r="D24" s="73" t="n">
        <v>26</v>
      </c>
    </row>
    <row r="25">
      <c r="A25" s="7" t="inlineStr">
        <is>
          <t>EBITDA basis</t>
        </is>
      </c>
      <c r="B25" s="47" t="inlineStr">
        <is>
          <t>FY2027E</t>
        </is>
      </c>
      <c r="C25" s="47" t="inlineStr">
        <is>
          <t>FY2027E</t>
        </is>
      </c>
      <c r="D25" s="47" t="inlineStr">
        <is>
          <t>FY2028E</t>
        </is>
      </c>
    </row>
    <row r="27">
      <c r="A27" s="11" t="inlineStr">
        <is>
          <t>D.  Scenario price target (INR/share)</t>
        </is>
      </c>
      <c r="B27" s="1" t="n"/>
      <c r="C27" s="1" t="n"/>
      <c r="D27" s="1" t="n"/>
    </row>
    <row r="28">
      <c r="A28" s="15" t="inlineStr">
        <is>
          <t>Scenario</t>
        </is>
      </c>
      <c r="B28" s="15" t="inlineStr">
        <is>
          <t>3-month</t>
        </is>
      </c>
      <c r="C28" s="15" t="inlineStr">
        <is>
          <t>6-month</t>
        </is>
      </c>
      <c r="D28" s="15" t="inlineStr">
        <is>
          <t>12-month</t>
        </is>
      </c>
    </row>
    <row r="29">
      <c r="A29" s="5" t="inlineStr">
        <is>
          <t>Bull</t>
        </is>
      </c>
      <c r="B29" s="78">
        <f>(B22*$C$5+$C$7)/$C$8</f>
        <v/>
      </c>
      <c r="C29" s="78">
        <f>(C22*$C$5+$C$7)/$C$8</f>
        <v/>
      </c>
      <c r="D29" s="78">
        <f>(D22*$C$6+$C$7)/$C$8</f>
        <v/>
      </c>
    </row>
    <row r="30">
      <c r="A30" s="4" t="inlineStr">
        <is>
          <t>Base</t>
        </is>
      </c>
      <c r="B30" s="71">
        <f>(B23*$C$5+$C$7)/$C$8</f>
        <v/>
      </c>
      <c r="C30" s="71">
        <f>(C23*$C$5+$C$7)/$C$8</f>
        <v/>
      </c>
      <c r="D30" s="71">
        <f>(D23*$C$6+$C$7)/$C$8</f>
        <v/>
      </c>
    </row>
    <row r="31">
      <c r="A31" s="5" t="inlineStr">
        <is>
          <t>Bear</t>
        </is>
      </c>
      <c r="B31" s="78">
        <f>(B24*$C$5+$C$7)/$C$8</f>
        <v/>
      </c>
      <c r="C31" s="78">
        <f>(C24*$C$5+$C$7)/$C$8</f>
        <v/>
      </c>
      <c r="D31" s="78">
        <f>(D24*$C$6+$C$7)/$C$8</f>
        <v/>
      </c>
    </row>
    <row r="33">
      <c r="A33" s="11" t="inlineStr">
        <is>
          <t>E.  Upside/(downside) vs current price</t>
        </is>
      </c>
      <c r="B33" s="1" t="n"/>
      <c r="C33" s="1" t="n"/>
      <c r="D33" s="1" t="n"/>
    </row>
    <row r="34">
      <c r="A34" s="15" t="inlineStr">
        <is>
          <t>Scenario</t>
        </is>
      </c>
      <c r="B34" s="15" t="inlineStr">
        <is>
          <t>3-month</t>
        </is>
      </c>
      <c r="C34" s="15" t="inlineStr">
        <is>
          <t>6-month</t>
        </is>
      </c>
      <c r="D34" s="15" t="inlineStr">
        <is>
          <t>12-month</t>
        </is>
      </c>
    </row>
    <row r="35">
      <c r="A35" s="5" t="inlineStr">
        <is>
          <t>Bull</t>
        </is>
      </c>
      <c r="B35" s="22">
        <f>B29/$C$9-1</f>
        <v/>
      </c>
      <c r="C35" s="22">
        <f>C29/$C$9-1</f>
        <v/>
      </c>
      <c r="D35" s="22">
        <f>D29/$C$9-1</f>
        <v/>
      </c>
    </row>
    <row r="36">
      <c r="A36" s="5" t="inlineStr">
        <is>
          <t>Base</t>
        </is>
      </c>
      <c r="B36" s="22">
        <f>B30/$C$9-1</f>
        <v/>
      </c>
      <c r="C36" s="22">
        <f>C30/$C$9-1</f>
        <v/>
      </c>
      <c r="D36" s="22">
        <f>D30/$C$9-1</f>
        <v/>
      </c>
    </row>
    <row r="37">
      <c r="A37" s="5" t="inlineStr">
        <is>
          <t>Bear</t>
        </is>
      </c>
      <c r="B37" s="22">
        <f>B31/$C$9-1</f>
        <v/>
      </c>
      <c r="C37" s="22">
        <f>C31/$C$9-1</f>
        <v/>
      </c>
      <c r="D37" s="22">
        <f>D31/$C$9-1</f>
        <v/>
      </c>
    </row>
    <row r="39">
      <c r="A39" s="13" t="inlineStr">
        <is>
          <t>Verdict: fundamental fair value ~Rs110-190 (base ~Rs145) implies BHEL is expensive vs the market price; the price is sustained by sector-premium multiples. Bull requires strong growth to materialise AND premium multiples to persist; Bear reflects de-rating toward fundamentals.</t>
        </is>
      </c>
    </row>
  </sheetData>
  <pageMargins left="0.75" right="0.75" top="1" bottom="1" header="0.5" footer="0.5"/>
</worksheet>
</file>

<file path=xl/worksheets/sheet24.xml><?xml version="1.0" encoding="utf-8"?>
<worksheet xmlns="http://schemas.openxmlformats.org/spreadsheetml/2006/main">
  <sheetPr>
    <tabColor rgb="001F3864"/>
    <outlinePr summaryBelow="1" summaryRight="1"/>
    <pageSetUpPr/>
  </sheetPr>
  <dimension ref="A1:M55"/>
  <sheetViews>
    <sheetView showGridLines="0" workbookViewId="0">
      <selection activeCell="A1" sqref="A1"/>
    </sheetView>
  </sheetViews>
  <sheetFormatPr baseColWidth="8" defaultRowHeight="15"/>
  <cols>
    <col width="26" customWidth="1" min="1" max="1"/>
    <col width="16" customWidth="1" min="2" max="2"/>
    <col width="4" customWidth="1" min="3" max="3"/>
    <col width="26" customWidth="1" min="4" max="4"/>
    <col width="16" customWidth="1" min="5" max="5"/>
    <col width="4" customWidth="1" min="6" max="6"/>
    <col width="26" customWidth="1" min="7" max="7"/>
    <col width="16" customWidth="1" min="8" max="8"/>
  </cols>
  <sheetData>
    <row r="1">
      <c r="A1" s="11" t="inlineStr">
        <is>
          <t>BHEL  |  EXECUTIVE DASHBOARD</t>
        </is>
      </c>
      <c r="B1" s="1" t="n"/>
      <c r="C1" s="1" t="n"/>
      <c r="D1" s="1" t="n"/>
      <c r="E1" s="1" t="n"/>
      <c r="F1" s="1" t="n"/>
      <c r="G1" s="1" t="n"/>
      <c r="H1" s="1" t="n"/>
    </row>
    <row r="3">
      <c r="A3" s="24" t="inlineStr">
        <is>
          <t>DCF value/share - base</t>
        </is>
      </c>
      <c r="B3" s="24" t="inlineStr">
        <is>
          <t>Blended fair value - base</t>
        </is>
      </c>
      <c r="D3" s="24" t="inlineStr">
        <is>
          <t>Current price (INR)</t>
        </is>
      </c>
      <c r="E3" s="24" t="inlineStr">
        <is>
          <t>12M target - Base</t>
        </is>
      </c>
      <c r="G3" s="24" t="inlineStr">
        <is>
          <t>12M target - Bull</t>
        </is>
      </c>
      <c r="H3" s="24" t="inlineStr">
        <is>
          <t>12M target - Bear</t>
        </is>
      </c>
    </row>
    <row r="4">
      <c r="A4" s="80">
        <f>'DCF Valuation'!C27</f>
        <v/>
      </c>
      <c r="B4" s="80">
        <f>'Price Targets'!C17</f>
        <v/>
      </c>
      <c r="D4" s="80">
        <f>'Price Targets'!C9</f>
        <v/>
      </c>
      <c r="E4" s="80">
        <f>'Price Targets'!D30</f>
        <v/>
      </c>
      <c r="G4" s="80">
        <f>'Price Targets'!D29</f>
        <v/>
      </c>
      <c r="H4" s="80">
        <f>'Price Targets'!D31</f>
        <v/>
      </c>
    </row>
    <row r="6">
      <c r="A6" s="24" t="inlineStr">
        <is>
          <t>3M target - Base</t>
        </is>
      </c>
      <c r="B6" s="24" t="inlineStr">
        <is>
          <t>6M target - Base</t>
        </is>
      </c>
      <c r="D6" s="24" t="inlineStr">
        <is>
          <t>FY27E EBITDA margin</t>
        </is>
      </c>
      <c r="E6" s="24" t="inlineStr">
        <is>
          <t>FY33E EBITDA margin</t>
        </is>
      </c>
      <c r="G6" s="24" t="inlineStr">
        <is>
          <t>FY26 order book (INR Cr)</t>
        </is>
      </c>
      <c r="H6" s="24" t="inlineStr">
        <is>
          <t>WACC</t>
        </is>
      </c>
    </row>
    <row r="7">
      <c r="A7" s="80">
        <f>'Price Targets'!B30</f>
        <v/>
      </c>
      <c r="B7" s="80">
        <f>'Price Targets'!C30</f>
        <v/>
      </c>
      <c r="D7" s="81">
        <f>'Forecast Financial Statements'!I12/'Forecast Financial Statements'!I5</f>
        <v/>
      </c>
      <c r="E7" s="81">
        <f>'Forecast Financial Statements'!O12/'Forecast Financial Statements'!O5</f>
        <v/>
      </c>
      <c r="G7" s="82">
        <f>'Revenue Build-up'!H10</f>
        <v/>
      </c>
      <c r="H7" s="81">
        <f>'Assumptions'!C67</f>
        <v/>
      </c>
    </row>
    <row r="9">
      <c r="A9" s="6" t="inlineStr">
        <is>
          <t>DCF bridge (INR Cr)</t>
        </is>
      </c>
    </row>
    <row r="10">
      <c r="A10" s="83" t="inlineStr">
        <is>
          <t>PV of explicit FCFF</t>
        </is>
      </c>
      <c r="B10" s="45">
        <f>'DCF Valuation'!C18</f>
        <v/>
      </c>
    </row>
    <row r="11">
      <c r="A11" s="83" t="inlineStr">
        <is>
          <t>PV of terminal value</t>
        </is>
      </c>
      <c r="B11" s="45">
        <f>'DCF Valuation'!C22</f>
        <v/>
      </c>
    </row>
    <row r="12">
      <c r="A12" s="83" t="inlineStr">
        <is>
          <t>Enterprise value</t>
        </is>
      </c>
      <c r="B12" s="45">
        <f>'DCF Valuation'!C23</f>
        <v/>
      </c>
    </row>
    <row r="13">
      <c r="A13" s="83" t="inlineStr">
        <is>
          <t>Less: net debt</t>
        </is>
      </c>
      <c r="B13" s="45">
        <f>'DCF Valuation'!C24</f>
        <v/>
      </c>
    </row>
    <row r="14">
      <c r="A14" s="83" t="inlineStr">
        <is>
          <t>Equity value</t>
        </is>
      </c>
      <c r="B14" s="45">
        <f>'DCF Valuation'!C25</f>
        <v/>
      </c>
    </row>
    <row r="49">
      <c r="A49" s="6" t="inlineStr">
        <is>
          <t>Valuation football field (INR/share)  -  bars = value range by method; compare to current price</t>
        </is>
      </c>
    </row>
    <row r="50">
      <c r="J50" s="4" t="inlineStr">
        <is>
          <t>Method</t>
        </is>
      </c>
      <c r="K50" s="4" t="inlineStr">
        <is>
          <t>Low</t>
        </is>
      </c>
      <c r="L50" s="4" t="inlineStr">
        <is>
          <t>Range</t>
        </is>
      </c>
      <c r="M50" s="4" t="inlineStr">
        <is>
          <t>High</t>
        </is>
      </c>
    </row>
    <row r="51">
      <c r="J51" s="5" t="inlineStr">
        <is>
          <t>DCF (bear-bull)</t>
        </is>
      </c>
      <c r="K51" s="65">
        <f>'Price Targets'!B15</f>
        <v/>
      </c>
      <c r="L51" s="35">
        <f>M51-K51</f>
        <v/>
      </c>
      <c r="M51" s="65">
        <f>'Price Targets'!D15</f>
        <v/>
      </c>
    </row>
    <row r="52">
      <c r="J52" s="5" t="inlineStr">
        <is>
          <t>Relative (bear-bull)</t>
        </is>
      </c>
      <c r="K52" s="65">
        <f>'Price Targets'!B16</f>
        <v/>
      </c>
      <c r="L52" s="35">
        <f>M52-K52</f>
        <v/>
      </c>
      <c r="M52" s="65">
        <f>'Price Targets'!D16</f>
        <v/>
      </c>
    </row>
    <row r="53">
      <c r="J53" s="5" t="inlineStr">
        <is>
          <t>Blended fair value</t>
        </is>
      </c>
      <c r="K53" s="65">
        <f>'Price Targets'!B17</f>
        <v/>
      </c>
      <c r="L53" s="35">
        <f>M53-K53</f>
        <v/>
      </c>
      <c r="M53" s="65">
        <f>'Price Targets'!D17</f>
        <v/>
      </c>
    </row>
    <row r="54">
      <c r="J54" s="5" t="inlineStr">
        <is>
          <t>12M target (bear-bull)</t>
        </is>
      </c>
      <c r="K54" s="65">
        <f>'Price Targets'!D31</f>
        <v/>
      </c>
      <c r="L54" s="35">
        <f>M54-K54</f>
        <v/>
      </c>
      <c r="M54" s="65">
        <f>'Price Targets'!D29</f>
        <v/>
      </c>
    </row>
    <row r="55">
      <c r="J55" s="5" t="inlineStr">
        <is>
          <t>Current price</t>
        </is>
      </c>
      <c r="K55" s="65" t="n">
        <v>0</v>
      </c>
      <c r="L55" s="35">
        <f>M55-K55</f>
        <v/>
      </c>
      <c r="M55" s="65">
        <f>'Price Targets'!C9</f>
        <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tabColor rgb="00C00000"/>
    <outlinePr summaryBelow="1" summaryRight="1"/>
    <pageSetUpPr/>
  </sheetPr>
  <dimension ref="A1:O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s>
  <sheetData>
    <row r="1">
      <c r="A1" s="11" t="inlineStr">
        <is>
          <t>ERROR CHECKS</t>
        </is>
      </c>
      <c r="B1" s="1" t="n"/>
      <c r="C1" s="1" t="n"/>
      <c r="D1" s="1" t="n"/>
      <c r="E1" s="1" t="n"/>
      <c r="F1" s="1" t="n"/>
      <c r="G1" s="1" t="n"/>
      <c r="H1" s="1" t="n"/>
      <c r="I1" s="1" t="n"/>
      <c r="J1" s="1" t="n"/>
      <c r="K1" s="1" t="n"/>
      <c r="L1" s="1" t="n"/>
      <c r="M1" s="1" t="n"/>
      <c r="N1" s="1" t="n"/>
      <c r="O1" s="1" t="n"/>
    </row>
    <row r="2">
      <c r="A2" s="13" t="inlineStr">
        <is>
          <t>Automated integrity checks. "OK" = pass (difference &lt; INR 0.5 Cr).</t>
        </is>
      </c>
    </row>
    <row r="4">
      <c r="A4" s="24" t="inlineStr">
        <is>
          <t>Check</t>
        </is>
      </c>
      <c r="B4" s="15" t="inlineStr"/>
      <c r="C4" s="15" t="inlineStr"/>
      <c r="D4" s="15" t="inlineStr"/>
      <c r="E4" s="15" t="inlineStr"/>
      <c r="F4" s="15" t="inlineStr"/>
      <c r="G4" s="15" t="inlineStr"/>
      <c r="H4" s="15" t="inlineStr">
        <is>
          <t>FY2026</t>
        </is>
      </c>
      <c r="I4" s="15" t="inlineStr">
        <is>
          <t>FY2027</t>
        </is>
      </c>
      <c r="J4" s="15" t="inlineStr">
        <is>
          <t>FY2028</t>
        </is>
      </c>
      <c r="K4" s="15" t="inlineStr">
        <is>
          <t>FY2029</t>
        </is>
      </c>
      <c r="L4" s="15" t="inlineStr">
        <is>
          <t>FY2030</t>
        </is>
      </c>
      <c r="M4" s="15" t="inlineStr">
        <is>
          <t>FY2031</t>
        </is>
      </c>
      <c r="N4" s="15" t="inlineStr">
        <is>
          <t>FY2032</t>
        </is>
      </c>
      <c r="O4" s="15" t="inlineStr">
        <is>
          <t>FY2033</t>
        </is>
      </c>
    </row>
    <row r="5">
      <c r="A5" s="5" t="inlineStr">
        <is>
          <t>Balance sheet balances (TA = TE&amp;L)</t>
        </is>
      </c>
      <c r="B5" s="84">
        <f>IF(ABS('Forecast Financial Statements'!B61-'Forecast Financial Statements'!B42)&lt;0.5,"OK","REVIEW")</f>
        <v/>
      </c>
      <c r="C5" s="84">
        <f>IF(ABS('Forecast Financial Statements'!C61-'Forecast Financial Statements'!C42)&lt;0.5,"OK","REVIEW")</f>
        <v/>
      </c>
      <c r="D5" s="84">
        <f>IF(ABS('Forecast Financial Statements'!D61-'Forecast Financial Statements'!D42)&lt;0.5,"OK","REVIEW")</f>
        <v/>
      </c>
      <c r="E5" s="84">
        <f>IF(ABS('Forecast Financial Statements'!E61-'Forecast Financial Statements'!E42)&lt;0.5,"OK","REVIEW")</f>
        <v/>
      </c>
      <c r="F5" s="84">
        <f>IF(ABS('Forecast Financial Statements'!F61-'Forecast Financial Statements'!F42)&lt;0.5,"OK","REVIEW")</f>
        <v/>
      </c>
      <c r="G5" s="84">
        <f>IF(ABS('Forecast Financial Statements'!G61-'Forecast Financial Statements'!G42)&lt;0.5,"OK","REVIEW")</f>
        <v/>
      </c>
      <c r="H5" s="84">
        <f>IF(ABS('Forecast Financial Statements'!H61-'Forecast Financial Statements'!H42)&lt;0.5,"OK","REVIEW")</f>
        <v/>
      </c>
      <c r="I5" s="84">
        <f>IF(ABS('Forecast Financial Statements'!I61-'Forecast Financial Statements'!I42)&lt;0.5,"OK","REVIEW")</f>
        <v/>
      </c>
      <c r="J5" s="84">
        <f>IF(ABS('Forecast Financial Statements'!J61-'Forecast Financial Statements'!J42)&lt;0.5,"OK","REVIEW")</f>
        <v/>
      </c>
      <c r="K5" s="84">
        <f>IF(ABS('Forecast Financial Statements'!K61-'Forecast Financial Statements'!K42)&lt;0.5,"OK","REVIEW")</f>
        <v/>
      </c>
      <c r="L5" s="84">
        <f>IF(ABS('Forecast Financial Statements'!L61-'Forecast Financial Statements'!L42)&lt;0.5,"OK","REVIEW")</f>
        <v/>
      </c>
      <c r="M5" s="84">
        <f>IF(ABS('Forecast Financial Statements'!M61-'Forecast Financial Statements'!M42)&lt;0.5,"OK","REVIEW")</f>
        <v/>
      </c>
      <c r="N5" s="84">
        <f>IF(ABS('Forecast Financial Statements'!N61-'Forecast Financial Statements'!N42)&lt;0.5,"OK","REVIEW")</f>
        <v/>
      </c>
      <c r="O5" s="84">
        <f>IF(ABS('Forecast Financial Statements'!O61-'Forecast Financial Statements'!O42)&lt;0.5,"OK","REVIEW")</f>
        <v/>
      </c>
    </row>
    <row r="6">
      <c r="A6" s="5" t="inlineStr">
        <is>
          <t>Cash: Balance sheet = Cash flow stmt</t>
        </is>
      </c>
      <c r="I6" s="84">
        <f>IF(ABS('Forecast Financial Statements'!I58-'Cash Flow Statement'!I25)&lt;0.5,"OK","REVIEW")</f>
        <v/>
      </c>
      <c r="J6" s="84">
        <f>IF(ABS('Forecast Financial Statements'!J58-'Cash Flow Statement'!J25)&lt;0.5,"OK","REVIEW")</f>
        <v/>
      </c>
      <c r="K6" s="84">
        <f>IF(ABS('Forecast Financial Statements'!K58-'Cash Flow Statement'!K25)&lt;0.5,"OK","REVIEW")</f>
        <v/>
      </c>
      <c r="L6" s="84">
        <f>IF(ABS('Forecast Financial Statements'!L58-'Cash Flow Statement'!L25)&lt;0.5,"OK","REVIEW")</f>
        <v/>
      </c>
      <c r="M6" s="84">
        <f>IF(ABS('Forecast Financial Statements'!M58-'Cash Flow Statement'!M25)&lt;0.5,"OK","REVIEW")</f>
        <v/>
      </c>
      <c r="N6" s="84">
        <f>IF(ABS('Forecast Financial Statements'!N58-'Cash Flow Statement'!N25)&lt;0.5,"OK","REVIEW")</f>
        <v/>
      </c>
      <c r="O6" s="84">
        <f>IF(ABS('Forecast Financial Statements'!O58-'Cash Flow Statement'!O25)&lt;0.5,"OK","REVIEW")</f>
        <v/>
      </c>
    </row>
    <row r="7">
      <c r="A7" s="5" t="inlineStr">
        <is>
          <t>Retained earnings roll-forward ties</t>
        </is>
      </c>
      <c r="I7" s="84">
        <f>IF(ABS('Forecast Financial Statements'!I29-'Equity Schedule'!I10)&lt;0.5,"OK","REVIEW")</f>
        <v/>
      </c>
      <c r="J7" s="84">
        <f>IF(ABS('Forecast Financial Statements'!J29-'Equity Schedule'!J10)&lt;0.5,"OK","REVIEW")</f>
        <v/>
      </c>
      <c r="K7" s="84">
        <f>IF(ABS('Forecast Financial Statements'!K29-'Equity Schedule'!K10)&lt;0.5,"OK","REVIEW")</f>
        <v/>
      </c>
      <c r="L7" s="84">
        <f>IF(ABS('Forecast Financial Statements'!L29-'Equity Schedule'!L10)&lt;0.5,"OK","REVIEW")</f>
        <v/>
      </c>
      <c r="M7" s="84">
        <f>IF(ABS('Forecast Financial Statements'!M29-'Equity Schedule'!M10)&lt;0.5,"OK","REVIEW")</f>
        <v/>
      </c>
      <c r="N7" s="84">
        <f>IF(ABS('Forecast Financial Statements'!N29-'Equity Schedule'!N10)&lt;0.5,"OK","REVIEW")</f>
        <v/>
      </c>
      <c r="O7" s="84">
        <f>IF(ABS('Forecast Financial Statements'!O29-'Equity Schedule'!O10)&lt;0.5,"OK","REVIEW")</f>
        <v/>
      </c>
    </row>
    <row r="8">
      <c r="A8" s="5" t="inlineStr">
        <is>
          <t>Debt roll-forward ties</t>
        </is>
      </c>
      <c r="I8" s="84">
        <f>IF(ABS('Forecast Financial Statements'!I63-'Debt Schedule'!I9)&lt;0.5,"OK","REVIEW")</f>
        <v/>
      </c>
      <c r="J8" s="84">
        <f>IF(ABS('Forecast Financial Statements'!J63-'Debt Schedule'!J9)&lt;0.5,"OK","REVIEW")</f>
        <v/>
      </c>
      <c r="K8" s="84">
        <f>IF(ABS('Forecast Financial Statements'!K63-'Debt Schedule'!K9)&lt;0.5,"OK","REVIEW")</f>
        <v/>
      </c>
      <c r="L8" s="84">
        <f>IF(ABS('Forecast Financial Statements'!L63-'Debt Schedule'!L9)&lt;0.5,"OK","REVIEW")</f>
        <v/>
      </c>
      <c r="M8" s="84">
        <f>IF(ABS('Forecast Financial Statements'!M63-'Debt Schedule'!M9)&lt;0.5,"OK","REVIEW")</f>
        <v/>
      </c>
      <c r="N8" s="84">
        <f>IF(ABS('Forecast Financial Statements'!N63-'Debt Schedule'!N9)&lt;0.5,"OK","REVIEW")</f>
        <v/>
      </c>
      <c r="O8" s="84">
        <f>IF(ABS('Forecast Financial Statements'!O63-'Debt Schedule'!O9)&lt;0.5,"OK","REVIEW")</f>
        <v/>
      </c>
    </row>
    <row r="9">
      <c r="A9" s="5" t="inlineStr">
        <is>
          <t>Depreciation ties to P&amp;L</t>
        </is>
      </c>
      <c r="I9" s="84">
        <f>IF(ABS('Forecast Financial Statements'!I13-'Depreciation Schedule'!I8)&lt;0.5,"OK","REVIEW")</f>
        <v/>
      </c>
      <c r="J9" s="84">
        <f>IF(ABS('Forecast Financial Statements'!J13-'Depreciation Schedule'!J8)&lt;0.5,"OK","REVIEW")</f>
        <v/>
      </c>
      <c r="K9" s="84">
        <f>IF(ABS('Forecast Financial Statements'!K13-'Depreciation Schedule'!K8)&lt;0.5,"OK","REVIEW")</f>
        <v/>
      </c>
      <c r="L9" s="84">
        <f>IF(ABS('Forecast Financial Statements'!L13-'Depreciation Schedule'!L8)&lt;0.5,"OK","REVIEW")</f>
        <v/>
      </c>
      <c r="M9" s="84">
        <f>IF(ABS('Forecast Financial Statements'!M13-'Depreciation Schedule'!M8)&lt;0.5,"OK","REVIEW")</f>
        <v/>
      </c>
      <c r="N9" s="84">
        <f>IF(ABS('Forecast Financial Statements'!N13-'Depreciation Schedule'!N8)&lt;0.5,"OK","REVIEW")</f>
        <v/>
      </c>
      <c r="O9" s="84">
        <f>IF(ABS('Forecast Financial Statements'!O13-'Depreciation Schedule'!O8)&lt;0.5,"OK","REVIEW")</f>
        <v/>
      </c>
    </row>
    <row r="10">
      <c r="A10" s="5" t="inlineStr">
        <is>
          <t>Revenue ties to Revenue Build-up</t>
        </is>
      </c>
      <c r="I10" s="84">
        <f>IF(ABS('Forecast Financial Statements'!I5-'Revenue Build-up'!I15)&lt;0.5,"OK","REVIEW")</f>
        <v/>
      </c>
      <c r="J10" s="84">
        <f>IF(ABS('Forecast Financial Statements'!J5-'Revenue Build-up'!J15)&lt;0.5,"OK","REVIEW")</f>
        <v/>
      </c>
      <c r="K10" s="84">
        <f>IF(ABS('Forecast Financial Statements'!K5-'Revenue Build-up'!K15)&lt;0.5,"OK","REVIEW")</f>
        <v/>
      </c>
      <c r="L10" s="84">
        <f>IF(ABS('Forecast Financial Statements'!L5-'Revenue Build-up'!L15)&lt;0.5,"OK","REVIEW")</f>
        <v/>
      </c>
      <c r="M10" s="84">
        <f>IF(ABS('Forecast Financial Statements'!M5-'Revenue Build-up'!M15)&lt;0.5,"OK","REVIEW")</f>
        <v/>
      </c>
      <c r="N10" s="84">
        <f>IF(ABS('Forecast Financial Statements'!N5-'Revenue Build-up'!N15)&lt;0.5,"OK","REVIEW")</f>
        <v/>
      </c>
      <c r="O10" s="84">
        <f>IF(ABS('Forecast Financial Statements'!O5-'Revenue Build-up'!O15)&lt;0.5,"OK","REVIEW")</f>
        <v/>
      </c>
    </row>
    <row r="11">
      <c r="A11" s="5" t="inlineStr">
        <is>
          <t>Net fixed assets tie to FA schedule</t>
        </is>
      </c>
      <c r="I11" s="84">
        <f>IF(ABS('Forecast Financial Statements'!I47-'Fixed Asset Schedule'!I10)&lt;0.5,"OK","REVIEW")</f>
        <v/>
      </c>
      <c r="J11" s="84">
        <f>IF(ABS('Forecast Financial Statements'!J47-'Fixed Asset Schedule'!J10)&lt;0.5,"OK","REVIEW")</f>
        <v/>
      </c>
      <c r="K11" s="84">
        <f>IF(ABS('Forecast Financial Statements'!K47-'Fixed Asset Schedule'!K10)&lt;0.5,"OK","REVIEW")</f>
        <v/>
      </c>
      <c r="L11" s="84">
        <f>IF(ABS('Forecast Financial Statements'!L47-'Fixed Asset Schedule'!L10)&lt;0.5,"OK","REVIEW")</f>
        <v/>
      </c>
      <c r="M11" s="84">
        <f>IF(ABS('Forecast Financial Statements'!M47-'Fixed Asset Schedule'!M10)&lt;0.5,"OK","REVIEW")</f>
        <v/>
      </c>
      <c r="N11" s="84">
        <f>IF(ABS('Forecast Financial Statements'!N47-'Fixed Asset Schedule'!N10)&lt;0.5,"OK","REVIEW")</f>
        <v/>
      </c>
      <c r="O11" s="84">
        <f>IF(ABS('Forecast Financial Statements'!O47-'Fixed Asset Schedule'!O10)&lt;0.5,"OK","REVIEW")</f>
        <v/>
      </c>
    </row>
    <row r="13">
      <c r="A13" s="5" t="inlineStr">
        <is>
          <t>Historical balance check max |diff| (FY20-26)</t>
        </is>
      </c>
      <c r="C13" s="85">
        <f>MAX(ABS('Historical Financial Statements'!B38),ABS('Historical Financial Statements'!C38),ABS('Historical Financial Statements'!D38),ABS('Historical Financial Statements'!E38),ABS('Historical Financial Statements'!F38),ABS('Historical Financial Statements'!G38),ABS('Historical Financial Statements'!H38))</f>
        <v/>
      </c>
    </row>
    <row r="14">
      <c r="A14" s="5" t="inlineStr">
        <is>
          <t>Forecast balance check max |diff|</t>
        </is>
      </c>
      <c r="C14" s="85">
        <f>MAX(ABS('Forecast Financial Statements'!I62),ABS('Forecast Financial Statements'!J62),ABS('Forecast Financial Statements'!K62),ABS('Forecast Financial Statements'!L62),ABS('Forecast Financial Statements'!M62),ABS('Forecast Financial Statements'!N62),ABS('Forecast Financial Statements'!O62))</f>
        <v/>
      </c>
    </row>
    <row r="15">
      <c r="A15" s="5" t="inlineStr">
        <is>
          <t>Circular references</t>
        </is>
      </c>
      <c r="C15" s="5" t="inlineStr">
        <is>
          <t>None (interest on opening debt)</t>
        </is>
      </c>
    </row>
    <row r="16">
      <c r="A16" s="4" t="inlineStr">
        <is>
          <t>Overall model status</t>
        </is>
      </c>
      <c r="C16" s="86">
        <f>IF(COUNTIF(B5:O11,"REVIEW")=0,"ALL CHECKS PASS","REVIEW REQUIRED")</f>
        <v/>
      </c>
    </row>
  </sheetData>
  <conditionalFormatting sqref="B5:O11">
    <cfRule type="cellIs" priority="1" operator="equal" dxfId="0">
      <formula>"OK"</formula>
    </cfRule>
    <cfRule type="cellIs" priority="2" operator="equal" dxfId="1">
      <formula>"REVIEW"</formula>
    </cfRule>
  </conditionalFormatting>
  <conditionalFormatting sqref="C16">
    <cfRule type="cellIs" priority="3" operator="equal" dxfId="0">
      <formula>"ALL CHECKS PASS"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2026-07-02T10:59:58Z</dcterms:created>
  <dcterms:modified xsi:type="dcterms:W3CDTF">2026-07-02T10:59:58Z</dcterms:modified>
</cp:coreProperties>
</file>