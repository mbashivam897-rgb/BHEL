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0.024</v>
      </c>
      <c r="J23" s="19" t="n">
        <v>0.024</v>
      </c>
      <c r="K23" s="19" t="n">
        <v>0.024</v>
      </c>
      <c r="L23" s="19" t="n">
        <v>0.024</v>
      </c>
      <c r="M23" s="19" t="n">
        <v>0.024</v>
      </c>
      <c r="N23" s="19" t="n">
        <v>0.024</v>
      </c>
      <c r="O23" s="19" t="n">
        <v>0.024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73</v>
      </c>
      <c r="K37" s="20" t="n">
        <v>72</v>
      </c>
      <c r="L37" s="20" t="n">
        <v>71</v>
      </c>
      <c r="M37" s="20" t="n">
        <v>70</v>
      </c>
      <c r="N37" s="20" t="n">
        <v>69</v>
      </c>
      <c r="O37" s="20" t="n">
        <v>68</v>
      </c>
    </row>
    <row r="38">
      <c r="A38" s="5" t="inlineStr">
        <is>
          <t>Inventory days (vs COGS)</t>
        </is>
      </c>
      <c r="I38" s="20" t="n">
        <v>210</v>
      </c>
      <c r="J38" s="20" t="n">
        <v>207</v>
      </c>
      <c r="K38" s="20" t="n">
        <v>204</v>
      </c>
      <c r="L38" s="20" t="n">
        <v>201</v>
      </c>
      <c r="M38" s="20" t="n">
        <v>198</v>
      </c>
      <c r="N38" s="20" t="n">
        <v>195</v>
      </c>
      <c r="O38" s="20" t="n">
        <v>192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0.44</v>
      </c>
      <c r="K40" s="19" t="n">
        <v>0.43</v>
      </c>
      <c r="L40" s="19" t="n">
        <v>0.42</v>
      </c>
      <c r="M40" s="19" t="n">
        <v>0.41</v>
      </c>
      <c r="N40" s="19" t="n">
        <v>0.4</v>
      </c>
      <c r="O40" s="19" t="n">
        <v>0.39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0.28</v>
      </c>
      <c r="K41" s="19" t="n">
        <v>0.28</v>
      </c>
      <c r="L41" s="19" t="n">
        <v>0.29</v>
      </c>
      <c r="M41" s="19" t="n">
        <v>0.29</v>
      </c>
      <c r="N41" s="19" t="n">
        <v>0.3</v>
      </c>
      <c r="O41" s="19" t="n">
        <v>0.3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0</v>
      </c>
      <c r="J49" s="17" t="n">
        <v>0</v>
      </c>
      <c r="K49" s="17" t="n">
        <v>0</v>
      </c>
      <c r="L49" s="17" t="n">
        <v>0</v>
      </c>
      <c r="M49" s="17" t="n">
        <v>0</v>
      </c>
      <c r="N49" s="17" t="n">
        <v>0</v>
      </c>
      <c r="O49" s="17" t="n">
        <v>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= execution rate x opening order book. Implies ~13.5% revenue CAGR - within management guidance of 12-15% CAGR (Q4FY24 concall). BHEL has ~10 GW/yr execution capacity (demonstrated 12 GW); 80+ GW thermal to be ordered by 2032. Historically executed ~15-17% of opening OB.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74 -&gt; 68</t>
        </is>
      </c>
      <c r="C24" s="29" t="inlineStr">
        <is>
          <t>Audited history 49-121 (FY26 73). Tapered down per management WC-improvement focus (Q4FY24 concall): legacy dues clearing within a quarter of milestone completion.</t>
        </is>
      </c>
    </row>
    <row r="25" ht="46" customHeight="1">
      <c r="A25" s="27" t="inlineStr">
        <is>
          <t>Inventory days (vs COGS)</t>
        </is>
      </c>
      <c r="B25" s="28" t="inlineStr">
        <is>
          <t>210 -&gt; 192</t>
        </is>
      </c>
      <c r="C25" s="29" t="inlineStr">
        <is>
          <t>Audited history 151-232 (FY26 212); long project cycle. Tapered per management guidance on better execution &amp; supply-chain/vendor normalisation (Q4FY24 concall).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 -&gt; 39%</t>
        </is>
      </c>
      <c r="C27" s="29" t="inlineStr">
        <is>
          <t>Unbilled revenue on long-cycle EPC (percentage-of-completion). Audited FY26 current contract assets = 45% of revenue. Tapered down per management guidance (Q4FY24 concall, 21-May-24): legacy NTPC projects clearing, faster milestone billing and improved payment terms -&gt; working capital "getting better".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 -&gt; 30%</t>
        </is>
      </c>
      <c r="C28" s="29" t="inlineStr">
        <is>
          <t>Customer advances &amp; billing-in-excess - key WC funding. Audited FY26 = 27% of revenue. Rising modestly per management (Q4FY24 concall): improved advance / milestone payment terms on new orders (e.g. NTPC bulk orders).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~2% LT / 98% ST</t>
        </is>
      </c>
      <c r="C34" s="29" t="inlineStr">
        <is>
          <t>Audited: BHEL borrowings are almost entirely short-term working-capital lines. The only "long-term" borrowing is lease liabilities (~Rs170 cr in FY26 = 2.05% of total; FY20-26 range 0.3-2.1%). Re-anchored from the prior arbitrary 35% split to the audited actual ~2%.</t>
        </is>
      </c>
    </row>
    <row r="35" ht="46" customHeight="1">
      <c r="A35" s="27" t="inlineStr">
        <is>
          <t>New borrowings / repayment</t>
        </is>
      </c>
      <c r="B35" s="28" t="inlineStr">
        <is>
          <t>held flat</t>
        </is>
      </c>
      <c r="C35" s="29" t="inlineStr">
        <is>
          <t>BHEL borrowings are short-term working-capital lines (not a term loan) - no fixed repayment schedule. Held flat: the large cash balance (net cash ~Rs3,700 cr) funds working-capital growth. The prior Rs1,000 cr/yr repayment was an unsupported placeholder. Financing choices do not affect FCFF/EV (pre-financing).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perpetuity. Terminal FCFF is NORMALIZED so working capital grows at g (steady state), not at the FY33 high-growth rate - otherwise the terminal value understates value because the last explicit year still carries a large growth-driven WC investment.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seeds are AUDITED actuals (BHEL FY26 BSE filing); used to anchor the forecast. Contract assets/liabilities shown at their current portion; the non-current portion sits in the "other" catch-alls and is carved out on the balance sheet.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25199.61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22250.07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seed, audited)</t>
        </is>
      </c>
      <c r="H19" s="46" t="n">
        <v>11866.62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growth, normalized WC)</t>
        </is>
      </c>
      <c r="C21" s="53">
        <f>(O8+O9+O10-C20*'Working Capital Schedule'!O17)*(1+C20)/(C19-C20)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59" t="n">
        <v>5.5</v>
      </c>
      <c r="C6" s="59" t="n">
        <v>42</v>
      </c>
      <c r="D6" s="59" t="n">
        <v>60</v>
      </c>
      <c r="E6" s="59" t="n">
        <v>9</v>
      </c>
      <c r="F6" s="60" t="n">
        <v>0.4</v>
      </c>
    </row>
    <row r="7">
      <c r="A7" s="5" t="inlineStr">
        <is>
          <t>ABB India</t>
        </is>
      </c>
      <c r="B7" s="59" t="n">
        <v>7</v>
      </c>
      <c r="C7" s="59" t="n">
        <v>50</v>
      </c>
      <c r="D7" s="59" t="n">
        <v>68</v>
      </c>
      <c r="E7" s="59" t="n">
        <v>14</v>
      </c>
      <c r="F7" s="60" t="n">
        <v>0.4</v>
      </c>
    </row>
    <row r="8">
      <c r="A8" s="5" t="inlineStr">
        <is>
          <t>CG Power &amp; Ind.</t>
        </is>
      </c>
      <c r="B8" s="59" t="n">
        <v>6.5</v>
      </c>
      <c r="C8" s="59" t="n">
        <v>45</v>
      </c>
      <c r="D8" s="59" t="n">
        <v>62</v>
      </c>
      <c r="E8" s="59" t="n">
        <v>18</v>
      </c>
      <c r="F8" s="60" t="n">
        <v>0.2</v>
      </c>
    </row>
    <row r="9">
      <c r="A9" s="5" t="inlineStr">
        <is>
          <t>GE Vernova T&amp;D India</t>
        </is>
      </c>
      <c r="B9" s="59" t="n">
        <v>8</v>
      </c>
      <c r="C9" s="59" t="n">
        <v>48</v>
      </c>
      <c r="D9" s="59" t="n">
        <v>65</v>
      </c>
      <c r="E9" s="59" t="n">
        <v>20</v>
      </c>
      <c r="F9" s="60" t="n">
        <v>0.1</v>
      </c>
    </row>
    <row r="10">
      <c r="A10" s="5" t="inlineStr">
        <is>
          <t>Thermax</t>
        </is>
      </c>
      <c r="B10" s="59" t="n">
        <v>4</v>
      </c>
      <c r="C10" s="59" t="n">
        <v>38</v>
      </c>
      <c r="D10" s="59" t="n">
        <v>55</v>
      </c>
      <c r="E10" s="59" t="n">
        <v>8</v>
      </c>
      <c r="F10" s="60" t="n">
        <v>0.3</v>
      </c>
    </row>
    <row r="11">
      <c r="A11" s="5" t="inlineStr">
        <is>
          <t>Triveni Turbine</t>
        </is>
      </c>
      <c r="B11" s="59" t="n">
        <v>7.5</v>
      </c>
      <c r="C11" s="59" t="n">
        <v>40</v>
      </c>
      <c r="D11" s="59" t="n">
        <v>52</v>
      </c>
      <c r="E11" s="59" t="n">
        <v>16</v>
      </c>
      <c r="F11" s="60" t="n">
        <v>0.5</v>
      </c>
    </row>
    <row r="12">
      <c r="A12" s="5" t="inlineStr">
        <is>
          <t>Larsen &amp; Toubro</t>
        </is>
      </c>
      <c r="B12" s="59" t="n">
        <v>2</v>
      </c>
      <c r="C12" s="59" t="n">
        <v>22</v>
      </c>
      <c r="D12" s="59" t="n">
        <v>32</v>
      </c>
      <c r="E12" s="59" t="n">
        <v>5</v>
      </c>
      <c r="F12" s="60" t="n">
        <v>0.7</v>
      </c>
    </row>
    <row r="13">
      <c r="A13" s="5" t="inlineStr">
        <is>
          <t>Kalpataru Projects</t>
        </is>
      </c>
      <c r="B13" s="59" t="n">
        <v>0.9</v>
      </c>
      <c r="C13" s="59" t="n">
        <v>12</v>
      </c>
      <c r="D13" s="59" t="n">
        <v>22</v>
      </c>
      <c r="E13" s="59" t="n">
        <v>3</v>
      </c>
      <c r="F13" s="60" t="n">
        <v>0.4</v>
      </c>
    </row>
    <row r="14">
      <c r="A14" s="61" t="inlineStr">
        <is>
          <t>Median</t>
        </is>
      </c>
      <c r="B14" s="62">
        <f>MEDIAN(B6:B13)</f>
        <v/>
      </c>
      <c r="C14" s="62">
        <f>MEDIAN(C6:C13)</f>
        <v/>
      </c>
      <c r="D14" s="62">
        <f>MEDIAN(D6:D13)</f>
        <v/>
      </c>
      <c r="E14" s="62">
        <f>MEDIAN(E6:E13)</f>
        <v/>
      </c>
      <c r="F14" s="63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5">
        <f>'Forecast Financial Statements'!I5</f>
        <v/>
      </c>
    </row>
    <row r="18">
      <c r="A18" s="5" t="inlineStr">
        <is>
          <t>BHEL FY2027E EBITDA</t>
        </is>
      </c>
      <c r="C18" s="55">
        <f>'Forecast Financial Statements'!I12</f>
        <v/>
      </c>
    </row>
    <row r="19">
      <c r="A19" s="5" t="inlineStr">
        <is>
          <t>BHEL FY2027E EPS (INR)</t>
        </is>
      </c>
      <c r="C19" s="58">
        <f>'Forecast Financial Statements'!I21</f>
        <v/>
      </c>
    </row>
    <row r="20">
      <c r="A20" s="5" t="inlineStr">
        <is>
          <t>Net debt (FY26)</t>
        </is>
      </c>
      <c r="C20" s="55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3">
        <f>C18*C14</f>
        <v/>
      </c>
    </row>
    <row r="23">
      <c r="A23" s="5" t="inlineStr">
        <is>
          <t>Implied equity value (EV/EBITDA)</t>
        </is>
      </c>
      <c r="C23" s="53">
        <f>C22-C20</f>
        <v/>
      </c>
    </row>
    <row r="24">
      <c r="A24" s="4" t="inlineStr">
        <is>
          <t>Implied price - EV/EBITDA (INR)</t>
        </is>
      </c>
      <c r="C24" s="57">
        <f>C23/'Assumptions'!C66</f>
        <v/>
      </c>
    </row>
    <row r="25">
      <c r="A25" s="4" t="inlineStr">
        <is>
          <t>Implied price - P/E method (INR)</t>
        </is>
      </c>
      <c r="C25" s="57">
        <f>C19*D14</f>
        <v/>
      </c>
    </row>
    <row r="26">
      <c r="A26" s="5" t="inlineStr">
        <is>
          <t>Implied EV (EV/Revenue method)</t>
        </is>
      </c>
      <c r="C26" s="53">
        <f>C17*B14</f>
        <v/>
      </c>
    </row>
    <row r="27">
      <c r="A27" s="4" t="inlineStr">
        <is>
          <t>Implied price - EV/Revenue (INR)</t>
        </is>
      </c>
      <c r="C27" s="57">
        <f>(C26-C20)/'Assumptions'!C66</f>
        <v/>
      </c>
    </row>
    <row r="29">
      <c r="A29" s="4" t="inlineStr">
        <is>
          <t>Average implied target price (INR)</t>
        </is>
      </c>
      <c r="C29" s="64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6">
        <f>(SUMPRODUCT('DCF Valuation'!$I$12:$O$12,(1+$B6)^(-'DCF Valuation'!$I$13:$O$13))+('DCF Valuation'!$O$12*(1+C$5)/($B6-C$5))*(1+$B6)^(-7)+'DCF Valuation'!$C$24)/'DCF Valuation'!$C$26</f>
        <v/>
      </c>
      <c r="D6" s="66">
        <f>(SUMPRODUCT('DCF Valuation'!$I$12:$O$12,(1+$B6)^(-'DCF Valuation'!$I$13:$O$13))+('DCF Valuation'!$O$12*(1+D$5)/($B6-D$5))*(1+$B6)^(-7)+'DCF Valuation'!$C$24)/'DCF Valuation'!$C$26</f>
        <v/>
      </c>
      <c r="E6" s="66">
        <f>(SUMPRODUCT('DCF Valuation'!$I$12:$O$12,(1+$B6)^(-'DCF Valuation'!$I$13:$O$13))+('DCF Valuation'!$O$12*(1+E$5)/($B6-E$5))*(1+$B6)^(-7)+'DCF Valuation'!$C$24)/'DCF Valuation'!$C$26</f>
        <v/>
      </c>
      <c r="F6" s="66">
        <f>(SUMPRODUCT('DCF Valuation'!$I$12:$O$12,(1+$B6)^(-'DCF Valuation'!$I$13:$O$13))+('DCF Valuation'!$O$12*(1+F$5)/($B6-F$5))*(1+$B6)^(-7)+'DCF Valuation'!$C$24)/'DCF Valuation'!$C$26</f>
        <v/>
      </c>
      <c r="G6" s="66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6">
        <f>(SUMPRODUCT('DCF Valuation'!$I$12:$O$12,(1+$B7)^(-'DCF Valuation'!$I$13:$O$13))+('DCF Valuation'!$O$12*(1+C$5)/($B7-C$5))*(1+$B7)^(-7)+'DCF Valuation'!$C$24)/'DCF Valuation'!$C$26</f>
        <v/>
      </c>
      <c r="D7" s="66">
        <f>(SUMPRODUCT('DCF Valuation'!$I$12:$O$12,(1+$B7)^(-'DCF Valuation'!$I$13:$O$13))+('DCF Valuation'!$O$12*(1+D$5)/($B7-D$5))*(1+$B7)^(-7)+'DCF Valuation'!$C$24)/'DCF Valuation'!$C$26</f>
        <v/>
      </c>
      <c r="E7" s="66">
        <f>(SUMPRODUCT('DCF Valuation'!$I$12:$O$12,(1+$B7)^(-'DCF Valuation'!$I$13:$O$13))+('DCF Valuation'!$O$12*(1+E$5)/($B7-E$5))*(1+$B7)^(-7)+'DCF Valuation'!$C$24)/'DCF Valuation'!$C$26</f>
        <v/>
      </c>
      <c r="F7" s="66">
        <f>(SUMPRODUCT('DCF Valuation'!$I$12:$O$12,(1+$B7)^(-'DCF Valuation'!$I$13:$O$13))+('DCF Valuation'!$O$12*(1+F$5)/($B7-F$5))*(1+$B7)^(-7)+'DCF Valuation'!$C$24)/'DCF Valuation'!$C$26</f>
        <v/>
      </c>
      <c r="G7" s="66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6">
        <f>(SUMPRODUCT('DCF Valuation'!$I$12:$O$12,(1+$B8)^(-'DCF Valuation'!$I$13:$O$13))+('DCF Valuation'!$O$12*(1+C$5)/($B8-C$5))*(1+$B8)^(-7)+'DCF Valuation'!$C$24)/'DCF Valuation'!$C$26</f>
        <v/>
      </c>
      <c r="D8" s="66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6">
        <f>(SUMPRODUCT('DCF Valuation'!$I$12:$O$12,(1+$B8)^(-'DCF Valuation'!$I$13:$O$13))+('DCF Valuation'!$O$12*(1+F$5)/($B8-F$5))*(1+$B8)^(-7)+'DCF Valuation'!$C$24)/'DCF Valuation'!$C$26</f>
        <v/>
      </c>
      <c r="G8" s="66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6">
        <f>(SUMPRODUCT('DCF Valuation'!$I$12:$O$12,(1+$B9)^(-'DCF Valuation'!$I$13:$O$13))+('DCF Valuation'!$O$12*(1+C$5)/($B9-C$5))*(1+$B9)^(-7)+'DCF Valuation'!$C$24)/'DCF Valuation'!$C$26</f>
        <v/>
      </c>
      <c r="D9" s="66">
        <f>(SUMPRODUCT('DCF Valuation'!$I$12:$O$12,(1+$B9)^(-'DCF Valuation'!$I$13:$O$13))+('DCF Valuation'!$O$12*(1+D$5)/($B9-D$5))*(1+$B9)^(-7)+'DCF Valuation'!$C$24)/'DCF Valuation'!$C$26</f>
        <v/>
      </c>
      <c r="E9" s="66">
        <f>(SUMPRODUCT('DCF Valuation'!$I$12:$O$12,(1+$B9)^(-'DCF Valuation'!$I$13:$O$13))+('DCF Valuation'!$O$12*(1+E$5)/($B9-E$5))*(1+$B9)^(-7)+'DCF Valuation'!$C$24)/'DCF Valuation'!$C$26</f>
        <v/>
      </c>
      <c r="F9" s="66">
        <f>(SUMPRODUCT('DCF Valuation'!$I$12:$O$12,(1+$B9)^(-'DCF Valuation'!$I$13:$O$13))+('DCF Valuation'!$O$12*(1+F$5)/($B9-F$5))*(1+$B9)^(-7)+'DCF Valuation'!$C$24)/'DCF Valuation'!$C$26</f>
        <v/>
      </c>
      <c r="G9" s="66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6">
        <f>(SUMPRODUCT('DCF Valuation'!$I$12:$O$12,(1+$B10)^(-'DCF Valuation'!$I$13:$O$13))+('DCF Valuation'!$O$12*(1+C$5)/($B10-C$5))*(1+$B10)^(-7)+'DCF Valuation'!$C$24)/'DCF Valuation'!$C$26</f>
        <v/>
      </c>
      <c r="D10" s="66">
        <f>(SUMPRODUCT('DCF Valuation'!$I$12:$O$12,(1+$B10)^(-'DCF Valuation'!$I$13:$O$13))+('DCF Valuation'!$O$12*(1+D$5)/($B10-D$5))*(1+$B10)^(-7)+'DCF Valuation'!$C$24)/'DCF Valuation'!$C$26</f>
        <v/>
      </c>
      <c r="E10" s="66">
        <f>(SUMPRODUCT('DCF Valuation'!$I$12:$O$12,(1+$B10)^(-'DCF Valuation'!$I$13:$O$13))+('DCF Valuation'!$O$12*(1+E$5)/($B10-E$5))*(1+$B10)^(-7)+'DCF Valuation'!$C$24)/'DCF Valuation'!$C$26</f>
        <v/>
      </c>
      <c r="F10" s="66">
        <f>(SUMPRODUCT('DCF Valuation'!$I$12:$O$12,(1+$B10)^(-'DCF Valuation'!$I$13:$O$13))+('DCF Valuation'!$O$12*(1+F$5)/($B10-F$5))*(1+$B10)^(-7)+'DCF Valuation'!$C$24)/'DCF Valuation'!$C$26</f>
        <v/>
      </c>
      <c r="G10" s="66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4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7">
        <f>'DCF Valuation'!C27</f>
        <v/>
      </c>
      <c r="B4" s="67">
        <f>'DCF Valuation'!C28</f>
        <v/>
      </c>
      <c r="D4" s="68">
        <f>'DCF Valuation'!C29</f>
        <v/>
      </c>
      <c r="E4" s="67">
        <f>'Scenario Analysis'!B17</f>
        <v/>
      </c>
      <c r="G4" s="67">
        <f>'Relative Valuation'!C29</f>
        <v/>
      </c>
      <c r="H4" s="68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69">
        <f>'Forecast Financial Statements'!I5</f>
        <v/>
      </c>
      <c r="B7" s="69">
        <f>'Forecast Financial Statements'!O5</f>
        <v/>
      </c>
      <c r="D7" s="68">
        <f>'Forecast Financial Statements'!I12/'Forecast Financial Statements'!I5</f>
        <v/>
      </c>
      <c r="E7" s="68">
        <f>'Forecast Financial Statements'!O12/'Forecast Financial Statements'!O5</f>
        <v/>
      </c>
      <c r="G7" s="69">
        <f>'Revenue Build-up'!H10</f>
        <v/>
      </c>
      <c r="H7" s="69">
        <f>'Forecast Financial Statements'!O20</f>
        <v/>
      </c>
    </row>
    <row r="9">
      <c r="A9" s="6" t="inlineStr">
        <is>
          <t>DCF bridge (INR Cr)</t>
        </is>
      </c>
    </row>
    <row r="10">
      <c r="A10" s="70" t="inlineStr">
        <is>
          <t>PV of explicit FCFF</t>
        </is>
      </c>
      <c r="B10" s="55">
        <f>'DCF Valuation'!C18</f>
        <v/>
      </c>
    </row>
    <row r="11">
      <c r="A11" s="70" t="inlineStr">
        <is>
          <t>PV of terminal value</t>
        </is>
      </c>
      <c r="B11" s="55">
        <f>'DCF Valuation'!C22</f>
        <v/>
      </c>
    </row>
    <row r="12">
      <c r="A12" s="70" t="inlineStr">
        <is>
          <t>Enterprise value</t>
        </is>
      </c>
      <c r="B12" s="55">
        <f>'DCF Valuation'!C23</f>
        <v/>
      </c>
    </row>
    <row r="13">
      <c r="A13" s="70" t="inlineStr">
        <is>
          <t>Less: net debt</t>
        </is>
      </c>
      <c r="B13" s="55">
        <f>'DCF Valuation'!C24</f>
        <v/>
      </c>
    </row>
    <row r="14">
      <c r="A14" s="70" t="inlineStr">
        <is>
          <t>Equity value</t>
        </is>
      </c>
      <c r="B14" s="55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1">
        <f>IF(ABS('Forecast Financial Statements'!B61-'Forecast Financial Statements'!B42)&lt;0.5,"OK","REVIEW")</f>
        <v/>
      </c>
      <c r="C5" s="71">
        <f>IF(ABS('Forecast Financial Statements'!C61-'Forecast Financial Statements'!C42)&lt;0.5,"OK","REVIEW")</f>
        <v/>
      </c>
      <c r="D5" s="71">
        <f>IF(ABS('Forecast Financial Statements'!D61-'Forecast Financial Statements'!D42)&lt;0.5,"OK","REVIEW")</f>
        <v/>
      </c>
      <c r="E5" s="71">
        <f>IF(ABS('Forecast Financial Statements'!E61-'Forecast Financial Statements'!E42)&lt;0.5,"OK","REVIEW")</f>
        <v/>
      </c>
      <c r="F5" s="71">
        <f>IF(ABS('Forecast Financial Statements'!F61-'Forecast Financial Statements'!F42)&lt;0.5,"OK","REVIEW")</f>
        <v/>
      </c>
      <c r="G5" s="71">
        <f>IF(ABS('Forecast Financial Statements'!G61-'Forecast Financial Statements'!G42)&lt;0.5,"OK","REVIEW")</f>
        <v/>
      </c>
      <c r="H5" s="71">
        <f>IF(ABS('Forecast Financial Statements'!H61-'Forecast Financial Statements'!H42)&lt;0.5,"OK","REVIEW")</f>
        <v/>
      </c>
      <c r="I5" s="71">
        <f>IF(ABS('Forecast Financial Statements'!I61-'Forecast Financial Statements'!I42)&lt;0.5,"OK","REVIEW")</f>
        <v/>
      </c>
      <c r="J5" s="71">
        <f>IF(ABS('Forecast Financial Statements'!J61-'Forecast Financial Statements'!J42)&lt;0.5,"OK","REVIEW")</f>
        <v/>
      </c>
      <c r="K5" s="71">
        <f>IF(ABS('Forecast Financial Statements'!K61-'Forecast Financial Statements'!K42)&lt;0.5,"OK","REVIEW")</f>
        <v/>
      </c>
      <c r="L5" s="71">
        <f>IF(ABS('Forecast Financial Statements'!L61-'Forecast Financial Statements'!L42)&lt;0.5,"OK","REVIEW")</f>
        <v/>
      </c>
      <c r="M5" s="71">
        <f>IF(ABS('Forecast Financial Statements'!M61-'Forecast Financial Statements'!M42)&lt;0.5,"OK","REVIEW")</f>
        <v/>
      </c>
      <c r="N5" s="71">
        <f>IF(ABS('Forecast Financial Statements'!N61-'Forecast Financial Statements'!N42)&lt;0.5,"OK","REVIEW")</f>
        <v/>
      </c>
      <c r="O5" s="71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1">
        <f>IF(ABS('Forecast Financial Statements'!I58-'Cash Flow Statement'!I25)&lt;0.5,"OK","REVIEW")</f>
        <v/>
      </c>
      <c r="J6" s="71">
        <f>IF(ABS('Forecast Financial Statements'!J58-'Cash Flow Statement'!J25)&lt;0.5,"OK","REVIEW")</f>
        <v/>
      </c>
      <c r="K6" s="71">
        <f>IF(ABS('Forecast Financial Statements'!K58-'Cash Flow Statement'!K25)&lt;0.5,"OK","REVIEW")</f>
        <v/>
      </c>
      <c r="L6" s="71">
        <f>IF(ABS('Forecast Financial Statements'!L58-'Cash Flow Statement'!L25)&lt;0.5,"OK","REVIEW")</f>
        <v/>
      </c>
      <c r="M6" s="71">
        <f>IF(ABS('Forecast Financial Statements'!M58-'Cash Flow Statement'!M25)&lt;0.5,"OK","REVIEW")</f>
        <v/>
      </c>
      <c r="N6" s="71">
        <f>IF(ABS('Forecast Financial Statements'!N58-'Cash Flow Statement'!N25)&lt;0.5,"OK","REVIEW")</f>
        <v/>
      </c>
      <c r="O6" s="71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1">
        <f>IF(ABS('Forecast Financial Statements'!I29-'Equity Schedule'!I10)&lt;0.5,"OK","REVIEW")</f>
        <v/>
      </c>
      <c r="J7" s="71">
        <f>IF(ABS('Forecast Financial Statements'!J29-'Equity Schedule'!J10)&lt;0.5,"OK","REVIEW")</f>
        <v/>
      </c>
      <c r="K7" s="71">
        <f>IF(ABS('Forecast Financial Statements'!K29-'Equity Schedule'!K10)&lt;0.5,"OK","REVIEW")</f>
        <v/>
      </c>
      <c r="L7" s="71">
        <f>IF(ABS('Forecast Financial Statements'!L29-'Equity Schedule'!L10)&lt;0.5,"OK","REVIEW")</f>
        <v/>
      </c>
      <c r="M7" s="71">
        <f>IF(ABS('Forecast Financial Statements'!M29-'Equity Schedule'!M10)&lt;0.5,"OK","REVIEW")</f>
        <v/>
      </c>
      <c r="N7" s="71">
        <f>IF(ABS('Forecast Financial Statements'!N29-'Equity Schedule'!N10)&lt;0.5,"OK","REVIEW")</f>
        <v/>
      </c>
      <c r="O7" s="71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1">
        <f>IF(ABS('Forecast Financial Statements'!I63-'Debt Schedule'!I9)&lt;0.5,"OK","REVIEW")</f>
        <v/>
      </c>
      <c r="J8" s="71">
        <f>IF(ABS('Forecast Financial Statements'!J63-'Debt Schedule'!J9)&lt;0.5,"OK","REVIEW")</f>
        <v/>
      </c>
      <c r="K8" s="71">
        <f>IF(ABS('Forecast Financial Statements'!K63-'Debt Schedule'!K9)&lt;0.5,"OK","REVIEW")</f>
        <v/>
      </c>
      <c r="L8" s="71">
        <f>IF(ABS('Forecast Financial Statements'!L63-'Debt Schedule'!L9)&lt;0.5,"OK","REVIEW")</f>
        <v/>
      </c>
      <c r="M8" s="71">
        <f>IF(ABS('Forecast Financial Statements'!M63-'Debt Schedule'!M9)&lt;0.5,"OK","REVIEW")</f>
        <v/>
      </c>
      <c r="N8" s="71">
        <f>IF(ABS('Forecast Financial Statements'!N63-'Debt Schedule'!N9)&lt;0.5,"OK","REVIEW")</f>
        <v/>
      </c>
      <c r="O8" s="71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1">
        <f>IF(ABS('Forecast Financial Statements'!I13-'Depreciation Schedule'!I8)&lt;0.5,"OK","REVIEW")</f>
        <v/>
      </c>
      <c r="J9" s="71">
        <f>IF(ABS('Forecast Financial Statements'!J13-'Depreciation Schedule'!J8)&lt;0.5,"OK","REVIEW")</f>
        <v/>
      </c>
      <c r="K9" s="71">
        <f>IF(ABS('Forecast Financial Statements'!K13-'Depreciation Schedule'!K8)&lt;0.5,"OK","REVIEW")</f>
        <v/>
      </c>
      <c r="L9" s="71">
        <f>IF(ABS('Forecast Financial Statements'!L13-'Depreciation Schedule'!L8)&lt;0.5,"OK","REVIEW")</f>
        <v/>
      </c>
      <c r="M9" s="71">
        <f>IF(ABS('Forecast Financial Statements'!M13-'Depreciation Schedule'!M8)&lt;0.5,"OK","REVIEW")</f>
        <v/>
      </c>
      <c r="N9" s="71">
        <f>IF(ABS('Forecast Financial Statements'!N13-'Depreciation Schedule'!N8)&lt;0.5,"OK","REVIEW")</f>
        <v/>
      </c>
      <c r="O9" s="71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1">
        <f>IF(ABS('Forecast Financial Statements'!I5-'Revenue Build-up'!I15)&lt;0.5,"OK","REVIEW")</f>
        <v/>
      </c>
      <c r="J10" s="71">
        <f>IF(ABS('Forecast Financial Statements'!J5-'Revenue Build-up'!J15)&lt;0.5,"OK","REVIEW")</f>
        <v/>
      </c>
      <c r="K10" s="71">
        <f>IF(ABS('Forecast Financial Statements'!K5-'Revenue Build-up'!K15)&lt;0.5,"OK","REVIEW")</f>
        <v/>
      </c>
      <c r="L10" s="71">
        <f>IF(ABS('Forecast Financial Statements'!L5-'Revenue Build-up'!L15)&lt;0.5,"OK","REVIEW")</f>
        <v/>
      </c>
      <c r="M10" s="71">
        <f>IF(ABS('Forecast Financial Statements'!M5-'Revenue Build-up'!M15)&lt;0.5,"OK","REVIEW")</f>
        <v/>
      </c>
      <c r="N10" s="71">
        <f>IF(ABS('Forecast Financial Statements'!N5-'Revenue Build-up'!N15)&lt;0.5,"OK","REVIEW")</f>
        <v/>
      </c>
      <c r="O10" s="71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1">
        <f>IF(ABS('Forecast Financial Statements'!I47-'Fixed Asset Schedule'!I10)&lt;0.5,"OK","REVIEW")</f>
        <v/>
      </c>
      <c r="J11" s="71">
        <f>IF(ABS('Forecast Financial Statements'!J47-'Fixed Asset Schedule'!J10)&lt;0.5,"OK","REVIEW")</f>
        <v/>
      </c>
      <c r="K11" s="71">
        <f>IF(ABS('Forecast Financial Statements'!K47-'Fixed Asset Schedule'!K10)&lt;0.5,"OK","REVIEW")</f>
        <v/>
      </c>
      <c r="L11" s="71">
        <f>IF(ABS('Forecast Financial Statements'!L47-'Fixed Asset Schedule'!L10)&lt;0.5,"OK","REVIEW")</f>
        <v/>
      </c>
      <c r="M11" s="71">
        <f>IF(ABS('Forecast Financial Statements'!M47-'Fixed Asset Schedule'!M10)&lt;0.5,"OK","REVIEW")</f>
        <v/>
      </c>
      <c r="N11" s="71">
        <f>IF(ABS('Forecast Financial Statements'!N47-'Fixed Asset Schedule'!N10)&lt;0.5,"OK","REVIEW")</f>
        <v/>
      </c>
      <c r="O11" s="71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2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2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3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2026-07-01T15:06:37Z</dcterms:created>
  <dcterms:modified xsi:type="dcterms:W3CDTF">2026-07-01T15:06:38Z</dcterms:modified>
</cp:coreProperties>
</file>