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Dashboard" sheetId="22" state="visible" r:id="rId22"/>
    <sheet name="Error 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Build-up'!$B$10:$O$10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Historical financials FY2020-FY2026: AUDITED consolidated statements from BHEL Annual Reports</t>
        </is>
      </c>
    </row>
    <row r="29">
      <c r="B29" s="7" t="inlineStr">
        <is>
          <t xml:space="preserve">  (FY20-21, FY22-23, FY24-25) and the FY2026 BSE integrated filing - full P&amp;L, balance sheet &amp; cash flow.</t>
        </is>
      </c>
    </row>
    <row r="30">
      <c r="B30" s="7" t="inlineStr">
        <is>
          <t>By-nature P&amp;L costs are mapped to the gross-profit format; each year reproduces audited PBT &amp; PAT exactly.</t>
        </is>
      </c>
    </row>
    <row r="31">
      <c r="B31" s="7" t="inlineStr">
        <is>
          <t>Order book, inflow &amp; segment data: BHEL results releases &amp; Directors' Report (standalone basis).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6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0.018</v>
      </c>
      <c r="J23" s="19" t="n">
        <v>0.018</v>
      </c>
      <c r="K23" s="19" t="n">
        <v>0.018</v>
      </c>
      <c r="L23" s="19" t="n">
        <v>0.018</v>
      </c>
      <c r="M23" s="19" t="n">
        <v>0.018</v>
      </c>
      <c r="N23" s="19" t="n">
        <v>0.018</v>
      </c>
      <c r="O23" s="19" t="n">
        <v>0.018</v>
      </c>
    </row>
    <row r="24">
      <c r="A24" s="5" t="inlineStr">
        <is>
          <t>Employee cost (% revenue)</t>
        </is>
      </c>
      <c r="I24" s="19" t="n">
        <v>0.185</v>
      </c>
      <c r="J24" s="19" t="n">
        <v>0.178</v>
      </c>
      <c r="K24" s="19" t="n">
        <v>0.17</v>
      </c>
      <c r="L24" s="19" t="n">
        <v>0.163</v>
      </c>
      <c r="M24" s="19" t="n">
        <v>0.155</v>
      </c>
      <c r="N24" s="19" t="n">
        <v>0.148</v>
      </c>
      <c r="O24" s="19" t="n">
        <v>0.14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 (vs revenue)</t>
        </is>
      </c>
      <c r="I37" s="20" t="n">
        <v>74</v>
      </c>
      <c r="J37" s="20" t="n">
        <v>74</v>
      </c>
      <c r="K37" s="20" t="n">
        <v>74</v>
      </c>
      <c r="L37" s="20" t="n">
        <v>74</v>
      </c>
      <c r="M37" s="20" t="n">
        <v>74</v>
      </c>
      <c r="N37" s="20" t="n">
        <v>74</v>
      </c>
      <c r="O37" s="20" t="n">
        <v>74</v>
      </c>
    </row>
    <row r="38">
      <c r="A38" s="5" t="inlineStr">
        <is>
          <t>Inventory days (vs COGS)</t>
        </is>
      </c>
      <c r="I38" s="20" t="n">
        <v>210</v>
      </c>
      <c r="J38" s="20" t="n">
        <v>206</v>
      </c>
      <c r="K38" s="20" t="n">
        <v>203</v>
      </c>
      <c r="L38" s="20" t="n">
        <v>200</v>
      </c>
      <c r="M38" s="20" t="n">
        <v>198</v>
      </c>
      <c r="N38" s="20" t="n">
        <v>196</v>
      </c>
      <c r="O38" s="20" t="n">
        <v>195</v>
      </c>
    </row>
    <row r="39">
      <c r="A39" s="5" t="inlineStr">
        <is>
          <t>Trade payable days (vs COGS)</t>
        </is>
      </c>
      <c r="I39" s="20" t="n">
        <v>167</v>
      </c>
      <c r="J39" s="20" t="n">
        <v>166</v>
      </c>
      <c r="K39" s="20" t="n">
        <v>165</v>
      </c>
      <c r="L39" s="20" t="n">
        <v>164</v>
      </c>
      <c r="M39" s="20" t="n">
        <v>163</v>
      </c>
      <c r="N39" s="20" t="n">
        <v>162</v>
      </c>
      <c r="O39" s="20" t="n">
        <v>160</v>
      </c>
    </row>
    <row r="40">
      <c r="A40" s="5" t="inlineStr">
        <is>
          <t>Contract assets - current (% revenue)</t>
        </is>
      </c>
      <c r="I40" s="19" t="n">
        <v>0.45</v>
      </c>
      <c r="J40" s="19" t="n">
        <v>0.45</v>
      </c>
      <c r="K40" s="19" t="n">
        <v>0.45</v>
      </c>
      <c r="L40" s="19" t="n">
        <v>0.45</v>
      </c>
      <c r="M40" s="19" t="n">
        <v>0.45</v>
      </c>
      <c r="N40" s="19" t="n">
        <v>0.45</v>
      </c>
      <c r="O40" s="19" t="n">
        <v>0.45</v>
      </c>
    </row>
    <row r="41">
      <c r="A41" s="5" t="inlineStr">
        <is>
          <t>Contract liabilities / advances - current (% revenue)</t>
        </is>
      </c>
      <c r="I41" s="19" t="n">
        <v>0.27</v>
      </c>
      <c r="J41" s="19" t="n">
        <v>0.27</v>
      </c>
      <c r="K41" s="19" t="n">
        <v>0.27</v>
      </c>
      <c r="L41" s="19" t="n">
        <v>0.27</v>
      </c>
      <c r="M41" s="19" t="n">
        <v>0.27</v>
      </c>
      <c r="N41" s="19" t="n">
        <v>0.27</v>
      </c>
      <c r="O41" s="19" t="n">
        <v>0.27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1000</v>
      </c>
      <c r="J49" s="17" t="n">
        <v>1000</v>
      </c>
      <c r="K49" s="17" t="n">
        <v>1000</v>
      </c>
      <c r="L49" s="17" t="n">
        <v>1000</v>
      </c>
      <c r="M49" s="17" t="n">
        <v>1000</v>
      </c>
      <c r="N49" s="17" t="n">
        <v>1000</v>
      </c>
      <c r="O49" s="17" t="n">
        <v>1000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0.02</v>
      </c>
      <c r="J51" s="19" t="n">
        <v>0.02</v>
      </c>
      <c r="K51" s="19" t="n">
        <v>0.02</v>
      </c>
      <c r="L51" s="19" t="n">
        <v>0.02</v>
      </c>
      <c r="M51" s="19" t="n">
        <v>0.02</v>
      </c>
      <c r="N51" s="19" t="n">
        <v>0.02</v>
      </c>
      <c r="O51" s="19" t="n">
        <v>0.02</v>
      </c>
    </row>
    <row r="52">
      <c r="A52" s="5" t="inlineStr">
        <is>
          <t>Other non-current assets (closing)</t>
        </is>
      </c>
      <c r="I52" s="17" t="n">
        <v>21563</v>
      </c>
      <c r="J52" s="17" t="n">
        <v>22210</v>
      </c>
      <c r="K52" s="17" t="n">
        <v>22876</v>
      </c>
      <c r="L52" s="17" t="n">
        <v>23562</v>
      </c>
      <c r="M52" s="17" t="n">
        <v>24269</v>
      </c>
      <c r="N52" s="17" t="n">
        <v>24997</v>
      </c>
      <c r="O52" s="17" t="n">
        <v>25747</v>
      </c>
    </row>
    <row r="53">
      <c r="A53" s="5" t="inlineStr">
        <is>
          <t>Other non-current liabilities (closing)</t>
        </is>
      </c>
      <c r="I53" s="17" t="n">
        <v>18096</v>
      </c>
      <c r="J53" s="17" t="n">
        <v>18639</v>
      </c>
      <c r="K53" s="17" t="n">
        <v>19198</v>
      </c>
      <c r="L53" s="17" t="n">
        <v>19774</v>
      </c>
      <c r="M53" s="17" t="n">
        <v>20367</v>
      </c>
      <c r="N53" s="17" t="n">
        <v>20978</v>
      </c>
      <c r="O53" s="17" t="n">
        <v>21607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recognised as a % of opening order book. Historically BHEL executed ~15-17% of opening OB p.a.; order book is ~7x revenue. Ramp reflects rising capacity utilisation (~65%-&gt;80%) and faster thermal execution as supply chains normalise. Sensitivity: +/-1pp ~ +/-Rs2,400-4,000 cr revenue.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~Rs75,000 cr. Driven by ~80 GW thermal pipeline (NTPC/NLC/state gencos) to FY32, plus T&amp;D, railways and defence diversification. Set conservatively below the FY25 peak; macro driver = power capex super-cycle.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Audited historical margin (annual reports): FY24 2.6%, FY25 4.4%, FY26 6.9% (rising as revenue scales over a largely fixed cost base). Expansion from operating leverage,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18.5%-&gt;14.0%</t>
        </is>
      </c>
      <c r="C17" s="29" t="inlineStr">
        <is>
          <t>Audited employee benefits (annual reports): Rs5,432 cr (FY20) -&gt; Rs6,468 cr (FY26); as a % of revenue FY24 23.6%, FY25 20.9%, FY26 19.1%. Structurally high &amp; broadly fixed; falls as a % as revenue scales and workforce declines (~33,500-&gt;25,500). Forecast starts at the FY26 actual (~19%) and eases toward 14%.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 (vs revenue)</t>
        </is>
      </c>
      <c r="B24" s="28" t="inlineStr">
        <is>
          <t>74</t>
        </is>
      </c>
      <c r="C24" s="29" t="inlineStr">
        <is>
          <t>Audited history 49-121 days; recent FY24-26 ~73-76. Large PSU/SEB customers; collections steady. Anchored to the recent ~74-day level.</t>
        </is>
      </c>
    </row>
    <row r="25" ht="46" customHeight="1">
      <c r="A25" s="27" t="inlineStr">
        <is>
          <t>Inventory days (vs COGS)</t>
        </is>
      </c>
      <c r="B25" s="28" t="inlineStr">
        <is>
          <t>210-&gt;195</t>
        </is>
      </c>
      <c r="C25" s="29" t="inlineStr">
        <is>
          <t>Audited history 151-232 days (FY26 212); long manufacturing/project cycle. Computed on COGS (consistent with the historical ratio sheet). Gradual improvement assumed.</t>
        </is>
      </c>
    </row>
    <row r="26" ht="46" customHeight="1">
      <c r="A26" s="27" t="inlineStr">
        <is>
          <t>Payable days (vs COGS)</t>
        </is>
      </c>
      <c r="B26" s="28" t="inlineStr">
        <is>
          <t>167-&gt;160</t>
        </is>
      </c>
      <c r="C26" s="29" t="inlineStr">
        <is>
          <t>Audited history 167-230 days (FY26 167); computed on COGS. Held near the FY26 level with a slight tightening.</t>
        </is>
      </c>
    </row>
    <row r="27" ht="46" customHeight="1">
      <c r="A27" s="27" t="inlineStr">
        <is>
          <t>Contract assets - current (% rev)</t>
        </is>
      </c>
      <c r="B27" s="28" t="inlineStr">
        <is>
          <t>45%</t>
        </is>
      </c>
      <c r="C27" s="29" t="inlineStr">
        <is>
          <t>Unbilled revenue on long-cycle EPC projects (percentage-of-completion). Audited FY26 current contract assets Rs15,193 cr = 45% of revenue (total incl non-current Rs29,390 cr ~ 87%). Re-anchored from the prior 23.5% estimate to the audited actual.</t>
        </is>
      </c>
    </row>
    <row r="28" ht="46" customHeight="1">
      <c r="A28" s="27" t="inlineStr">
        <is>
          <t>Contract liab / advances - current (% rev)</t>
        </is>
      </c>
      <c r="B28" s="28" t="inlineStr">
        <is>
          <t>27%</t>
        </is>
      </c>
      <c r="C28" s="29" t="inlineStr">
        <is>
          <t>Customer advances &amp; billing-in-excess - a key working-capital funding source. Audited FY26 current contract liabilities Rs9,110 cr = 27% of revenue (total incl non-current Rs22,524 cr ~ 67%). Re-anchored from the prior 35.5% estimate to the audited actual.</t>
        </is>
      </c>
    </row>
    <row r="29" ht="46" customHeight="1">
      <c r="A29" s="27" t="inlineStr">
        <is>
          <t>Other non-current assets</t>
        </is>
      </c>
      <c r="B29" s="28" t="inlineStr">
        <is>
          <t>Rs21.6k-&gt;25.7k cr</t>
        </is>
      </c>
      <c r="C29" s="29" t="inlineStr">
        <is>
          <t>Re-anchored to audited FY26 (Rs20,935 cr): non-current contract assets (~Rs14,197 cr), deferred tax assets (Rs3,533 cr), long-term/legacy trade receivables (Rs2,427 cr) and other financial assets/deposits. Grown ~3% p.a.</t>
        </is>
      </c>
    </row>
    <row r="30" ht="46" customHeight="1">
      <c r="A30" s="27" t="inlineStr">
        <is>
          <t>Other non-current liabilities</t>
        </is>
      </c>
      <c r="B30" s="28" t="inlineStr">
        <is>
          <t>Rs18.1k-&gt;21.6k cr</t>
        </is>
      </c>
      <c r="C30" s="29" t="inlineStr">
        <is>
          <t>Re-anchored to audited FY26 (Rs17,569 cr): non-current contract liabilities/advances (~Rs13,413 cr), long-term provisions (warranty &amp; employee benefits, Rs2,355 cr), non-current trade payables and other. Grown ~3% p.a.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~2% LT / 98% ST</t>
        </is>
      </c>
      <c r="C34" s="29" t="inlineStr">
        <is>
          <t>Audited: BHEL borrowings are almost entirely short-term working-capital lines. The only "long-term" borrowing is lease liabilities (~Rs170 cr in FY26 = 2.05% of total; FY20-26 range 0.3-2.1%). Re-anchored from the prior arbitrary 35% split to the audited actual ~2%.</t>
        </is>
      </c>
    </row>
    <row r="35" ht="46" customHeight="1">
      <c r="A35" s="27" t="inlineStr">
        <is>
          <t>New borrowings / repayment</t>
        </is>
      </c>
      <c r="B35" s="28" t="inlineStr">
        <is>
          <t>0 / Rs1,000 cr p.a.</t>
        </is>
      </c>
      <c r="C35" s="29" t="inlineStr">
        <is>
          <t>Strong forecast FCF and large cash allow steady deleveraging; gross debt declines over the horizon.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 for a mature franchise (~inflation + modest real growth).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21463.14</v>
      </c>
      <c r="C5" s="30" t="n">
        <v>17308.69</v>
      </c>
      <c r="D5" s="30" t="n">
        <v>21211.09</v>
      </c>
      <c r="E5" s="30" t="n">
        <v>23364.94</v>
      </c>
      <c r="F5" s="30" t="n">
        <v>23892.78</v>
      </c>
      <c r="G5" s="30" t="n">
        <v>28339.48</v>
      </c>
      <c r="H5" s="30" t="n">
        <v>33782.18</v>
      </c>
    </row>
    <row r="6">
      <c r="A6" s="5" t="inlineStr">
        <is>
          <t>Total COGS</t>
        </is>
      </c>
      <c r="B6" s="30" t="n">
        <v>14039.29</v>
      </c>
      <c r="C6" s="30" t="n">
        <v>11870.63</v>
      </c>
      <c r="D6" s="30" t="n">
        <v>14793.84</v>
      </c>
      <c r="E6" s="30" t="n">
        <v>16300.72</v>
      </c>
      <c r="F6" s="30" t="n">
        <v>16807.11</v>
      </c>
      <c r="G6" s="30" t="n">
        <v>18845.15</v>
      </c>
      <c r="H6" s="30" t="n">
        <v>22983.09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5431.88</v>
      </c>
      <c r="C9" s="30" t="n">
        <v>5378.15</v>
      </c>
      <c r="D9" s="30" t="n">
        <v>5519.05</v>
      </c>
      <c r="E9" s="30" t="n">
        <v>5700.63</v>
      </c>
      <c r="F9" s="30" t="n">
        <v>5628.84</v>
      </c>
      <c r="G9" s="30" t="n">
        <v>5923.42</v>
      </c>
      <c r="H9" s="30" t="n">
        <v>6467.62</v>
      </c>
    </row>
    <row r="10">
      <c r="A10" s="5" t="inlineStr">
        <is>
          <t xml:space="preserve">   Selling and admin</t>
        </is>
      </c>
      <c r="B10" s="30" t="n">
        <v>2229.34</v>
      </c>
      <c r="C10" s="30" t="n">
        <v>3201.2</v>
      </c>
      <c r="D10" s="30" t="n">
        <v>162.62</v>
      </c>
      <c r="E10" s="30" t="n">
        <v>647.03</v>
      </c>
      <c r="F10" s="30" t="n">
        <v>844.23</v>
      </c>
      <c r="G10" s="30" t="n">
        <v>2329.34</v>
      </c>
      <c r="H10" s="30" t="n">
        <v>1989.28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503.27</v>
      </c>
      <c r="C13" s="30" t="n">
        <v>473.25</v>
      </c>
      <c r="D13" s="30" t="n">
        <v>314.12</v>
      </c>
      <c r="E13" s="30" t="n">
        <v>260.34</v>
      </c>
      <c r="F13" s="30" t="n">
        <v>248.9</v>
      </c>
      <c r="G13" s="30" t="n">
        <v>271.96</v>
      </c>
      <c r="H13" s="30" t="n">
        <v>315.87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564.3</v>
      </c>
      <c r="C15" s="30" t="n">
        <v>348.42</v>
      </c>
      <c r="D15" s="30" t="n">
        <v>354.54</v>
      </c>
      <c r="E15" s="30" t="n">
        <v>488.63</v>
      </c>
      <c r="F15" s="30" t="n">
        <v>546.27</v>
      </c>
      <c r="G15" s="30" t="n">
        <v>465.31</v>
      </c>
      <c r="H15" s="30" t="n">
        <v>807.65</v>
      </c>
    </row>
    <row r="16">
      <c r="A16" s="5" t="inlineStr">
        <is>
          <t>Interest Paid</t>
        </is>
      </c>
      <c r="B16" s="30" t="n">
        <v>508.45</v>
      </c>
      <c r="C16" s="30" t="n">
        <v>373.95</v>
      </c>
      <c r="D16" s="30" t="n">
        <v>355.96</v>
      </c>
      <c r="E16" s="30" t="n">
        <v>521.4299999999999</v>
      </c>
      <c r="F16" s="30" t="n">
        <v>731.29</v>
      </c>
      <c r="G16" s="30" t="n">
        <v>748.33</v>
      </c>
      <c r="H16" s="30" t="n">
        <v>756.41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809.28</v>
      </c>
      <c r="C18" s="30" t="n">
        <v>-896.23</v>
      </c>
      <c r="D18" s="30" t="n">
        <v>25.75</v>
      </c>
      <c r="E18" s="30" t="n">
        <v>2.05</v>
      </c>
      <c r="F18" s="30" t="n">
        <v>-39.56</v>
      </c>
      <c r="G18" s="30" t="n">
        <v>211.7</v>
      </c>
      <c r="H18" s="30" t="n">
        <v>538.35</v>
      </c>
    </row>
    <row r="19">
      <c r="A19" s="5" t="inlineStr">
        <is>
          <t>Adjustments (share of profit of JV/associates)</t>
        </is>
      </c>
      <c r="B19" s="30" t="n">
        <v>25.72</v>
      </c>
      <c r="C19" s="30" t="n">
        <v>44.14</v>
      </c>
      <c r="D19" s="30" t="n">
        <v>50.42</v>
      </c>
      <c r="E19" s="30" t="n">
        <v>56.02</v>
      </c>
      <c r="F19" s="30" t="n">
        <v>63.98</v>
      </c>
      <c r="G19" s="30" t="n">
        <v>59.01</v>
      </c>
      <c r="H19" s="30" t="n">
        <v>61.05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504.56</v>
      </c>
      <c r="C22" s="30" t="n">
        <v>0.68</v>
      </c>
      <c r="D22" s="30" t="n">
        <v>0.3</v>
      </c>
      <c r="E22" s="30" t="n">
        <v>139.18</v>
      </c>
      <c r="F22" s="30" t="n">
        <v>139.45</v>
      </c>
      <c r="G22" s="30" t="n">
        <v>87.44</v>
      </c>
      <c r="H22" s="30" t="n">
        <v>174.64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AUDITED consolidated figures (Annual Reports FY20-21/FY22-23/FY24-25 + FY26 BSE filing). By-nature costs mapped to gross-profit format: COGS = materials + inventory change; Selling/admin = other expenses (+ FX &amp; provisions in FY20/21); Adjustments = share of JV/associate profit. Each year reproduces audited PBT &amp; PAT exactly.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2824.38</v>
      </c>
      <c r="C28" s="30" t="n">
        <v>2507.49</v>
      </c>
      <c r="D28" s="30" t="n">
        <v>2407.12</v>
      </c>
      <c r="E28" s="30" t="n">
        <v>2485.24</v>
      </c>
      <c r="F28" s="30" t="n">
        <v>2600.08</v>
      </c>
      <c r="G28" s="30" t="n">
        <v>2980.91</v>
      </c>
      <c r="H28" s="30" t="n">
        <v>3094.38</v>
      </c>
    </row>
    <row r="29">
      <c r="A29" s="5" t="inlineStr">
        <is>
          <t>Capital work-in-progress</t>
        </is>
      </c>
      <c r="B29" s="30" t="n">
        <v>306.74</v>
      </c>
      <c r="C29" s="30" t="n">
        <v>403.21</v>
      </c>
      <c r="D29" s="30" t="n">
        <v>422.32</v>
      </c>
      <c r="E29" s="30" t="n">
        <v>344.59</v>
      </c>
      <c r="F29" s="30" t="n">
        <v>282.32</v>
      </c>
      <c r="G29" s="30" t="n">
        <v>161.7</v>
      </c>
      <c r="H29" s="30" t="n">
        <v>399.2</v>
      </c>
    </row>
    <row r="30">
      <c r="A30" s="5" t="inlineStr">
        <is>
          <t>Investments</t>
        </is>
      </c>
      <c r="B30" s="30" t="n">
        <v>162.06</v>
      </c>
      <c r="C30" s="30" t="n">
        <v>185.34</v>
      </c>
      <c r="D30" s="30" t="n">
        <v>205.15</v>
      </c>
      <c r="E30" s="30" t="n">
        <v>235.42</v>
      </c>
      <c r="F30" s="30" t="n">
        <v>255.67</v>
      </c>
      <c r="G30" s="30" t="n">
        <v>275.57</v>
      </c>
      <c r="H30" s="30" t="n">
        <v>302.06</v>
      </c>
    </row>
    <row r="31">
      <c r="A31" s="5" t="inlineStr">
        <is>
          <t>Other assets (inventory, receivables, cash, contract &amp; other)</t>
        </is>
      </c>
      <c r="B31" s="30" t="n">
        <v>56455.38</v>
      </c>
      <c r="C31" s="30" t="n">
        <v>52144.17</v>
      </c>
      <c r="D31" s="30" t="n">
        <v>53209.17</v>
      </c>
      <c r="E31" s="30" t="n">
        <v>56304.53999999999</v>
      </c>
      <c r="F31" s="30" t="n">
        <v>55863.85000000001</v>
      </c>
      <c r="G31" s="30" t="n">
        <v>64665</v>
      </c>
      <c r="H31" s="30" t="n">
        <v>72389.97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696.41</v>
      </c>
      <c r="C33" s="30" t="n">
        <v>696.41</v>
      </c>
      <c r="D33" s="30" t="n">
        <v>696.41</v>
      </c>
      <c r="E33" s="30" t="n">
        <v>696.41</v>
      </c>
      <c r="F33" s="30" t="n">
        <v>696.41</v>
      </c>
      <c r="G33" s="30" t="n">
        <v>696.41</v>
      </c>
      <c r="H33" s="30" t="n">
        <v>696.41</v>
      </c>
    </row>
    <row r="34">
      <c r="A34" s="5" t="inlineStr">
        <is>
          <t>Other equity (reserves &amp; surplus)</t>
        </is>
      </c>
      <c r="B34" s="30" t="n">
        <v>27955.24</v>
      </c>
      <c r="C34" s="30" t="n">
        <v>25275.59</v>
      </c>
      <c r="D34" s="30" t="n">
        <v>25810.19</v>
      </c>
      <c r="E34" s="30" t="n">
        <v>26131.62</v>
      </c>
      <c r="F34" s="30" t="n">
        <v>23742.24</v>
      </c>
      <c r="G34" s="30" t="n">
        <v>24025.75</v>
      </c>
      <c r="H34" s="30" t="n">
        <v>25450.19</v>
      </c>
    </row>
    <row r="35">
      <c r="A35" s="5" t="inlineStr">
        <is>
          <t>Borrowings (incl. lease liabilities)</t>
        </is>
      </c>
      <c r="B35" s="30" t="n">
        <v>5079.96</v>
      </c>
      <c r="C35" s="30" t="n">
        <v>4950.889999999999</v>
      </c>
      <c r="D35" s="30" t="n">
        <v>4829.93</v>
      </c>
      <c r="E35" s="30" t="n">
        <v>5453.51</v>
      </c>
      <c r="F35" s="30" t="n">
        <v>8856.459999999999</v>
      </c>
      <c r="G35" s="30" t="n">
        <v>9014.599999999999</v>
      </c>
      <c r="H35" s="30" t="n">
        <v>8186.950000000001</v>
      </c>
    </row>
    <row r="36">
      <c r="A36" s="5" t="inlineStr">
        <is>
          <t>Other liabilities (payables, advances, provisions)</t>
        </is>
      </c>
      <c r="B36" s="30" t="n">
        <v>26016.95</v>
      </c>
      <c r="C36" s="30" t="n">
        <v>24317.31</v>
      </c>
      <c r="D36" s="30" t="n">
        <v>24907.23</v>
      </c>
      <c r="E36" s="30" t="n">
        <v>27088.24</v>
      </c>
      <c r="F36" s="30" t="n">
        <v>25706.81</v>
      </c>
      <c r="G36" s="30" t="n">
        <v>34346.42</v>
      </c>
      <c r="H36" s="30" t="n">
        <v>41852.06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-2891.5</v>
      </c>
      <c r="C42" s="30" t="n">
        <v>561.6</v>
      </c>
      <c r="D42" s="30" t="n">
        <v>660.25</v>
      </c>
      <c r="E42" s="30" t="n">
        <v>-741.52</v>
      </c>
      <c r="F42" s="30" t="n">
        <v>-3712.9</v>
      </c>
      <c r="G42" s="30" t="n">
        <v>2191.89</v>
      </c>
      <c r="H42" s="30" t="n">
        <v>5837.38</v>
      </c>
    </row>
    <row r="43">
      <c r="A43" s="5" t="inlineStr">
        <is>
          <t>Cash flow from investing activities</t>
        </is>
      </c>
      <c r="B43" s="30" t="n">
        <v>1877.06</v>
      </c>
      <c r="C43" s="30" t="n">
        <v>-42.5</v>
      </c>
      <c r="D43" s="30" t="n">
        <v>-1125.32</v>
      </c>
      <c r="E43" s="30" t="n">
        <v>1480.46</v>
      </c>
      <c r="F43" s="30" t="n">
        <v>1330.86</v>
      </c>
      <c r="G43" s="30" t="n">
        <v>-2730.91</v>
      </c>
      <c r="H43" s="30" t="n">
        <v>-3035.41</v>
      </c>
    </row>
    <row r="44">
      <c r="A44" s="5" t="inlineStr">
        <is>
          <t>Cash flow from financing activities</t>
        </is>
      </c>
      <c r="B44" s="30" t="n">
        <v>1621.99</v>
      </c>
      <c r="C44" s="30" t="n">
        <v>-395.81</v>
      </c>
      <c r="D44" s="30" t="n">
        <v>-329.49</v>
      </c>
      <c r="E44" s="30" t="n">
        <v>88.95999999999999</v>
      </c>
      <c r="F44" s="30" t="n">
        <v>2655.74</v>
      </c>
      <c r="G44" s="30" t="n">
        <v>-856.8099999999999</v>
      </c>
      <c r="H44" s="30" t="n">
        <v>-1805.73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 (vs revenue)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 (vs COGS)</t>
        </is>
      </c>
      <c r="B23" s="38" t="n">
        <v>232</v>
      </c>
      <c r="C23" s="38" t="n">
        <v>221</v>
      </c>
      <c r="D23" s="38" t="n">
        <v>162</v>
      </c>
      <c r="E23" s="38" t="n">
        <v>151</v>
      </c>
      <c r="F23" s="38" t="n">
        <v>157</v>
      </c>
      <c r="G23" s="38" t="n">
        <v>191</v>
      </c>
      <c r="H23" s="38" t="n">
        <v>212</v>
      </c>
    </row>
    <row r="24">
      <c r="A24" s="5" t="inlineStr">
        <is>
          <t>Payable days (vs COGS)</t>
        </is>
      </c>
      <c r="B24" s="38" t="n">
        <v>230</v>
      </c>
      <c r="C24" s="38" t="n">
        <v>205</v>
      </c>
      <c r="D24" s="38" t="n">
        <v>191</v>
      </c>
      <c r="E24" s="38" t="n">
        <v>222</v>
      </c>
      <c r="F24" s="38" t="n">
        <v>185</v>
      </c>
      <c r="G24" s="38" t="n">
        <v>185</v>
      </c>
      <c r="H24" s="38" t="n">
        <v>167</v>
      </c>
    </row>
    <row r="25">
      <c r="A25" s="5" t="inlineStr">
        <is>
          <t>Cash conversion cycle (days)</t>
        </is>
      </c>
      <c r="B25" s="38" t="n">
        <v>123</v>
      </c>
      <c r="C25" s="38" t="n">
        <v>101</v>
      </c>
      <c r="D25" s="38" t="n">
        <v>23</v>
      </c>
      <c r="E25" s="38" t="n">
        <v>-22</v>
      </c>
      <c r="F25" s="38" t="n">
        <v>45</v>
      </c>
      <c r="G25" s="38" t="n">
        <v>82</v>
      </c>
      <c r="H25" s="38" t="n">
        <v>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basis. FY20-22 figures are estimates (flagged). The "Adjustments" line captures order cancellations, de-scoping, FX revaluation, price/scope revisions and tax-basis differences so the roll ties to the reported closing order book.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Crore, standalone)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</t>
        </is>
      </c>
    </row>
    <row r="9">
      <c r="A9" s="5" t="inlineStr">
        <is>
          <t>+/- Adjustments (cancellations, FX, scope, taxes)</t>
        </is>
      </c>
      <c r="B9" s="33">
        <f>B10-B6-B7-B8</f>
        <v/>
      </c>
      <c r="C9" s="33">
        <f>C10-C6-C7-C8</f>
        <v/>
      </c>
      <c r="D9" s="33">
        <f>D10-D6-D7-D8</f>
        <v/>
      </c>
      <c r="E9" s="33">
        <f>E10-E6-E7-E8</f>
        <v/>
      </c>
      <c r="F9" s="33">
        <f>F10-F6-F7-F8</f>
        <v/>
      </c>
      <c r="G9" s="33">
        <f>G10-G6-G7-G8</f>
        <v/>
      </c>
      <c r="H9" s="33">
        <f>H10-H6-H7-H8</f>
        <v/>
      </c>
    </row>
    <row r="10">
      <c r="A10" s="4" t="inlineStr">
        <is>
          <t>Closing order book (reported)</t>
        </is>
      </c>
      <c r="B10" s="30" t="n">
        <v>110000</v>
      </c>
      <c r="C10" s="30" t="n">
        <v>102000</v>
      </c>
      <c r="D10" s="30" t="n">
        <v>98000</v>
      </c>
      <c r="E10" s="30" t="n">
        <v>91336</v>
      </c>
      <c r="F10" s="30" t="n">
        <v>131598</v>
      </c>
      <c r="G10" s="30" t="n">
        <v>196328</v>
      </c>
      <c r="H10" s="30" t="n">
        <v>240000</v>
      </c>
    </row>
    <row r="11">
      <c r="A11" s="5" t="inlineStr">
        <is>
          <t xml:space="preserve">  Roll check (open+inflow-rev+adj-close)</t>
        </is>
      </c>
      <c r="B11" s="33">
        <f>B6+B7+B8+B9-B10</f>
        <v/>
      </c>
      <c r="C11" s="33">
        <f>C6+C7+C8+C9-C10</f>
        <v/>
      </c>
      <c r="D11" s="33">
        <f>D6+D7+D8+D9-D10</f>
        <v/>
      </c>
      <c r="E11" s="33">
        <f>E6+E7+E8+E9-E10</f>
        <v/>
      </c>
      <c r="F11" s="33">
        <f>F6+F7+F8+F9-F10</f>
        <v/>
      </c>
      <c r="G11" s="33">
        <f>G6+G7+G8+G9-G10</f>
        <v/>
      </c>
      <c r="H11" s="33">
        <f>H6+H7+H8+H9-H10</f>
        <v/>
      </c>
    </row>
    <row r="12">
      <c r="A12" s="5" t="inlineStr">
        <is>
          <t>Book-to-bill (closing OB / revenue, x)</t>
        </is>
      </c>
      <c r="B12" s="39">
        <f>B10/-B8</f>
        <v/>
      </c>
      <c r="C12" s="39">
        <f>C10/-C8</f>
        <v/>
      </c>
      <c r="D12" s="39">
        <f>D10/-D8</f>
        <v/>
      </c>
      <c r="E12" s="39">
        <f>E10/-E8</f>
        <v/>
      </c>
      <c r="F12" s="39">
        <f>F10/-F8</f>
        <v/>
      </c>
      <c r="G12" s="39">
        <f>G10/-G8</f>
        <v/>
      </c>
      <c r="H12" s="39">
        <f>H10/-H8</f>
        <v/>
      </c>
    </row>
    <row r="13">
      <c r="A13" s="5" t="inlineStr">
        <is>
          <t>Execution rate (revenue / opening OB)</t>
        </is>
      </c>
      <c r="B13" s="40">
        <f>-B8/B6</f>
        <v/>
      </c>
      <c r="C13" s="40">
        <f>-C8/C6</f>
        <v/>
      </c>
      <c r="D13" s="40">
        <f>-D8/D6</f>
        <v/>
      </c>
      <c r="E13" s="40">
        <f>-E8/E6</f>
        <v/>
      </c>
      <c r="F13" s="40">
        <f>-F8/F6</f>
        <v/>
      </c>
      <c r="G13" s="40">
        <f>-G8/G6</f>
        <v/>
      </c>
      <c r="H13" s="40">
        <f>-H8/H6</f>
        <v/>
      </c>
    </row>
    <row r="15">
      <c r="A15" s="11" t="inlineStr">
        <is>
          <t>Segment revenue mix (INR Crore, est.)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>Power segment</t>
        </is>
      </c>
      <c r="B16" s="30" t="n">
        <v>16800</v>
      </c>
      <c r="C16" s="30" t="n">
        <v>13500</v>
      </c>
      <c r="D16" s="30" t="n">
        <v>16500</v>
      </c>
      <c r="E16" s="30" t="n">
        <v>18100</v>
      </c>
      <c r="F16" s="30" t="n">
        <v>18600</v>
      </c>
      <c r="G16" s="30" t="n">
        <v>20937</v>
      </c>
      <c r="H16" s="30" t="n">
        <v>25407</v>
      </c>
    </row>
    <row r="17">
      <c r="A17" s="5" t="inlineStr">
        <is>
          <t>Industry segment</t>
        </is>
      </c>
      <c r="B17" s="30" t="n">
        <v>3900</v>
      </c>
      <c r="C17" s="30" t="n">
        <v>3200</v>
      </c>
      <c r="D17" s="30" t="n">
        <v>4000</v>
      </c>
      <c r="E17" s="30" t="n">
        <v>4600</v>
      </c>
      <c r="F17" s="30" t="n">
        <v>4700</v>
      </c>
      <c r="G17" s="30" t="n">
        <v>6400</v>
      </c>
      <c r="H17" s="30" t="n">
        <v>7400</v>
      </c>
    </row>
    <row r="18">
      <c r="A18" s="5" t="inlineStr">
        <is>
          <t>Others / exports / renewables</t>
        </is>
      </c>
      <c r="B18" s="30" t="n">
        <v>763</v>
      </c>
      <c r="C18" s="30" t="n">
        <v>609</v>
      </c>
      <c r="D18" s="30" t="n">
        <v>711</v>
      </c>
      <c r="E18" s="30" t="n">
        <v>665</v>
      </c>
      <c r="F18" s="30" t="n">
        <v>593</v>
      </c>
      <c r="G18" s="30" t="n">
        <v>1002</v>
      </c>
      <c r="H18" s="30" t="n">
        <v>975</v>
      </c>
    </row>
    <row r="19">
      <c r="A19" s="5" t="inlineStr">
        <is>
          <t>Total (check vs revenue)</t>
        </is>
      </c>
      <c r="B19" s="33">
        <f>SUM(B16:B18)</f>
        <v/>
      </c>
      <c r="C19" s="33">
        <f>SUM(C16:C18)</f>
        <v/>
      </c>
      <c r="D19" s="33">
        <f>SUM(D16:D18)</f>
        <v/>
      </c>
      <c r="E19" s="33">
        <f>SUM(E16:E18)</f>
        <v/>
      </c>
      <c r="F19" s="33">
        <f>SUM(F16:F18)</f>
        <v/>
      </c>
      <c r="G19" s="33">
        <f>SUM(G16:G18)</f>
        <v/>
      </c>
      <c r="H19" s="33">
        <f>SUM(H16:H18)</f>
        <v/>
      </c>
    </row>
    <row r="20">
      <c r="A20" s="5" t="inlineStr">
        <is>
          <t>Power as % of revenue</t>
        </is>
      </c>
      <c r="B20" s="40">
        <f>B16/'Historical Financial Statements'!B5</f>
        <v/>
      </c>
      <c r="C20" s="40">
        <f>C16/'Historical Financial Statements'!C5</f>
        <v/>
      </c>
      <c r="D20" s="40">
        <f>D16/'Historical Financial Statements'!D5</f>
        <v/>
      </c>
      <c r="E20" s="40">
        <f>E16/'Historical Financial Statements'!E5</f>
        <v/>
      </c>
      <c r="F20" s="40">
        <f>F16/'Historical Financial Statements'!F5</f>
        <v/>
      </c>
      <c r="G20" s="40">
        <f>G16/'Historical Financial Statements'!G5</f>
        <v/>
      </c>
      <c r="H20" s="40">
        <f>H16/'Historical Financial Statements'!H5</f>
        <v/>
      </c>
    </row>
    <row r="22">
      <c r="A22" s="11" t="inlineStr">
        <is>
          <t>Other KPIs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5" t="inlineStr">
        <is>
          <t>Approx. workforce (number)</t>
        </is>
      </c>
      <c r="B23" s="41" t="n">
        <v>33500</v>
      </c>
      <c r="C23" s="41" t="n">
        <v>31500</v>
      </c>
      <c r="D23" s="41" t="n">
        <v>29800</v>
      </c>
      <c r="E23" s="41" t="n">
        <v>28500</v>
      </c>
      <c r="F23" s="41" t="n">
        <v>27000</v>
      </c>
      <c r="G23" s="41" t="n">
        <v>26000</v>
      </c>
      <c r="H23" s="41" t="n">
        <v>25500</v>
      </c>
      <c r="P23" s="13" t="inlineStr">
        <is>
          <t>approx.</t>
        </is>
      </c>
    </row>
    <row r="24">
      <c r="A24" s="5" t="inlineStr">
        <is>
          <t>R&amp;D expenditure</t>
        </is>
      </c>
      <c r="B24" s="30" t="n">
        <v>1180</v>
      </c>
      <c r="C24" s="30" t="n">
        <v>1090</v>
      </c>
      <c r="D24" s="30" t="n">
        <v>1050</v>
      </c>
      <c r="E24" s="30" t="n">
        <v>1100</v>
      </c>
      <c r="F24" s="30" t="n">
        <v>1150</v>
      </c>
      <c r="G24" s="30" t="n">
        <v>1300</v>
      </c>
      <c r="H24" s="30" t="n">
        <v>1500</v>
      </c>
      <c r="P24" s="13" t="inlineStr">
        <is>
          <t>approx.</t>
        </is>
      </c>
    </row>
    <row r="25">
      <c r="A25" s="5" t="inlineStr">
        <is>
          <t>R&amp;D as % of revenue</t>
        </is>
      </c>
      <c r="B25" s="40">
        <f>B24/'Historical Financial Statements'!B5</f>
        <v/>
      </c>
      <c r="C25" s="40">
        <f>C24/'Historical Financial Statements'!C5</f>
        <v/>
      </c>
      <c r="D25" s="40">
        <f>D24/'Historical Financial Statements'!D5</f>
        <v/>
      </c>
      <c r="E25" s="40">
        <f>E24/'Historical Financial Statements'!E5</f>
        <v/>
      </c>
      <c r="F25" s="40">
        <f>F24/'Historical Financial Statements'!F5</f>
        <v/>
      </c>
      <c r="G25" s="40">
        <f>G24/'Historical Financial Statements'!G5</f>
        <v/>
      </c>
      <c r="H25" s="40">
        <f>H24/'Historical Financial Statements'!H5</f>
        <v/>
      </c>
    </row>
    <row r="26">
      <c r="A26" s="5" t="inlineStr">
        <is>
          <t>Capacity utilisation (mfg.)</t>
        </is>
      </c>
      <c r="B26" s="42" t="n">
        <v>0.55</v>
      </c>
      <c r="C26" s="42" t="n">
        <v>0.42</v>
      </c>
      <c r="D26" s="42" t="n">
        <v>0.5</v>
      </c>
      <c r="E26" s="42" t="n">
        <v>0.55</v>
      </c>
      <c r="F26" s="42" t="n">
        <v>0.58</v>
      </c>
      <c r="G26" s="42" t="n">
        <v>0.65</v>
      </c>
      <c r="H26" s="42" t="n">
        <v>0.72</v>
      </c>
      <c r="P26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rolled on STANDALONE basis: Closing OB = Opening + Inflow - Standalone revenue + Adjustments (cancellations/FX/scope/taxes). Consolidated revenue (P&amp;L) is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Drivers'!H10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5" t="inlineStr">
        <is>
          <t>+/- Adjustments (cancellations/FX/scope/taxes)</t>
        </is>
      </c>
      <c r="B9" s="43">
        <f>'Operational Drivers'!B9</f>
        <v/>
      </c>
      <c r="C9" s="43">
        <f>'Operational Drivers'!C9</f>
        <v/>
      </c>
      <c r="D9" s="43">
        <f>'Operational Drivers'!D9</f>
        <v/>
      </c>
      <c r="E9" s="43">
        <f>'Operational Drivers'!E9</f>
        <v/>
      </c>
      <c r="F9" s="43">
        <f>'Operational Drivers'!F9</f>
        <v/>
      </c>
      <c r="G9" s="43">
        <f>'Operational Drivers'!G9</f>
        <v/>
      </c>
      <c r="H9" s="43">
        <f>'Operational Drivers'!H9</f>
        <v/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order book (standalone)</t>
        </is>
      </c>
      <c r="B10" s="44">
        <f>B6+B7+B8+B9</f>
        <v/>
      </c>
      <c r="C10" s="44">
        <f>C6+C7+C8+C9</f>
        <v/>
      </c>
      <c r="D10" s="44">
        <f>D6+D7+D8+D9</f>
        <v/>
      </c>
      <c r="E10" s="44">
        <f>E6+E7+E8+E9</f>
        <v/>
      </c>
      <c r="F10" s="44">
        <f>F6+F7+F8+F9</f>
        <v/>
      </c>
      <c r="G10" s="44">
        <f>G6+G7+G8+G9</f>
        <v/>
      </c>
      <c r="H10" s="44">
        <f>H6+H7+H8+H9</f>
        <v/>
      </c>
      <c r="I10" s="44">
        <f>I6+I7+I8+I9</f>
        <v/>
      </c>
      <c r="J10" s="44">
        <f>J6+J7+J8+J9</f>
        <v/>
      </c>
      <c r="K10" s="44">
        <f>K6+K7+K8+K9</f>
        <v/>
      </c>
      <c r="L10" s="44">
        <f>L6+L7+L8+L9</f>
        <v/>
      </c>
      <c r="M10" s="44">
        <f>M6+M7+M8+M9</f>
        <v/>
      </c>
      <c r="N10" s="44">
        <f>N6+N7+N8+N9</f>
        <v/>
      </c>
      <c r="O10" s="44">
        <f>O6+O7+O8+O9</f>
        <v/>
      </c>
    </row>
    <row r="12">
      <c r="A12" s="11" t="inlineStr">
        <is>
          <t>B.  Standalone -&gt; consolidated revenue bridge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4" t="inlineStr">
        <is>
          <t>Standalone revenue from operations</t>
        </is>
      </c>
      <c r="B13" s="43">
        <f>-B8</f>
        <v/>
      </c>
      <c r="C13" s="43">
        <f>-C8</f>
        <v/>
      </c>
      <c r="D13" s="43">
        <f>-D8</f>
        <v/>
      </c>
      <c r="E13" s="43">
        <f>-E8</f>
        <v/>
      </c>
      <c r="F13" s="43">
        <f>-F8</f>
        <v/>
      </c>
      <c r="G13" s="43">
        <f>-G8</f>
        <v/>
      </c>
      <c r="H13" s="43">
        <f>-H8</f>
        <v/>
      </c>
      <c r="I13" s="33">
        <f>-I8</f>
        <v/>
      </c>
      <c r="J13" s="33">
        <f>-J8</f>
        <v/>
      </c>
      <c r="K13" s="33">
        <f>-K8</f>
        <v/>
      </c>
      <c r="L13" s="33">
        <f>-L8</f>
        <v/>
      </c>
      <c r="M13" s="33">
        <f>-M8</f>
        <v/>
      </c>
      <c r="N13" s="33">
        <f>-N8</f>
        <v/>
      </c>
      <c r="O13" s="33">
        <f>-O8</f>
        <v/>
      </c>
    </row>
    <row r="14">
      <c r="A14" s="5" t="inlineStr">
        <is>
          <t>Consolidation uplift % (consol/standalone - 1)</t>
        </is>
      </c>
      <c r="B14" s="36">
        <f>'Historical Financial Statements'!B5/B13-1</f>
        <v/>
      </c>
      <c r="C14" s="36">
        <f>'Historical Financial Statements'!C5/C13-1</f>
        <v/>
      </c>
      <c r="D14" s="36">
        <f>'Historical Financial Statements'!D5/D13-1</f>
        <v/>
      </c>
      <c r="E14" s="36">
        <f>'Historical Financial Statements'!E5/E13-1</f>
        <v/>
      </c>
      <c r="F14" s="36">
        <f>'Historical Financial Statements'!F5/F13-1</f>
        <v/>
      </c>
      <c r="G14" s="36">
        <f>'Historical Financial Statements'!G5/G13-1</f>
        <v/>
      </c>
      <c r="H14" s="36">
        <f>'Historical Financial Statements'!H5/H13-1</f>
        <v/>
      </c>
      <c r="I14" s="40">
        <f>'Assumptions'!I22</f>
        <v/>
      </c>
      <c r="J14" s="40">
        <f>'Assumptions'!J22</f>
        <v/>
      </c>
      <c r="K14" s="40">
        <f>'Assumptions'!K22</f>
        <v/>
      </c>
      <c r="L14" s="40">
        <f>'Assumptions'!L22</f>
        <v/>
      </c>
      <c r="M14" s="40">
        <f>'Assumptions'!M22</f>
        <v/>
      </c>
      <c r="N14" s="40">
        <f>'Assumptions'!N22</f>
        <v/>
      </c>
      <c r="O14" s="40">
        <f>'Assumptions'!O22</f>
        <v/>
      </c>
    </row>
    <row r="15">
      <c r="A15" s="4" t="inlineStr">
        <is>
          <t>Consolidated revenue from operations  -&gt;  P&amp;L</t>
        </is>
      </c>
      <c r="B15" s="32">
        <f>B13*(1+B14)</f>
        <v/>
      </c>
      <c r="C15" s="32">
        <f>C13*(1+C14)</f>
        <v/>
      </c>
      <c r="D15" s="32">
        <f>D13*(1+D14)</f>
        <v/>
      </c>
      <c r="E15" s="32">
        <f>E13*(1+E14)</f>
        <v/>
      </c>
      <c r="F15" s="32">
        <f>F13*(1+F14)</f>
        <v/>
      </c>
      <c r="G15" s="32">
        <f>G13*(1+G14)</f>
        <v/>
      </c>
      <c r="H15" s="32">
        <f>H13*(1+H14)</f>
        <v/>
      </c>
      <c r="I15" s="32">
        <f>I13*(1+I14)</f>
        <v/>
      </c>
      <c r="J15" s="32">
        <f>J13*(1+J14)</f>
        <v/>
      </c>
      <c r="K15" s="32">
        <f>K13*(1+K14)</f>
        <v/>
      </c>
      <c r="L15" s="32">
        <f>L13*(1+L14)</f>
        <v/>
      </c>
      <c r="M15" s="32">
        <f>M13*(1+M14)</f>
        <v/>
      </c>
      <c r="N15" s="32">
        <f>N13*(1+N14)</f>
        <v/>
      </c>
      <c r="O15" s="32">
        <f>O13*(1+O14)</f>
        <v/>
      </c>
    </row>
    <row r="16">
      <c r="A16" s="5" t="inlineStr">
        <is>
          <t>Revenue growth % (consolidated)</t>
        </is>
      </c>
      <c r="C16" s="40">
        <f>C15/B15-1</f>
        <v/>
      </c>
      <c r="D16" s="40">
        <f>D15/C15-1</f>
        <v/>
      </c>
      <c r="E16" s="40">
        <f>E15/D15-1</f>
        <v/>
      </c>
      <c r="F16" s="40">
        <f>F15/E15-1</f>
        <v/>
      </c>
      <c r="G16" s="40">
        <f>G15/F15-1</f>
        <v/>
      </c>
      <c r="H16" s="40">
        <f>H15/G15-1</f>
        <v/>
      </c>
      <c r="I16" s="40">
        <f>I15/H15-1</f>
        <v/>
      </c>
      <c r="J16" s="40">
        <f>J15/I15-1</f>
        <v/>
      </c>
      <c r="K16" s="40">
        <f>K15/J15-1</f>
        <v/>
      </c>
      <c r="L16" s="40">
        <f>L15/K15-1</f>
        <v/>
      </c>
      <c r="M16" s="40">
        <f>M15/L15-1</f>
        <v/>
      </c>
      <c r="N16" s="40">
        <f>N15/M15-1</f>
        <v/>
      </c>
      <c r="O16" s="40">
        <f>O15/N15-1</f>
        <v/>
      </c>
    </row>
    <row r="17">
      <c r="A17" s="5" t="inlineStr">
        <is>
          <t>Execution rate % (standalone rev / opening OB)</t>
        </is>
      </c>
      <c r="B17" s="40">
        <f>B13/B6</f>
        <v/>
      </c>
      <c r="C17" s="40">
        <f>C13/C6</f>
        <v/>
      </c>
      <c r="D17" s="40">
        <f>D13/D6</f>
        <v/>
      </c>
      <c r="E17" s="40">
        <f>E13/E6</f>
        <v/>
      </c>
      <c r="F17" s="40">
        <f>F13/F6</f>
        <v/>
      </c>
      <c r="G17" s="40">
        <f>G13/G6</f>
        <v/>
      </c>
      <c r="H17" s="40">
        <f>H13/H6</f>
        <v/>
      </c>
      <c r="I17" s="40">
        <f>I13/I6</f>
        <v/>
      </c>
      <c r="J17" s="40">
        <f>J13/J6</f>
        <v/>
      </c>
      <c r="K17" s="40">
        <f>K13/K6</f>
        <v/>
      </c>
      <c r="L17" s="40">
        <f>L13/L6</f>
        <v/>
      </c>
      <c r="M17" s="40">
        <f>M13/M6</f>
        <v/>
      </c>
      <c r="N17" s="40">
        <f>N13/N6</f>
        <v/>
      </c>
      <c r="O17" s="40">
        <f>O13/O6</f>
        <v/>
      </c>
    </row>
    <row r="18">
      <c r="A18" s="5" t="inlineStr">
        <is>
          <t>Book-to-bill (closing OB / standalone rev, x)</t>
        </is>
      </c>
      <c r="B18" s="39">
        <f>B10/B13</f>
        <v/>
      </c>
      <c r="C18" s="39">
        <f>C10/C13</f>
        <v/>
      </c>
      <c r="D18" s="39">
        <f>D10/D13</f>
        <v/>
      </c>
      <c r="E18" s="39">
        <f>E10/E13</f>
        <v/>
      </c>
      <c r="F18" s="39">
        <f>F10/F13</f>
        <v/>
      </c>
      <c r="G18" s="39">
        <f>G10/G13</f>
        <v/>
      </c>
      <c r="H18" s="39">
        <f>H10/H13</f>
        <v/>
      </c>
      <c r="I18" s="39">
        <f>I10/I13</f>
        <v/>
      </c>
      <c r="J18" s="39">
        <f>J10/J13</f>
        <v/>
      </c>
      <c r="K18" s="39">
        <f>K10/K13</f>
        <v/>
      </c>
      <c r="L18" s="39">
        <f>L10/L13</f>
        <v/>
      </c>
      <c r="M18" s="39">
        <f>M10/M13</f>
        <v/>
      </c>
      <c r="N18" s="39">
        <f>N10/N13</f>
        <v/>
      </c>
      <c r="O18" s="39">
        <f>O10/O13</f>
        <v/>
      </c>
    </row>
    <row r="20">
      <c r="A20" s="11" t="inlineStr">
        <is>
          <t>C.  Segment revenue breakup (consolidated)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Power segment</t>
        </is>
      </c>
      <c r="B21" s="43">
        <f>'Operational Drivers'!B16</f>
        <v/>
      </c>
      <c r="C21" s="43">
        <f>'Operational Drivers'!C16</f>
        <v/>
      </c>
      <c r="D21" s="43">
        <f>'Operational Drivers'!D16</f>
        <v/>
      </c>
      <c r="E21" s="43">
        <f>'Operational Drivers'!E16</f>
        <v/>
      </c>
      <c r="F21" s="43">
        <f>'Operational Drivers'!F16</f>
        <v/>
      </c>
      <c r="G21" s="43">
        <f>'Operational Drivers'!G16</f>
        <v/>
      </c>
      <c r="H21" s="43">
        <f>'Operational Drivers'!H16</f>
        <v/>
      </c>
      <c r="I21" s="33">
        <f>I15*'Assumptions'!I33</f>
        <v/>
      </c>
      <c r="J21" s="33">
        <f>J15*'Assumptions'!J33</f>
        <v/>
      </c>
      <c r="K21" s="33">
        <f>K15*'Assumptions'!K33</f>
        <v/>
      </c>
      <c r="L21" s="33">
        <f>L15*'Assumptions'!L33</f>
        <v/>
      </c>
      <c r="M21" s="33">
        <f>M15*'Assumptions'!M33</f>
        <v/>
      </c>
      <c r="N21" s="33">
        <f>N15*'Assumptions'!N33</f>
        <v/>
      </c>
      <c r="O21" s="33">
        <f>O15*'Assumptions'!O33</f>
        <v/>
      </c>
    </row>
    <row r="22">
      <c r="A22" s="5" t="inlineStr">
        <is>
          <t>Industry segment</t>
        </is>
      </c>
      <c r="B22" s="43">
        <f>'Operational Drivers'!B17</f>
        <v/>
      </c>
      <c r="C22" s="43">
        <f>'Operational Drivers'!C17</f>
        <v/>
      </c>
      <c r="D22" s="43">
        <f>'Operational Drivers'!D17</f>
        <v/>
      </c>
      <c r="E22" s="43">
        <f>'Operational Drivers'!E17</f>
        <v/>
      </c>
      <c r="F22" s="43">
        <f>'Operational Drivers'!F17</f>
        <v/>
      </c>
      <c r="G22" s="43">
        <f>'Operational Drivers'!G17</f>
        <v/>
      </c>
      <c r="H22" s="43">
        <f>'Operational Drivers'!H17</f>
        <v/>
      </c>
      <c r="I22" s="33">
        <f>I15*'Assumptions'!I34</f>
        <v/>
      </c>
      <c r="J22" s="33">
        <f>J15*'Assumptions'!J34</f>
        <v/>
      </c>
      <c r="K22" s="33">
        <f>K15*'Assumptions'!K34</f>
        <v/>
      </c>
      <c r="L22" s="33">
        <f>L15*'Assumptions'!L34</f>
        <v/>
      </c>
      <c r="M22" s="33">
        <f>M15*'Assumptions'!M34</f>
        <v/>
      </c>
      <c r="N22" s="33">
        <f>N15*'Assumptions'!N34</f>
        <v/>
      </c>
      <c r="O22" s="33">
        <f>O15*'Assumptions'!O34</f>
        <v/>
      </c>
    </row>
    <row r="23">
      <c r="A23" s="5" t="inlineStr">
        <is>
          <t>Others / exports / renewables</t>
        </is>
      </c>
      <c r="B23" s="43">
        <f>'Operational Drivers'!B18</f>
        <v/>
      </c>
      <c r="C23" s="43">
        <f>'Operational Drivers'!C18</f>
        <v/>
      </c>
      <c r="D23" s="43">
        <f>'Operational Drivers'!D18</f>
        <v/>
      </c>
      <c r="E23" s="43">
        <f>'Operational Drivers'!E18</f>
        <v/>
      </c>
      <c r="F23" s="43">
        <f>'Operational Drivers'!F18</f>
        <v/>
      </c>
      <c r="G23" s="43">
        <f>'Operational Drivers'!G18</f>
        <v/>
      </c>
      <c r="H23" s="43">
        <f>'Operational Drivers'!H18</f>
        <v/>
      </c>
      <c r="I23" s="33">
        <f>I15*(1-'Assumptions'!I33-'Assumptions'!I34)</f>
        <v/>
      </c>
      <c r="J23" s="33">
        <f>J15*(1-'Assumptions'!J33-'Assumptions'!J34)</f>
        <v/>
      </c>
      <c r="K23" s="33">
        <f>K15*(1-'Assumptions'!K33-'Assumptions'!K34)</f>
        <v/>
      </c>
      <c r="L23" s="33">
        <f>L15*(1-'Assumptions'!L33-'Assumptions'!L34)</f>
        <v/>
      </c>
      <c r="M23" s="33">
        <f>M15*(1-'Assumptions'!M33-'Assumptions'!M34)</f>
        <v/>
      </c>
      <c r="N23" s="33">
        <f>N15*(1-'Assumptions'!N33-'Assumptions'!N34)</f>
        <v/>
      </c>
      <c r="O23" s="33">
        <f>O15*(1-'Assumptions'!O33-'Assumptions'!O34)</f>
        <v/>
      </c>
    </row>
    <row r="24">
      <c r="A24" s="4" t="inlineStr">
        <is>
          <t>Total segment revenue (check vs consolidated)</t>
        </is>
      </c>
      <c r="B24" s="44">
        <f>SUM(B21:B23)</f>
        <v/>
      </c>
      <c r="C24" s="44">
        <f>SUM(C21:C23)</f>
        <v/>
      </c>
      <c r="D24" s="44">
        <f>SUM(D21:D23)</f>
        <v/>
      </c>
      <c r="E24" s="44">
        <f>SUM(E21:E23)</f>
        <v/>
      </c>
      <c r="F24" s="44">
        <f>SUM(F21:F23)</f>
        <v/>
      </c>
      <c r="G24" s="44">
        <f>SUM(G21:G23)</f>
        <v/>
      </c>
      <c r="H24" s="44">
        <f>SUM(H21:H23)</f>
        <v/>
      </c>
      <c r="I24" s="44">
        <f>SUM(I21:I23)</f>
        <v/>
      </c>
      <c r="J24" s="44">
        <f>SUM(J21:J23)</f>
        <v/>
      </c>
      <c r="K24" s="44">
        <f>SUM(K21:K23)</f>
        <v/>
      </c>
      <c r="L24" s="44">
        <f>SUM(L21:L23)</f>
        <v/>
      </c>
      <c r="M24" s="44">
        <f>SUM(M21:M23)</f>
        <v/>
      </c>
      <c r="N24" s="44">
        <f>SUM(N21:N23)</f>
        <v/>
      </c>
      <c r="O24" s="44">
        <f>SUM(O21:O23)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Build-up'!I15</f>
        <v/>
      </c>
      <c r="J6" s="33">
        <f>'Revenue Build-up'!J15</f>
        <v/>
      </c>
      <c r="K6" s="33">
        <f>'Revenue Build-up'!K15</f>
        <v/>
      </c>
      <c r="L6" s="33">
        <f>'Revenue Build-up'!L15</f>
        <v/>
      </c>
      <c r="M6" s="33">
        <f>'Revenue Build-up'!M15</f>
        <v/>
      </c>
      <c r="N6" s="33">
        <f>'Revenue Build-up'!N15</f>
        <v/>
      </c>
      <c r="O6" s="33">
        <f>'Revenue Build-up'!O15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5">
        <f>'Historical Financial Statements'!B6</f>
        <v/>
      </c>
      <c r="C13" s="45">
        <f>'Historical Financial Statements'!C6</f>
        <v/>
      </c>
      <c r="D13" s="45">
        <f>'Historical Financial Statements'!D6</f>
        <v/>
      </c>
      <c r="E13" s="45">
        <f>'Historical Financial Statements'!E6</f>
        <v/>
      </c>
      <c r="F13" s="45">
        <f>'Historical Financial Statements'!F6</f>
        <v/>
      </c>
      <c r="G13" s="45">
        <f>'Historical Financial Statements'!G6</f>
        <v/>
      </c>
      <c r="H13" s="45">
        <f>'Historical Financial Statements'!H6</f>
        <v/>
      </c>
      <c r="I13" s="44">
        <f>SUM(I7:I12)</f>
        <v/>
      </c>
      <c r="J13" s="44">
        <f>SUM(J7:J12)</f>
        <v/>
      </c>
      <c r="K13" s="44">
        <f>SUM(K7:K12)</f>
        <v/>
      </c>
      <c r="L13" s="44">
        <f>SUM(L7:L12)</f>
        <v/>
      </c>
      <c r="M13" s="44">
        <f>SUM(M7:M12)</f>
        <v/>
      </c>
      <c r="N13" s="44">
        <f>SUM(N7:N12)</f>
        <v/>
      </c>
      <c r="O13" s="44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5">
        <f>'Historical Financial Statements'!B11</f>
        <v/>
      </c>
      <c r="C21" s="45">
        <f>'Historical Financial Statements'!C11</f>
        <v/>
      </c>
      <c r="D21" s="45">
        <f>'Historical Financial Statements'!D11</f>
        <v/>
      </c>
      <c r="E21" s="45">
        <f>'Historical Financial Statements'!E11</f>
        <v/>
      </c>
      <c r="F21" s="45">
        <f>'Historical Financial Statements'!F11</f>
        <v/>
      </c>
      <c r="G21" s="45">
        <f>'Historical Financial Statements'!G11</f>
        <v/>
      </c>
      <c r="H21" s="45">
        <f>'Historical Financial Statements'!H11</f>
        <v/>
      </c>
      <c r="I21" s="44">
        <f>I16+I20</f>
        <v/>
      </c>
      <c r="J21" s="44">
        <f>J16+J20</f>
        <v/>
      </c>
      <c r="K21" s="44">
        <f>K16+K20</f>
        <v/>
      </c>
      <c r="L21" s="44">
        <f>L16+L20</f>
        <v/>
      </c>
      <c r="M21" s="44">
        <f>M16+M20</f>
        <v/>
      </c>
      <c r="N21" s="44">
        <f>N16+N20</f>
        <v/>
      </c>
      <c r="O21" s="44">
        <f>O16+O20</f>
        <v/>
      </c>
    </row>
    <row r="22">
      <c r="A22" s="4" t="inlineStr">
        <is>
          <t>EBITDA</t>
        </is>
      </c>
      <c r="B22" s="45">
        <f>'Historical Financial Statements'!B12</f>
        <v/>
      </c>
      <c r="C22" s="45">
        <f>'Historical Financial Statements'!C12</f>
        <v/>
      </c>
      <c r="D22" s="45">
        <f>'Historical Financial Statements'!D12</f>
        <v/>
      </c>
      <c r="E22" s="45">
        <f>'Historical Financial Statements'!E12</f>
        <v/>
      </c>
      <c r="F22" s="45">
        <f>'Historical Financial Statements'!F12</f>
        <v/>
      </c>
      <c r="G22" s="45">
        <f>'Historical Financial Statements'!G12</f>
        <v/>
      </c>
      <c r="H22" s="45">
        <f>'Historical Financial Statements'!H12</f>
        <v/>
      </c>
      <c r="I22" s="44">
        <f>I14-I21</f>
        <v/>
      </c>
      <c r="J22" s="44">
        <f>J14-J21</f>
        <v/>
      </c>
      <c r="K22" s="44">
        <f>K14-K21</f>
        <v/>
      </c>
      <c r="L22" s="44">
        <f>L14-L21</f>
        <v/>
      </c>
      <c r="M22" s="44">
        <f>M14-M21</f>
        <v/>
      </c>
      <c r="N22" s="44">
        <f>N14-N21</f>
        <v/>
      </c>
      <c r="O22" s="44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FY2026 seeds are AUDITED actuals (BHEL FY26 BSE filing); used to anchor the forecast. Contract assets/liabilities shown at their current portion; the non-current portion sits in the "other" catch-alls and is carved out on the balance sheet.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'Cost Forecast'!I6</f>
        <v/>
      </c>
      <c r="J6" s="33">
        <f>'Cost Forecast'!J6</f>
        <v/>
      </c>
      <c r="K6" s="33">
        <f>'Cost Forecast'!K6</f>
        <v/>
      </c>
      <c r="L6" s="33">
        <f>'Cost Forecast'!L6</f>
        <v/>
      </c>
      <c r="M6" s="33">
        <f>'Cost Forecast'!M6</f>
        <v/>
      </c>
      <c r="N6" s="33">
        <f>'Cost Forecast'!N6</f>
        <v/>
      </c>
      <c r="O6" s="33">
        <f>'Cost Forecast'!O6</f>
        <v/>
      </c>
    </row>
    <row r="7">
      <c r="A7" s="5" t="inlineStr">
        <is>
          <t>Cost of sales (total operating cost)</t>
        </is>
      </c>
      <c r="B7" s="43">
        <f>'Historical Financial Statements'!B23</f>
        <v/>
      </c>
      <c r="C7" s="43">
        <f>'Historical Financial Statements'!C23</f>
        <v/>
      </c>
      <c r="D7" s="43">
        <f>'Historical Financial Statements'!D23</f>
        <v/>
      </c>
      <c r="E7" s="43">
        <f>'Historical Financial Statements'!E23</f>
        <v/>
      </c>
      <c r="F7" s="43">
        <f>'Historical Financial Statements'!F23</f>
        <v/>
      </c>
      <c r="G7" s="43">
        <f>'Historical Financial Statements'!G23</f>
        <v/>
      </c>
      <c r="H7" s="43">
        <f>'Historical Financial Statements'!H23</f>
        <v/>
      </c>
      <c r="I7" s="33">
        <f>'Cost Forecast'!I24</f>
        <v/>
      </c>
      <c r="J7" s="33">
        <f>'Cost Forecast'!J24</f>
        <v/>
      </c>
      <c r="K7" s="33">
        <f>'Cost Forecast'!K24</f>
        <v/>
      </c>
      <c r="L7" s="33">
        <f>'Cost Forecast'!L24</f>
        <v/>
      </c>
      <c r="M7" s="33">
        <f>'Cost Forecast'!M24</f>
        <v/>
      </c>
      <c r="N7" s="33">
        <f>'Cost Forecast'!N24</f>
        <v/>
      </c>
      <c r="O7" s="33">
        <f>'Cost Forecast'!O24</f>
        <v/>
      </c>
    </row>
    <row r="8">
      <c r="A8" s="5" t="inlineStr">
        <is>
          <t xml:space="preserve">   Trade receivables</t>
        </is>
      </c>
      <c r="H8" s="46" t="n">
        <v>6796.27</v>
      </c>
      <c r="I8" s="33">
        <f>'Assumptions'!I37/365*I6</f>
        <v/>
      </c>
      <c r="J8" s="33">
        <f>'Assumptions'!J37/365*J6</f>
        <v/>
      </c>
      <c r="K8" s="33">
        <f>'Assumptions'!K37/365*K6</f>
        <v/>
      </c>
      <c r="L8" s="33">
        <f>'Assumptions'!L37/365*L6</f>
        <v/>
      </c>
      <c r="M8" s="33">
        <f>'Assumptions'!M37/365*M6</f>
        <v/>
      </c>
      <c r="N8" s="33">
        <f>'Assumptions'!N37/365*N6</f>
        <v/>
      </c>
      <c r="O8" s="33">
        <f>'Assumptions'!O37/365*O6</f>
        <v/>
      </c>
    </row>
    <row r="9">
      <c r="A9" s="5" t="inlineStr">
        <is>
          <t xml:space="preserve">   Inventories</t>
        </is>
      </c>
      <c r="H9" s="46" t="n">
        <v>13334.58</v>
      </c>
      <c r="I9" s="33">
        <f>'Assumptions'!I38/365*'Cost Forecast'!I13</f>
        <v/>
      </c>
      <c r="J9" s="33">
        <f>'Assumptions'!J38/365*'Cost Forecast'!J13</f>
        <v/>
      </c>
      <c r="K9" s="33">
        <f>'Assumptions'!K38/365*'Cost Forecast'!K13</f>
        <v/>
      </c>
      <c r="L9" s="33">
        <f>'Assumptions'!L38/365*'Cost Forecast'!L13</f>
        <v/>
      </c>
      <c r="M9" s="33">
        <f>'Assumptions'!M38/365*'Cost Forecast'!M13</f>
        <v/>
      </c>
      <c r="N9" s="33">
        <f>'Assumptions'!N38/365*'Cost Forecast'!N13</f>
        <v/>
      </c>
      <c r="O9" s="33">
        <f>'Assumptions'!O38/365*'Cost Forecast'!O13</f>
        <v/>
      </c>
    </row>
    <row r="10">
      <c r="A10" s="5" t="inlineStr">
        <is>
          <t xml:space="preserve">   Contract assets (current)</t>
        </is>
      </c>
      <c r="H10" s="46" t="n">
        <v>15192.89</v>
      </c>
      <c r="I10" s="33">
        <f>'Assumptions'!I40*I6</f>
        <v/>
      </c>
      <c r="J10" s="33">
        <f>'Assumptions'!J40*J6</f>
        <v/>
      </c>
      <c r="K10" s="33">
        <f>'Assumptions'!K40*K6</f>
        <v/>
      </c>
      <c r="L10" s="33">
        <f>'Assumptions'!L40*L6</f>
        <v/>
      </c>
      <c r="M10" s="33">
        <f>'Assumptions'!M40*M6</f>
        <v/>
      </c>
      <c r="N10" s="33">
        <f>'Assumptions'!N40*N6</f>
        <v/>
      </c>
      <c r="O10" s="33">
        <f>'Assumptions'!O40*O6</f>
        <v/>
      </c>
    </row>
    <row r="11">
      <c r="A11" s="5" t="inlineStr">
        <is>
          <t xml:space="preserve">   Other current &amp; non-current assets</t>
        </is>
      </c>
      <c r="H11" s="46" t="n">
        <v>25199.61</v>
      </c>
      <c r="I11" s="33">
        <f>H11*(1+'Assumptions'!I42)</f>
        <v/>
      </c>
      <c r="J11" s="33">
        <f>I11*(1+'Assumptions'!J42)</f>
        <v/>
      </c>
      <c r="K11" s="33">
        <f>J11*(1+'Assumptions'!K42)</f>
        <v/>
      </c>
      <c r="L11" s="33">
        <f>K11*(1+'Assumptions'!L42)</f>
        <v/>
      </c>
      <c r="M11" s="33">
        <f>L11*(1+'Assumptions'!M42)</f>
        <v/>
      </c>
      <c r="N11" s="33">
        <f>M11*(1+'Assumptions'!N42)</f>
        <v/>
      </c>
      <c r="O11" s="33">
        <f>N11*(1+'Assumptions'!O42)</f>
        <v/>
      </c>
    </row>
    <row r="12">
      <c r="A12" s="4" t="inlineStr">
        <is>
          <t>Total operating assets</t>
        </is>
      </c>
      <c r="H12" s="44">
        <f>SUM(H8:H11)</f>
        <v/>
      </c>
      <c r="I12" s="44">
        <f>SUM(I8:I11)</f>
        <v/>
      </c>
      <c r="J12" s="44">
        <f>SUM(J8:J11)</f>
        <v/>
      </c>
      <c r="K12" s="44">
        <f>SUM(K8:K11)</f>
        <v/>
      </c>
      <c r="L12" s="44">
        <f>SUM(L8:L11)</f>
        <v/>
      </c>
      <c r="M12" s="44">
        <f>SUM(M8:M11)</f>
        <v/>
      </c>
      <c r="N12" s="44">
        <f>SUM(N8:N11)</f>
        <v/>
      </c>
      <c r="O12" s="44">
        <f>SUM(O8:O11)</f>
        <v/>
      </c>
    </row>
    <row r="13">
      <c r="A13" s="5" t="inlineStr">
        <is>
          <t xml:space="preserve">   Trade payables</t>
        </is>
      </c>
      <c r="H13" s="46" t="n">
        <v>10491.6</v>
      </c>
      <c r="I13" s="33">
        <f>'Assumptions'!I39/365*'Cost Forecast'!I13</f>
        <v/>
      </c>
      <c r="J13" s="33">
        <f>'Assumptions'!J39/365*'Cost Forecast'!J13</f>
        <v/>
      </c>
      <c r="K13" s="33">
        <f>'Assumptions'!K39/365*'Cost Forecast'!K13</f>
        <v/>
      </c>
      <c r="L13" s="33">
        <f>'Assumptions'!L39/365*'Cost Forecast'!L13</f>
        <v/>
      </c>
      <c r="M13" s="33">
        <f>'Assumptions'!M39/365*'Cost Forecast'!M13</f>
        <v/>
      </c>
      <c r="N13" s="33">
        <f>'Assumptions'!N39/365*'Cost Forecast'!N13</f>
        <v/>
      </c>
      <c r="O13" s="33">
        <f>'Assumptions'!O39/365*'Cost Forecast'!O13</f>
        <v/>
      </c>
    </row>
    <row r="14">
      <c r="A14" s="5" t="inlineStr">
        <is>
          <t xml:space="preserve">   Contract liabilities / advances (current)</t>
        </is>
      </c>
      <c r="H14" s="46" t="n">
        <v>9110.389999999999</v>
      </c>
      <c r="I14" s="33">
        <f>'Assumptions'!I41*I6</f>
        <v/>
      </c>
      <c r="J14" s="33">
        <f>'Assumptions'!J41*J6</f>
        <v/>
      </c>
      <c r="K14" s="33">
        <f>'Assumptions'!K41*K6</f>
        <v/>
      </c>
      <c r="L14" s="33">
        <f>'Assumptions'!L41*L6</f>
        <v/>
      </c>
      <c r="M14" s="33">
        <f>'Assumptions'!M41*M6</f>
        <v/>
      </c>
      <c r="N14" s="33">
        <f>'Assumptions'!N41*N6</f>
        <v/>
      </c>
      <c r="O14" s="33">
        <f>'Assumptions'!O41*O6</f>
        <v/>
      </c>
    </row>
    <row r="15">
      <c r="A15" s="5" t="inlineStr">
        <is>
          <t xml:space="preserve">   Provisions &amp; other liabilities</t>
        </is>
      </c>
      <c r="H15" s="46" t="n">
        <v>22250.07</v>
      </c>
      <c r="I15" s="33">
        <f>H15*(1+'Assumptions'!I43)</f>
        <v/>
      </c>
      <c r="J15" s="33">
        <f>I15*(1+'Assumptions'!J43)</f>
        <v/>
      </c>
      <c r="K15" s="33">
        <f>J15*(1+'Assumptions'!K43)</f>
        <v/>
      </c>
      <c r="L15" s="33">
        <f>K15*(1+'Assumptions'!L43)</f>
        <v/>
      </c>
      <c r="M15" s="33">
        <f>L15*(1+'Assumptions'!M43)</f>
        <v/>
      </c>
      <c r="N15" s="33">
        <f>M15*(1+'Assumptions'!N43)</f>
        <v/>
      </c>
      <c r="O15" s="33">
        <f>N15*(1+'Assumptions'!O43)</f>
        <v/>
      </c>
    </row>
    <row r="16">
      <c r="A16" s="4" t="inlineStr">
        <is>
          <t>Total operating liabilities</t>
        </is>
      </c>
      <c r="H16" s="44">
        <f>SUM(H13:H15)</f>
        <v/>
      </c>
      <c r="I16" s="44">
        <f>SUM(I13:I15)</f>
        <v/>
      </c>
      <c r="J16" s="44">
        <f>SUM(J13:J15)</f>
        <v/>
      </c>
      <c r="K16" s="44">
        <f>SUM(K13:K15)</f>
        <v/>
      </c>
      <c r="L16" s="44">
        <f>SUM(L13:L15)</f>
        <v/>
      </c>
      <c r="M16" s="44">
        <f>SUM(M13:M15)</f>
        <v/>
      </c>
      <c r="N16" s="44">
        <f>SUM(N13:N15)</f>
        <v/>
      </c>
      <c r="O16" s="44">
        <f>SUM(O13:O15)</f>
        <v/>
      </c>
    </row>
    <row r="17">
      <c r="A17" s="4" t="inlineStr">
        <is>
          <t>Net working capital</t>
        </is>
      </c>
      <c r="H17" s="32">
        <f>H12-H16</f>
        <v/>
      </c>
      <c r="I17" s="32">
        <f>I12-I16</f>
        <v/>
      </c>
      <c r="J17" s="32">
        <f>J12-J16</f>
        <v/>
      </c>
      <c r="K17" s="32">
        <f>K12-K16</f>
        <v/>
      </c>
      <c r="L17" s="32">
        <f>L12-L16</f>
        <v/>
      </c>
      <c r="M17" s="32">
        <f>M12-M16</f>
        <v/>
      </c>
      <c r="N17" s="32">
        <f>N12-N16</f>
        <v/>
      </c>
      <c r="O17" s="32">
        <f>O12-O16</f>
        <v/>
      </c>
    </row>
    <row r="18">
      <c r="A18" s="5" t="inlineStr">
        <is>
          <t>(Increase)/decrease in NWC</t>
        </is>
      </c>
      <c r="I18" s="33">
        <f>-(I17-H17)</f>
        <v/>
      </c>
      <c r="J18" s="33">
        <f>-(J17-I17)</f>
        <v/>
      </c>
      <c r="K18" s="33">
        <f>-(K17-J17)</f>
        <v/>
      </c>
      <c r="L18" s="33">
        <f>-(L17-K17)</f>
        <v/>
      </c>
      <c r="M18" s="33">
        <f>-(M17-L17)</f>
        <v/>
      </c>
      <c r="N18" s="33">
        <f>-(N17-M17)</f>
        <v/>
      </c>
      <c r="O18" s="33">
        <f>-(O17-N17)</f>
        <v/>
      </c>
    </row>
    <row r="19">
      <c r="A19" s="5" t="inlineStr">
        <is>
          <t>Memo: cash &amp; bank (FY26 seed, audited)</t>
        </is>
      </c>
      <c r="H19" s="46" t="n">
        <v>11866.62</v>
      </c>
    </row>
    <row r="21">
      <c r="A21" s="11" t="inlineStr">
        <is>
          <t>Memo: current-asset composition (indicative, forecast)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 xml:space="preserve">   Inventory: raw materials &amp; components (~45%)</t>
        </is>
      </c>
      <c r="I22" s="33">
        <f>I9*0.45</f>
        <v/>
      </c>
      <c r="J22" s="33">
        <f>J9*0.45</f>
        <v/>
      </c>
      <c r="K22" s="33">
        <f>K9*0.45</f>
        <v/>
      </c>
      <c r="L22" s="33">
        <f>L9*0.45</f>
        <v/>
      </c>
      <c r="M22" s="33">
        <f>M9*0.45</f>
        <v/>
      </c>
      <c r="N22" s="33">
        <f>N9*0.45</f>
        <v/>
      </c>
      <c r="O22" s="33">
        <f>O9*0.45</f>
        <v/>
      </c>
    </row>
    <row r="23">
      <c r="A23" s="5" t="inlineStr">
        <is>
          <t xml:space="preserve">   Inventory: work-in-progress (~35%)</t>
        </is>
      </c>
      <c r="I23" s="33">
        <f>I9*0.35</f>
        <v/>
      </c>
      <c r="J23" s="33">
        <f>J9*0.35</f>
        <v/>
      </c>
      <c r="K23" s="33">
        <f>K9*0.35</f>
        <v/>
      </c>
      <c r="L23" s="33">
        <f>L9*0.35</f>
        <v/>
      </c>
      <c r="M23" s="33">
        <f>M9*0.35</f>
        <v/>
      </c>
      <c r="N23" s="33">
        <f>N9*0.35</f>
        <v/>
      </c>
      <c r="O23" s="33">
        <f>O9*0.35</f>
        <v/>
      </c>
    </row>
    <row r="24">
      <c r="A24" s="5" t="inlineStr">
        <is>
          <t xml:space="preserve">   Inventory: finished goods &amp; stores (~20%)</t>
        </is>
      </c>
      <c r="I24" s="33">
        <f>I9*0.20</f>
        <v/>
      </c>
      <c r="J24" s="33">
        <f>J9*0.20</f>
        <v/>
      </c>
      <c r="K24" s="33">
        <f>K9*0.20</f>
        <v/>
      </c>
      <c r="L24" s="33">
        <f>L9*0.20</f>
        <v/>
      </c>
      <c r="M24" s="33">
        <f>M9*0.20</f>
        <v/>
      </c>
      <c r="N24" s="33">
        <f>N9*0.20</f>
        <v/>
      </c>
      <c r="O24" s="33">
        <f>O9*0.20</f>
        <v/>
      </c>
    </row>
    <row r="25">
      <c r="A25" s="5" t="inlineStr">
        <is>
          <t xml:space="preserve">   Receivables: billed / trade (~70%)</t>
        </is>
      </c>
      <c r="I25" s="33">
        <f>I8*0.70</f>
        <v/>
      </c>
      <c r="J25" s="33">
        <f>J8*0.70</f>
        <v/>
      </c>
      <c r="K25" s="33">
        <f>K8*0.70</f>
        <v/>
      </c>
      <c r="L25" s="33">
        <f>L8*0.70</f>
        <v/>
      </c>
      <c r="M25" s="33">
        <f>M8*0.70</f>
        <v/>
      </c>
      <c r="N25" s="33">
        <f>N8*0.70</f>
        <v/>
      </c>
      <c r="O25" s="33">
        <f>O8*0.70</f>
        <v/>
      </c>
    </row>
    <row r="26">
      <c r="A26" s="5" t="inlineStr">
        <is>
          <t xml:space="preserve">   Receivables: unbilled / retention (~30%)</t>
        </is>
      </c>
      <c r="I26" s="33">
        <f>I8*0.30</f>
        <v/>
      </c>
      <c r="J26" s="33">
        <f>J8*0.30</f>
        <v/>
      </c>
      <c r="K26" s="33">
        <f>K8*0.30</f>
        <v/>
      </c>
      <c r="L26" s="33">
        <f>L8*0.30</f>
        <v/>
      </c>
      <c r="M26" s="33">
        <f>M8*0.30</f>
        <v/>
      </c>
      <c r="N26" s="33">
        <f>N8*0.30</f>
        <v/>
      </c>
      <c r="O26" s="33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'Historical Financial Statements'!H28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5">
        <f>'Historical Financial Statements'!B28</f>
        <v/>
      </c>
      <c r="C10" s="45">
        <f>'Historical Financial Statements'!C28</f>
        <v/>
      </c>
      <c r="D10" s="45">
        <f>'Historical Financial Statements'!D28</f>
        <v/>
      </c>
      <c r="E10" s="45">
        <f>'Historical Financial Statements'!E28</f>
        <v/>
      </c>
      <c r="F10" s="45">
        <f>'Historical Financial Statements'!F28</f>
        <v/>
      </c>
      <c r="G10" s="45">
        <f>'Historical Financial Statements'!G28</f>
        <v/>
      </c>
      <c r="H10" s="45">
        <f>'Historical Financial Statements'!H28</f>
        <v/>
      </c>
      <c r="I10" s="44">
        <f>I6+I7+I8-I9</f>
        <v/>
      </c>
      <c r="J10" s="44">
        <f>J6+J7+J8-J9</f>
        <v/>
      </c>
      <c r="K10" s="44">
        <f>K6+K7+K8-K9</f>
        <v/>
      </c>
      <c r="L10" s="44">
        <f>L6+L7+L8-L9</f>
        <v/>
      </c>
      <c r="M10" s="44">
        <f>M6+M7+M8-M9</f>
        <v/>
      </c>
      <c r="N10" s="44">
        <f>N6+N7+N8-N9</f>
        <v/>
      </c>
      <c r="O10" s="44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5">
        <f>'Historical Financial Statements'!B13</f>
        <v/>
      </c>
      <c r="C8" s="45">
        <f>'Historical Financial Statements'!C13</f>
        <v/>
      </c>
      <c r="D8" s="45">
        <f>'Historical Financial Statements'!D13</f>
        <v/>
      </c>
      <c r="E8" s="45">
        <f>'Historical Financial Statements'!E13</f>
        <v/>
      </c>
      <c r="F8" s="45">
        <f>'Historical Financial Statements'!F13</f>
        <v/>
      </c>
      <c r="G8" s="45">
        <f>'Historical Financial Statements'!G13</f>
        <v/>
      </c>
      <c r="H8" s="45">
        <f>'Historical Financial Statements'!H13</f>
        <v/>
      </c>
      <c r="I8" s="44">
        <f>I6*I7</f>
        <v/>
      </c>
      <c r="J8" s="44">
        <f>J6*J7</f>
        <v/>
      </c>
      <c r="K8" s="44">
        <f>K6*K7</f>
        <v/>
      </c>
      <c r="L8" s="44">
        <f>L6*L7</f>
        <v/>
      </c>
      <c r="M8" s="44">
        <f>M6*M7</f>
        <v/>
      </c>
      <c r="N8" s="44">
        <f>N6*N7</f>
        <v/>
      </c>
      <c r="O8" s="44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'Historical Financial Statements'!H35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5">
        <f>'Historical Financial Statements'!B35</f>
        <v/>
      </c>
      <c r="C9" s="45">
        <f>'Historical Financial Statements'!C35</f>
        <v/>
      </c>
      <c r="D9" s="45">
        <f>'Historical Financial Statements'!D35</f>
        <v/>
      </c>
      <c r="E9" s="45">
        <f>'Historical Financial Statements'!E35</f>
        <v/>
      </c>
      <c r="F9" s="45">
        <f>'Historical Financial Statements'!F35</f>
        <v/>
      </c>
      <c r="G9" s="45">
        <f>'Historical Financial Statements'!G35</f>
        <v/>
      </c>
      <c r="H9" s="45">
        <f>'Historical Financial Statements'!H35</f>
        <v/>
      </c>
      <c r="I9" s="44">
        <f>I6+I7+I8</f>
        <v/>
      </c>
      <c r="J9" s="44">
        <f>J6+J7+J8</f>
        <v/>
      </c>
      <c r="K9" s="44">
        <f>K6+K7+K8</f>
        <v/>
      </c>
      <c r="L9" s="44">
        <f>L6+L7+L8</f>
        <v/>
      </c>
      <c r="M9" s="44">
        <f>M6+M7+M8</f>
        <v/>
      </c>
      <c r="N9" s="44">
        <f>N6+N7+N8</f>
        <v/>
      </c>
      <c r="O9" s="44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'Historical Financial Statements'!H34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4">
        <f>SUM(I6:I9)</f>
        <v/>
      </c>
      <c r="J10" s="44">
        <f>SUM(J6:J9)</f>
        <v/>
      </c>
      <c r="K10" s="44">
        <f>SUM(K6:K9)</f>
        <v/>
      </c>
      <c r="L10" s="44">
        <f>SUM(L6:L9)</f>
        <v/>
      </c>
      <c r="M10" s="44">
        <f>SUM(M6:M9)</f>
        <v/>
      </c>
      <c r="N10" s="44">
        <f>SUM(N6:N9)</f>
        <v/>
      </c>
      <c r="O10" s="44">
        <f>SUM(O6:O9)</f>
        <v/>
      </c>
    </row>
    <row r="12">
      <c r="A12" s="5" t="inlineStr">
        <is>
          <t>Equity share capital (constant)</t>
        </is>
      </c>
      <c r="I12" s="33" t="n">
        <v>696</v>
      </c>
      <c r="J12" s="33" t="n">
        <v>696</v>
      </c>
      <c r="K12" s="33" t="n">
        <v>696</v>
      </c>
      <c r="L12" s="33" t="n">
        <v>696</v>
      </c>
      <c r="M12" s="33" t="n">
        <v>696</v>
      </c>
      <c r="N12" s="33" t="n">
        <v>696</v>
      </c>
      <c r="O12" s="33" t="n">
        <v>696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(memo, from WC)</t>
        </is>
      </c>
      <c r="I8" s="33">
        <f>'Working Capital Schedule'!I10</f>
        <v/>
      </c>
      <c r="J8" s="33">
        <f>'Working Capital Schedule'!J10</f>
        <v/>
      </c>
      <c r="K8" s="33">
        <f>'Working Capital Schedule'!K10</f>
        <v/>
      </c>
      <c r="L8" s="33">
        <f>'Working Capital Schedule'!L10</f>
        <v/>
      </c>
      <c r="M8" s="33">
        <f>'Working Capital Schedule'!M10</f>
        <v/>
      </c>
      <c r="N8" s="33">
        <f>'Working Capital Schedule'!N10</f>
        <v/>
      </c>
      <c r="O8" s="33">
        <f>'Working Capital Schedule'!O10</f>
        <v/>
      </c>
    </row>
    <row r="9">
      <c r="A9" s="5" t="inlineStr">
        <is>
          <t>Other operating assets (memo, from WC)</t>
        </is>
      </c>
      <c r="I9" s="33">
        <f>'Working Capital Schedule'!I11</f>
        <v/>
      </c>
      <c r="J9" s="33">
        <f>'Working Capital Schedule'!J11</f>
        <v/>
      </c>
      <c r="K9" s="33">
        <f>'Working Capital Schedule'!K11</f>
        <v/>
      </c>
      <c r="L9" s="33">
        <f>'Working Capital Schedule'!L11</f>
        <v/>
      </c>
      <c r="M9" s="33">
        <f>'Working Capital Schedule'!M11</f>
        <v/>
      </c>
      <c r="N9" s="33">
        <f>'Working Capital Schedule'!N11</f>
        <v/>
      </c>
      <c r="O9" s="33">
        <f>'Working Capital Schedule'!O11</f>
        <v/>
      </c>
    </row>
    <row r="10">
      <c r="A10" s="5" t="inlineStr">
        <is>
          <t>Contract liabilities (memo, from WC)</t>
        </is>
      </c>
      <c r="I10" s="33">
        <f>'Working Capital Schedule'!I14</f>
        <v/>
      </c>
      <c r="J10" s="33">
        <f>'Working Capital Schedule'!J14</f>
        <v/>
      </c>
      <c r="K10" s="33">
        <f>'Working Capital Schedule'!K14</f>
        <v/>
      </c>
      <c r="L10" s="33">
        <f>'Working Capital Schedule'!L14</f>
        <v/>
      </c>
      <c r="M10" s="33">
        <f>'Working Capital Schedule'!M14</f>
        <v/>
      </c>
      <c r="N10" s="33">
        <f>'Working Capital Schedule'!N14</f>
        <v/>
      </c>
      <c r="O10" s="33">
        <f>'Working Capital Schedule'!O14</f>
        <v/>
      </c>
    </row>
    <row r="11">
      <c r="A11" s="5" t="inlineStr">
        <is>
          <t>Provisions &amp; other liabilities (memo, from WC)</t>
        </is>
      </c>
      <c r="I11" s="33">
        <f>'Working Capital Schedule'!I15</f>
        <v/>
      </c>
      <c r="J11" s="33">
        <f>'Working Capital Schedule'!J15</f>
        <v/>
      </c>
      <c r="K11" s="33">
        <f>'Working Capital Schedule'!K15</f>
        <v/>
      </c>
      <c r="L11" s="33">
        <f>'Working Capital Schedule'!L15</f>
        <v/>
      </c>
      <c r="M11" s="33">
        <f>'Working Capital Schedule'!M15</f>
        <v/>
      </c>
      <c r="N11" s="33">
        <f>'Working Capital Schedule'!N15</f>
        <v/>
      </c>
      <c r="O11" s="33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FY2020-26: AUDITED consolidated cash flow (annual reports), reconciling to cash &amp; cash equivalents. FY2027-33: derived (PAT + D&amp;A +/- change in NWC; investing &amp; financing from schedules). See memo for the link to the broader balance-sheet "cash &amp; bank" line.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B6" s="43">
        <f>'Historical Financial Statements'!B20</f>
        <v/>
      </c>
      <c r="C6" s="43">
        <f>'Historical Financial Statements'!C20</f>
        <v/>
      </c>
      <c r="D6" s="43">
        <f>'Historical Financial Statements'!D20</f>
        <v/>
      </c>
      <c r="E6" s="43">
        <f>'Historical Financial Statements'!E20</f>
        <v/>
      </c>
      <c r="F6" s="43">
        <f>'Historical Financial Statements'!F20</f>
        <v/>
      </c>
      <c r="G6" s="43">
        <f>'Historical Financial Statements'!G20</f>
        <v/>
      </c>
      <c r="H6" s="43">
        <f>'Historical Financial Statements'!H20</f>
        <v/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B7" s="43">
        <f>'Historical Financial Statements'!B13</f>
        <v/>
      </c>
      <c r="C7" s="43">
        <f>'Historical Financial Statements'!C13</f>
        <v/>
      </c>
      <c r="D7" s="43">
        <f>'Historical Financial Statements'!D13</f>
        <v/>
      </c>
      <c r="E7" s="43">
        <f>'Historical Financial Statements'!E13</f>
        <v/>
      </c>
      <c r="F7" s="43">
        <f>'Historical Financial Statements'!F13</f>
        <v/>
      </c>
      <c r="G7" s="43">
        <f>'Historical Financial Statements'!G13</f>
        <v/>
      </c>
      <c r="H7" s="43">
        <f>'Historical Financial Statements'!H13</f>
        <v/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Working capital &amp; other operating adjustments</t>
        </is>
      </c>
      <c r="B8" s="43">
        <f>'Historical Financial Statements'!B42-B6-B7</f>
        <v/>
      </c>
      <c r="C8" s="43">
        <f>'Historical Financial Statements'!C42-C6-C7</f>
        <v/>
      </c>
      <c r="D8" s="43">
        <f>'Historical Financial Statements'!D42-D6-D7</f>
        <v/>
      </c>
      <c r="E8" s="43">
        <f>'Historical Financial Statements'!E42-E6-E7</f>
        <v/>
      </c>
      <c r="F8" s="43">
        <f>'Historical Financial Statements'!F42-F6-F7</f>
        <v/>
      </c>
      <c r="G8" s="43">
        <f>'Historical Financial Statements'!G42-G6-G7</f>
        <v/>
      </c>
      <c r="H8" s="43">
        <f>'Historical Financial Statements'!H42-H6-H7</f>
        <v/>
      </c>
      <c r="I8" s="33">
        <f>'Working Capital Schedule'!I18</f>
        <v/>
      </c>
      <c r="J8" s="33">
        <f>'Working Capital Schedule'!J18</f>
        <v/>
      </c>
      <c r="K8" s="33">
        <f>'Working Capital Schedule'!K18</f>
        <v/>
      </c>
      <c r="L8" s="33">
        <f>'Working Capital Schedule'!L18</f>
        <v/>
      </c>
      <c r="M8" s="33">
        <f>'Working Capital Schedule'!M18</f>
        <v/>
      </c>
      <c r="N8" s="33">
        <f>'Working Capital Schedule'!N18</f>
        <v/>
      </c>
      <c r="O8" s="33">
        <f>'Working Capital Schedule'!O18</f>
        <v/>
      </c>
    </row>
    <row r="9">
      <c r="A9" s="4" t="inlineStr">
        <is>
          <t>Cash flow from operating activities</t>
        </is>
      </c>
      <c r="B9" s="45">
        <f>SUM(B6:B8)</f>
        <v/>
      </c>
      <c r="C9" s="45">
        <f>SUM(C6:C8)</f>
        <v/>
      </c>
      <c r="D9" s="45">
        <f>SUM(D6:D8)</f>
        <v/>
      </c>
      <c r="E9" s="45">
        <f>SUM(E6:E8)</f>
        <v/>
      </c>
      <c r="F9" s="45">
        <f>SUM(F6:F8)</f>
        <v/>
      </c>
      <c r="G9" s="45">
        <f>SUM(G6:G8)</f>
        <v/>
      </c>
      <c r="H9" s="45">
        <f>SUM(H6:H8)</f>
        <v/>
      </c>
      <c r="I9" s="44">
        <f>SUM(I6:I8)</f>
        <v/>
      </c>
      <c r="J9" s="44">
        <f>SUM(J6:J8)</f>
        <v/>
      </c>
      <c r="K9" s="44">
        <f>SUM(K6:K8)</f>
        <v/>
      </c>
      <c r="L9" s="44">
        <f>SUM(L6:L8)</f>
        <v/>
      </c>
      <c r="M9" s="44">
        <f>SUM(M6:M8)</f>
        <v/>
      </c>
      <c r="N9" s="44">
        <f>SUM(N6:N8)</f>
        <v/>
      </c>
      <c r="O9" s="44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 (PPE &amp; intangibles)</t>
        </is>
      </c>
      <c r="B12" s="30" t="n">
        <v>-394.01</v>
      </c>
      <c r="C12" s="30" t="n">
        <v>-250.35</v>
      </c>
      <c r="D12" s="30" t="n">
        <v>-169.38</v>
      </c>
      <c r="E12" s="30" t="n">
        <v>-188.4</v>
      </c>
      <c r="F12" s="30" t="n">
        <v>-232.5</v>
      </c>
      <c r="G12" s="30" t="n">
        <v>-281.54</v>
      </c>
      <c r="H12" s="30" t="n">
        <v>-589.04</v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</v>
      </c>
      <c r="G13" s="30" t="n">
        <v>0</v>
      </c>
      <c r="H13" s="30" t="n">
        <v>0</v>
      </c>
      <c r="I13" s="33">
        <f>-('Assumptions'!I44-'Historical Financial Statements'!H29)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Bank deposits, investments, interest &amp; other investing</t>
        </is>
      </c>
      <c r="B14" s="43">
        <f>'Historical Financial Statements'!B43-B12-B13</f>
        <v/>
      </c>
      <c r="C14" s="43">
        <f>'Historical Financial Statements'!C43-C12-C13</f>
        <v/>
      </c>
      <c r="D14" s="43">
        <f>'Historical Financial Statements'!D43-D12-D13</f>
        <v/>
      </c>
      <c r="E14" s="43">
        <f>'Historical Financial Statements'!E43-E12-E13</f>
        <v/>
      </c>
      <c r="F14" s="43">
        <f>'Historical Financial Statements'!F43-F12-F13</f>
        <v/>
      </c>
      <c r="G14" s="43">
        <f>'Historical Financial Statements'!G43-G12-G13</f>
        <v/>
      </c>
      <c r="H14" s="43">
        <f>'Historical Financial Statements'!H43-H12-H13</f>
        <v/>
      </c>
      <c r="I14" s="33">
        <f>-('Assumptions'!I45-'Historical Financial Statements'!H30)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5">
        <f>SUM(B12:B14)</f>
        <v/>
      </c>
      <c r="C15" s="45">
        <f>SUM(C12:C14)</f>
        <v/>
      </c>
      <c r="D15" s="45">
        <f>SUM(D12:D14)</f>
        <v/>
      </c>
      <c r="E15" s="45">
        <f>SUM(E12:E14)</f>
        <v/>
      </c>
      <c r="F15" s="45">
        <f>SUM(F12:F14)</f>
        <v/>
      </c>
      <c r="G15" s="45">
        <f>SUM(G12:G14)</f>
        <v/>
      </c>
      <c r="H15" s="45">
        <f>SUM(H12:H14)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/ (net) borrowings</t>
        </is>
      </c>
      <c r="B18" s="30" t="n">
        <v>2503.78</v>
      </c>
      <c r="C18" s="30" t="n">
        <v>-99.67</v>
      </c>
      <c r="D18" s="30" t="n">
        <v>-87.53</v>
      </c>
      <c r="E18" s="30" t="n">
        <v>640</v>
      </c>
      <c r="F18" s="30" t="n">
        <v>3423</v>
      </c>
      <c r="G18" s="30" t="n">
        <v>-13</v>
      </c>
      <c r="H18" s="30" t="n">
        <v>-845</v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Interest paid &amp; lease payments</t>
        </is>
      </c>
      <c r="B19" s="30" t="n">
        <v>-377.23</v>
      </c>
      <c r="C19" s="30" t="n">
        <v>-295.46</v>
      </c>
      <c r="D19" s="30" t="n">
        <v>-241.66</v>
      </c>
      <c r="E19" s="30" t="n">
        <v>-411.86</v>
      </c>
      <c r="F19" s="30" t="n">
        <v>-627.8099999999999</v>
      </c>
      <c r="G19" s="30" t="n">
        <v>-756.37</v>
      </c>
      <c r="H19" s="30" t="n">
        <v>-786.09</v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B20" s="30" t="n">
        <v>-504.56</v>
      </c>
      <c r="C20" s="30" t="n">
        <v>-0.68</v>
      </c>
      <c r="D20" s="30" t="n">
        <v>-0.3</v>
      </c>
      <c r="E20" s="30" t="n">
        <v>-139.18</v>
      </c>
      <c r="F20" s="30" t="n">
        <v>-139.45</v>
      </c>
      <c r="G20" s="30" t="n">
        <v>-87.44</v>
      </c>
      <c r="H20" s="30" t="n">
        <v>-174.64</v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5">
        <f>SUM(B18:B20)</f>
        <v/>
      </c>
      <c r="C21" s="45">
        <f>SUM(C18:C20)</f>
        <v/>
      </c>
      <c r="D21" s="45">
        <f>SUM(D18:D20)</f>
        <v/>
      </c>
      <c r="E21" s="45">
        <f>SUM(E18:E20)</f>
        <v/>
      </c>
      <c r="F21" s="45">
        <f>SUM(F18:F20)</f>
        <v/>
      </c>
      <c r="G21" s="45">
        <f>SUM(G18:G20)</f>
        <v/>
      </c>
      <c r="H21" s="45">
        <f>SUM(H18:H20)</f>
        <v/>
      </c>
      <c r="I21" s="44">
        <f>SUM(I18:I20)</f>
        <v/>
      </c>
      <c r="J21" s="44">
        <f>SUM(J18:J20)</f>
        <v/>
      </c>
      <c r="K21" s="44">
        <f>SUM(K18:K20)</f>
        <v/>
      </c>
      <c r="L21" s="44">
        <f>SUM(L18:L20)</f>
        <v/>
      </c>
      <c r="M21" s="44">
        <f>SUM(M18:M20)</f>
        <v/>
      </c>
      <c r="N21" s="44">
        <f>SUM(N18:N20)</f>
        <v/>
      </c>
      <c r="O21" s="44">
        <f>SUM(O18:O20)</f>
        <v/>
      </c>
    </row>
    <row r="23">
      <c r="A23" s="4" t="inlineStr">
        <is>
          <t>Net increase/(decrease) in cash &amp; equivalents</t>
        </is>
      </c>
      <c r="B23" s="44">
        <f>B9+B15+B21</f>
        <v/>
      </c>
      <c r="C23" s="44">
        <f>C9+C15+C21</f>
        <v/>
      </c>
      <c r="D23" s="44">
        <f>D9+D15+D21</f>
        <v/>
      </c>
      <c r="E23" s="44">
        <f>E9+E15+E21</f>
        <v/>
      </c>
      <c r="F23" s="44">
        <f>F9+F15+F21</f>
        <v/>
      </c>
      <c r="G23" s="44">
        <f>G9+G15+G21</f>
        <v/>
      </c>
      <c r="H23" s="44">
        <f>H9+H15+H21</f>
        <v/>
      </c>
      <c r="I23" s="44">
        <f>I9+I15+I21</f>
        <v/>
      </c>
      <c r="J23" s="44">
        <f>J9+J15+J21</f>
        <v/>
      </c>
      <c r="K23" s="44">
        <f>K9+K15+K21</f>
        <v/>
      </c>
      <c r="L23" s="44">
        <f>L9+L15+L21</f>
        <v/>
      </c>
      <c r="M23" s="44">
        <f>M9+M15+M21</f>
        <v/>
      </c>
      <c r="N23" s="44">
        <f>N9+N15+N21</f>
        <v/>
      </c>
      <c r="O23" s="44">
        <f>O9+O15+O21</f>
        <v/>
      </c>
    </row>
    <row r="24">
      <c r="A24" s="5" t="inlineStr">
        <is>
          <t>Opening cash &amp; cash equivalents</t>
        </is>
      </c>
      <c r="B24" s="30" t="n">
        <v>789.05</v>
      </c>
      <c r="C24" s="30" t="n">
        <v>1396.6</v>
      </c>
      <c r="D24" s="30" t="n">
        <v>1527.18</v>
      </c>
      <c r="E24" s="30" t="n">
        <v>732.62</v>
      </c>
      <c r="F24" s="30" t="n">
        <v>1561.34</v>
      </c>
      <c r="G24" s="30" t="n">
        <v>1835.04</v>
      </c>
      <c r="H24" s="30" t="n">
        <v>439.21</v>
      </c>
      <c r="I24" s="33">
        <f>'Working Capital Schedule'!H19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cash equivalents</t>
        </is>
      </c>
      <c r="B25" s="45">
        <f>B24+B23</f>
        <v/>
      </c>
      <c r="C25" s="45">
        <f>C24+C23</f>
        <v/>
      </c>
      <c r="D25" s="45">
        <f>D24+D23</f>
        <v/>
      </c>
      <c r="E25" s="45">
        <f>E24+E23</f>
        <v/>
      </c>
      <c r="F25" s="45">
        <f>F24+F23</f>
        <v/>
      </c>
      <c r="G25" s="45">
        <f>G24+G23</f>
        <v/>
      </c>
      <c r="H25" s="45">
        <f>H24+H23</f>
        <v/>
      </c>
      <c r="I25" s="44">
        <f>I24+I23</f>
        <v/>
      </c>
      <c r="J25" s="44">
        <f>J24+J23</f>
        <v/>
      </c>
      <c r="K25" s="44">
        <f>K24+K23</f>
        <v/>
      </c>
      <c r="L25" s="44">
        <f>L24+L23</f>
        <v/>
      </c>
      <c r="M25" s="44">
        <f>M24+M23</f>
        <v/>
      </c>
      <c r="N25" s="44">
        <f>N24+N23</f>
        <v/>
      </c>
      <c r="O25" s="44">
        <f>O24+O23</f>
        <v/>
      </c>
    </row>
    <row r="27">
      <c r="A27" s="7" t="inlineStr">
        <is>
          <t>Memo: add bank balances/deposits &amp; current investments</t>
        </is>
      </c>
      <c r="B27" s="33">
        <f>6418.59-B25</f>
        <v/>
      </c>
      <c r="C27" s="33">
        <f>6701.45-C25</f>
        <v/>
      </c>
      <c r="D27" s="33">
        <f>7153.69-D25</f>
        <v/>
      </c>
      <c r="E27" s="33">
        <f>6642.58-E25</f>
        <v/>
      </c>
      <c r="F27" s="33">
        <f>6157.47-F25</f>
        <v/>
      </c>
      <c r="G27" s="33">
        <f>7612.41-G25</f>
        <v/>
      </c>
      <c r="H27" s="33">
        <f>11866.62-H25</f>
        <v/>
      </c>
    </row>
    <row r="28">
      <c r="A28" s="7" t="inlineStr">
        <is>
          <t>Memo: cash &amp; bank per balance sheet (broad)</t>
        </is>
      </c>
      <c r="B28" s="43" t="n">
        <v>6418.59</v>
      </c>
      <c r="C28" s="43" t="n">
        <v>6701.45</v>
      </c>
      <c r="D28" s="43" t="n">
        <v>7153.69</v>
      </c>
      <c r="E28" s="43" t="n">
        <v>6642.58</v>
      </c>
      <c r="F28" s="43" t="n">
        <v>6157.47</v>
      </c>
      <c r="G28" s="43" t="n">
        <v>7612.41</v>
      </c>
      <c r="H28" s="43" t="n">
        <v>11866.62</v>
      </c>
    </row>
    <row r="30">
      <c r="A30" s="13" t="inlineStr">
        <is>
          <t>Historical cash flow ties to AUDITED cash &amp; cash equivalents (annual reports). FY22 opening includes a +7.28 cr cash-credit reclassification (disclosed). The balance-sheet "Cash &amp; bank" line is broader - it adds bank deposits (&gt;3 months) &amp; current investments whose movement sits in investing activities; the forecast cash line and the FY27 opening balance are on this broad basis.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Build-up'!I15</f>
        <v/>
      </c>
      <c r="J5" s="33">
        <f>'Revenue Build-up'!J15</f>
        <v/>
      </c>
      <c r="K5" s="33">
        <f>'Revenue Build-up'!K15</f>
        <v/>
      </c>
      <c r="L5" s="33">
        <f>'Revenue Build-up'!L15</f>
        <v/>
      </c>
      <c r="M5" s="33">
        <f>'Revenue Build-up'!M15</f>
        <v/>
      </c>
      <c r="N5" s="33">
        <f>'Revenue Build-up'!N15</f>
        <v/>
      </c>
      <c r="O5" s="33">
        <f>'Revenue Build-up'!O15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4" t="inlineStr">
        <is>
          <t>Particulars</t>
        </is>
      </c>
      <c r="B25" s="15" t="inlineStr">
        <is>
          <t>FY2020</t>
        </is>
      </c>
      <c r="C25" s="15" t="inlineStr">
        <is>
          <t>FY2021</t>
        </is>
      </c>
      <c r="D25" s="15" t="inlineStr">
        <is>
          <t>FY2022</t>
        </is>
      </c>
      <c r="E25" s="15" t="inlineStr">
        <is>
          <t>FY2023</t>
        </is>
      </c>
      <c r="F25" s="15" t="inlineStr">
        <is>
          <t>FY2024</t>
        </is>
      </c>
      <c r="G25" s="15" t="inlineStr">
        <is>
          <t>FY2025</t>
        </is>
      </c>
      <c r="H25" s="15" t="inlineStr">
        <is>
          <t>FY2026</t>
        </is>
      </c>
      <c r="I25" s="15" t="inlineStr">
        <is>
          <t>FY2027</t>
        </is>
      </c>
      <c r="J25" s="15" t="inlineStr">
        <is>
          <t>FY2028</t>
        </is>
      </c>
      <c r="K25" s="15" t="inlineStr">
        <is>
          <t>FY2029</t>
        </is>
      </c>
      <c r="L25" s="15" t="inlineStr">
        <is>
          <t>FY2030</t>
        </is>
      </c>
      <c r="M25" s="15" t="inlineStr">
        <is>
          <t>FY2031</t>
        </is>
      </c>
      <c r="N25" s="15" t="inlineStr">
        <is>
          <t>FY2032</t>
        </is>
      </c>
      <c r="O25" s="15" t="inlineStr">
        <is>
          <t>FY2033</t>
        </is>
      </c>
    </row>
    <row r="26">
      <c r="A26" s="47" t="inlineStr">
        <is>
          <t>Equities &amp; Liabilities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696.41</v>
      </c>
      <c r="C28" s="30" t="n">
        <v>696.41</v>
      </c>
      <c r="D28" s="30" t="n">
        <v>696.41</v>
      </c>
      <c r="E28" s="30" t="n">
        <v>696.41</v>
      </c>
      <c r="F28" s="30" t="n">
        <v>696.41</v>
      </c>
      <c r="G28" s="30" t="n">
        <v>696.41</v>
      </c>
      <c r="H28" s="30" t="n">
        <v>696.41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27955.24</v>
      </c>
      <c r="C29" s="30" t="n">
        <v>25275.59</v>
      </c>
      <c r="D29" s="30" t="n">
        <v>25810.19</v>
      </c>
      <c r="E29" s="30" t="n">
        <v>26131.62</v>
      </c>
      <c r="F29" s="30" t="n">
        <v>23742.24</v>
      </c>
      <c r="G29" s="30" t="n">
        <v>24025.75</v>
      </c>
      <c r="H29" s="30" t="n">
        <v>25450.19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4" t="inlineStr">
        <is>
          <t>Total Shareholders' Fund</t>
        </is>
      </c>
      <c r="B30" s="32">
        <f>B28+B29</f>
        <v/>
      </c>
      <c r="C30" s="32">
        <f>C28+C29</f>
        <v/>
      </c>
      <c r="D30" s="32">
        <f>D28+D29</f>
        <v/>
      </c>
      <c r="E30" s="32">
        <f>E28+E29</f>
        <v/>
      </c>
      <c r="F30" s="32">
        <f>F28+F29</f>
        <v/>
      </c>
      <c r="G30" s="32">
        <f>G28+G29</f>
        <v/>
      </c>
      <c r="H30" s="32">
        <f>H28+H29</f>
        <v/>
      </c>
      <c r="I30" s="32">
        <f>I28+I29</f>
        <v/>
      </c>
      <c r="J30" s="32">
        <f>J28+J29</f>
        <v/>
      </c>
      <c r="K30" s="32">
        <f>K28+K29</f>
        <v/>
      </c>
      <c r="L30" s="32">
        <f>L28+L29</f>
        <v/>
      </c>
      <c r="M30" s="32">
        <f>M28+M29</f>
        <v/>
      </c>
      <c r="N30" s="32">
        <f>N28+N29</f>
        <v/>
      </c>
      <c r="O30" s="32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30" t="n">
        <v>75.37</v>
      </c>
      <c r="C34" s="30" t="n">
        <v>53.41</v>
      </c>
      <c r="D34" s="30" t="n">
        <v>35.12</v>
      </c>
      <c r="E34" s="30" t="n">
        <v>33.75</v>
      </c>
      <c r="F34" s="30" t="n">
        <v>23.55</v>
      </c>
      <c r="G34" s="30" t="n">
        <v>162.39</v>
      </c>
      <c r="H34" s="30" t="n">
        <v>168.18</v>
      </c>
      <c r="I34" s="43">
        <f>'Assumptions'!I51*'Debt Schedule'!I9</f>
        <v/>
      </c>
      <c r="J34" s="43">
        <f>'Assumptions'!J51*'Debt Schedule'!J9</f>
        <v/>
      </c>
      <c r="K34" s="43">
        <f>'Assumptions'!K51*'Debt Schedule'!K9</f>
        <v/>
      </c>
      <c r="L34" s="43">
        <f>'Assumptions'!L51*'Debt Schedule'!L9</f>
        <v/>
      </c>
      <c r="M34" s="43">
        <f>'Assumptions'!M51*'Debt Schedule'!M9</f>
        <v/>
      </c>
      <c r="N34" s="43">
        <f>'Assumptions'!N51*'Debt Schedule'!N9</f>
        <v/>
      </c>
      <c r="O34" s="43">
        <f>'Assumptions'!O51*'Debt Schedule'!O9</f>
        <v/>
      </c>
    </row>
    <row r="35">
      <c r="A35" s="5" t="inlineStr">
        <is>
          <t xml:space="preserve">   Other non current liabilities</t>
        </is>
      </c>
      <c r="B35" s="30" t="n">
        <v>8413.059999999999</v>
      </c>
      <c r="C35" s="30" t="n">
        <v>8854.9</v>
      </c>
      <c r="D35" s="30" t="n">
        <v>8330.889999999999</v>
      </c>
      <c r="E35" s="30" t="n">
        <v>9156.559999999999</v>
      </c>
      <c r="F35" s="30" t="n">
        <v>9292.48</v>
      </c>
      <c r="G35" s="30" t="n">
        <v>14973.04</v>
      </c>
      <c r="H35" s="30" t="n">
        <v>17568.65</v>
      </c>
      <c r="I35" s="43">
        <f>'Assumptions'!I53</f>
        <v/>
      </c>
      <c r="J35" s="43">
        <f>'Assumptions'!J53</f>
        <v/>
      </c>
      <c r="K35" s="43">
        <f>'Assumptions'!K53</f>
        <v/>
      </c>
      <c r="L35" s="43">
        <f>'Assumptions'!L53</f>
        <v/>
      </c>
      <c r="M35" s="43">
        <f>'Assumptions'!M53</f>
        <v/>
      </c>
      <c r="N35" s="43">
        <f>'Assumptions'!N53</f>
        <v/>
      </c>
      <c r="O35" s="43">
        <f>'Assumptions'!O53</f>
        <v/>
      </c>
    </row>
    <row r="36">
      <c r="A36" s="4" t="inlineStr">
        <is>
          <t>Total Non-Current Liabilities</t>
        </is>
      </c>
      <c r="B36" s="31">
        <f>B34+B35</f>
        <v/>
      </c>
      <c r="C36" s="31">
        <f>C34+C35</f>
        <v/>
      </c>
      <c r="D36" s="31">
        <f>D34+D35</f>
        <v/>
      </c>
      <c r="E36" s="31">
        <f>E34+E35</f>
        <v/>
      </c>
      <c r="F36" s="31">
        <f>F34+F35</f>
        <v/>
      </c>
      <c r="G36" s="31">
        <f>G34+G35</f>
        <v/>
      </c>
      <c r="H36" s="31">
        <f>H34+H35</f>
        <v/>
      </c>
      <c r="I36" s="31">
        <f>I34+I35</f>
        <v/>
      </c>
      <c r="J36" s="31">
        <f>J34+J35</f>
        <v/>
      </c>
      <c r="K36" s="31">
        <f>K34+K35</f>
        <v/>
      </c>
      <c r="L36" s="31">
        <f>L34+L35</f>
        <v/>
      </c>
      <c r="M36" s="31">
        <f>M34+M35</f>
        <v/>
      </c>
      <c r="N36" s="31">
        <f>N34+N35</f>
        <v/>
      </c>
      <c r="O36" s="31">
        <f>O34+O35</f>
        <v/>
      </c>
    </row>
    <row r="37">
      <c r="A37" s="5" t="inlineStr">
        <is>
          <t xml:space="preserve">   ST borrowings</t>
        </is>
      </c>
      <c r="B37" s="30" t="n">
        <v>5004.59</v>
      </c>
      <c r="C37" s="30" t="n">
        <v>4897.48</v>
      </c>
      <c r="D37" s="30" t="n">
        <v>4794.81</v>
      </c>
      <c r="E37" s="30" t="n">
        <v>5419.76</v>
      </c>
      <c r="F37" s="30" t="n">
        <v>8832.91</v>
      </c>
      <c r="G37" s="30" t="n">
        <v>8852.209999999999</v>
      </c>
      <c r="H37" s="30" t="n">
        <v>8018.77</v>
      </c>
      <c r="I37" s="43">
        <f>'Debt Schedule'!I9-I34</f>
        <v/>
      </c>
      <c r="J37" s="43">
        <f>'Debt Schedule'!J9-J34</f>
        <v/>
      </c>
      <c r="K37" s="43">
        <f>'Debt Schedule'!K9-K34</f>
        <v/>
      </c>
      <c r="L37" s="43">
        <f>'Debt Schedule'!L9-L34</f>
        <v/>
      </c>
      <c r="M37" s="43">
        <f>'Debt Schedule'!M9-M34</f>
        <v/>
      </c>
      <c r="N37" s="43">
        <f>'Debt Schedule'!N9-N34</f>
        <v/>
      </c>
      <c r="O37" s="43">
        <f>'Debt Schedule'!O9-O34</f>
        <v/>
      </c>
    </row>
    <row r="38">
      <c r="A38" s="5" t="inlineStr">
        <is>
          <t xml:space="preserve">   Trade Payables</t>
        </is>
      </c>
      <c r="B38" s="30" t="n">
        <v>8829.16</v>
      </c>
      <c r="C38" s="30" t="n">
        <v>6683.51</v>
      </c>
      <c r="D38" s="30" t="n">
        <v>7749.59</v>
      </c>
      <c r="E38" s="30" t="n">
        <v>9895.83</v>
      </c>
      <c r="F38" s="30" t="n">
        <v>8539.379999999999</v>
      </c>
      <c r="G38" s="30" t="n">
        <v>9540.92</v>
      </c>
      <c r="H38" s="30" t="n">
        <v>10491.6</v>
      </c>
      <c r="I38" s="43">
        <f>'Working Capital Schedule'!I13</f>
        <v/>
      </c>
      <c r="J38" s="43">
        <f>'Working Capital Schedule'!J13</f>
        <v/>
      </c>
      <c r="K38" s="43">
        <f>'Working Capital Schedule'!K13</f>
        <v/>
      </c>
      <c r="L38" s="43">
        <f>'Working Capital Schedule'!L13</f>
        <v/>
      </c>
      <c r="M38" s="43">
        <f>'Working Capital Schedule'!M13</f>
        <v/>
      </c>
      <c r="N38" s="43">
        <f>'Working Capital Schedule'!N13</f>
        <v/>
      </c>
      <c r="O38" s="43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30" t="n">
        <v>8774.73</v>
      </c>
      <c r="C39" s="30" t="n">
        <v>8778.9</v>
      </c>
      <c r="D39" s="30" t="n">
        <v>8826.75</v>
      </c>
      <c r="E39" s="30" t="n">
        <v>8035.85</v>
      </c>
      <c r="F39" s="30" t="n">
        <v>7874.95</v>
      </c>
      <c r="G39" s="30" t="n">
        <v>9832.459999999999</v>
      </c>
      <c r="H39" s="30" t="n">
        <v>13791.81</v>
      </c>
      <c r="I39" s="43">
        <f>'Working Capital Schedule'!I14+'Working Capital Schedule'!I15-I35</f>
        <v/>
      </c>
      <c r="J39" s="43">
        <f>'Working Capital Schedule'!J14+'Working Capital Schedule'!J15-J35</f>
        <v/>
      </c>
      <c r="K39" s="43">
        <f>'Working Capital Schedule'!K14+'Working Capital Schedule'!K15-K35</f>
        <v/>
      </c>
      <c r="L39" s="43">
        <f>'Working Capital Schedule'!L14+'Working Capital Schedule'!L15-L35</f>
        <v/>
      </c>
      <c r="M39" s="43">
        <f>'Working Capital Schedule'!M14+'Working Capital Schedule'!M15-M35</f>
        <v/>
      </c>
      <c r="N39" s="43">
        <f>'Working Capital Schedule'!N14+'Working Capital Schedule'!N15-N35</f>
        <v/>
      </c>
      <c r="O39" s="43">
        <f>'Working Capital Schedule'!O14+'Working Capital Schedule'!O15-O35</f>
        <v/>
      </c>
    </row>
    <row r="40">
      <c r="A40" s="4" t="inlineStr">
        <is>
          <t>Total Liabilities</t>
        </is>
      </c>
      <c r="B40" s="31">
        <f>B36+B37+B38+B39</f>
        <v/>
      </c>
      <c r="C40" s="31">
        <f>C36+C37+C38+C39</f>
        <v/>
      </c>
      <c r="D40" s="31">
        <f>D36+D37+D38+D39</f>
        <v/>
      </c>
      <c r="E40" s="31">
        <f>E36+E37+E38+E39</f>
        <v/>
      </c>
      <c r="F40" s="31">
        <f>F36+F37+F38+F39</f>
        <v/>
      </c>
      <c r="G40" s="31">
        <f>G36+G37+G38+G39</f>
        <v/>
      </c>
      <c r="H40" s="31">
        <f>H36+H37+H38+H39</f>
        <v/>
      </c>
      <c r="I40" s="31">
        <f>I36+I37+I38+I39</f>
        <v/>
      </c>
      <c r="J40" s="31">
        <f>J36+J37+J38+J39</f>
        <v/>
      </c>
      <c r="K40" s="31">
        <f>K36+K37+K38+K39</f>
        <v/>
      </c>
      <c r="L40" s="31">
        <f>L36+L37+L38+L39</f>
        <v/>
      </c>
      <c r="M40" s="31">
        <f>M36+M37+M38+M39</f>
        <v/>
      </c>
      <c r="N40" s="31">
        <f>N36+N37+N38+N39</f>
        <v/>
      </c>
      <c r="O40" s="31">
        <f>O36+O37+O38+O39</f>
        <v/>
      </c>
    </row>
    <row r="42">
      <c r="A42" s="4" t="inlineStr">
        <is>
          <t>Total Equity &amp; Liabilities</t>
        </is>
      </c>
      <c r="B42" s="34">
        <f>B30+B40</f>
        <v/>
      </c>
      <c r="C42" s="34">
        <f>C30+C40</f>
        <v/>
      </c>
      <c r="D42" s="34">
        <f>D30+D40</f>
        <v/>
      </c>
      <c r="E42" s="34">
        <f>E30+E40</f>
        <v/>
      </c>
      <c r="F42" s="34">
        <f>F30+F40</f>
        <v/>
      </c>
      <c r="G42" s="34">
        <f>G30+G40</f>
        <v/>
      </c>
      <c r="H42" s="34">
        <f>H30+H40</f>
        <v/>
      </c>
      <c r="I42" s="34">
        <f>I30+I40</f>
        <v/>
      </c>
      <c r="J42" s="34">
        <f>J30+J40</f>
        <v/>
      </c>
      <c r="K42" s="34">
        <f>K30+K40</f>
        <v/>
      </c>
      <c r="L42" s="34">
        <f>L30+L40</f>
        <v/>
      </c>
      <c r="M42" s="34">
        <f>M30+M40</f>
        <v/>
      </c>
      <c r="N42" s="34">
        <f>N30+N40</f>
        <v/>
      </c>
      <c r="O42" s="34">
        <f>O30+O40</f>
        <v/>
      </c>
    </row>
    <row r="44">
      <c r="A44" s="47" t="inlineStr">
        <is>
          <t>Assets</t>
        </is>
      </c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30" t="n">
        <v>2824.38</v>
      </c>
      <c r="C47" s="30" t="n">
        <v>2507.49</v>
      </c>
      <c r="D47" s="30" t="n">
        <v>2407.12</v>
      </c>
      <c r="E47" s="30" t="n">
        <v>2485.24</v>
      </c>
      <c r="F47" s="30" t="n">
        <v>2600.08</v>
      </c>
      <c r="G47" s="30" t="n">
        <v>2980.91</v>
      </c>
      <c r="H47" s="30" t="n">
        <v>3094.38</v>
      </c>
      <c r="I47" s="43">
        <f>'Fixed Asset Schedule'!I10</f>
        <v/>
      </c>
      <c r="J47" s="43">
        <f>'Fixed Asset Schedule'!J10</f>
        <v/>
      </c>
      <c r="K47" s="43">
        <f>'Fixed Asset Schedule'!K10</f>
        <v/>
      </c>
      <c r="L47" s="43">
        <f>'Fixed Asset Schedule'!L10</f>
        <v/>
      </c>
      <c r="M47" s="43">
        <f>'Fixed Asset Schedule'!M10</f>
        <v/>
      </c>
      <c r="N47" s="43">
        <f>'Fixed Asset Schedule'!N10</f>
        <v/>
      </c>
      <c r="O47" s="43">
        <f>'Fixed Asset Schedule'!O10</f>
        <v/>
      </c>
    </row>
    <row r="48">
      <c r="A48" s="5" t="inlineStr">
        <is>
          <t xml:space="preserve">   Capital Work in Progress</t>
        </is>
      </c>
      <c r="B48" s="30" t="n">
        <v>306.74</v>
      </c>
      <c r="C48" s="30" t="n">
        <v>403.21</v>
      </c>
      <c r="D48" s="30" t="n">
        <v>422.32</v>
      </c>
      <c r="E48" s="30" t="n">
        <v>344.59</v>
      </c>
      <c r="F48" s="30" t="n">
        <v>282.32</v>
      </c>
      <c r="G48" s="30" t="n">
        <v>161.7</v>
      </c>
      <c r="H48" s="30" t="n">
        <v>399.2</v>
      </c>
      <c r="I48" s="43">
        <f>'Assumptions'!I44</f>
        <v/>
      </c>
      <c r="J48" s="43">
        <f>'Assumptions'!J44</f>
        <v/>
      </c>
      <c r="K48" s="43">
        <f>'Assumptions'!K44</f>
        <v/>
      </c>
      <c r="L48" s="43">
        <f>'Assumptions'!L44</f>
        <v/>
      </c>
      <c r="M48" s="43">
        <f>'Assumptions'!M44</f>
        <v/>
      </c>
      <c r="N48" s="43">
        <f>'Assumptions'!N44</f>
        <v/>
      </c>
      <c r="O48" s="43">
        <f>'Assumptions'!O44</f>
        <v/>
      </c>
    </row>
    <row r="49">
      <c r="A49" s="5" t="inlineStr">
        <is>
          <t xml:space="preserve">   Investments</t>
        </is>
      </c>
      <c r="B49" s="30" t="n">
        <v>162.06</v>
      </c>
      <c r="C49" s="30" t="n">
        <v>185.34</v>
      </c>
      <c r="D49" s="30" t="n">
        <v>205.15</v>
      </c>
      <c r="E49" s="30" t="n">
        <v>235.42</v>
      </c>
      <c r="F49" s="30" t="n">
        <v>255.67</v>
      </c>
      <c r="G49" s="30" t="n">
        <v>275.57</v>
      </c>
      <c r="H49" s="30" t="n">
        <v>302.06</v>
      </c>
      <c r="I49" s="43">
        <f>'Assumptions'!I45</f>
        <v/>
      </c>
      <c r="J49" s="43">
        <f>'Assumptions'!J45</f>
        <v/>
      </c>
      <c r="K49" s="43">
        <f>'Assumptions'!K45</f>
        <v/>
      </c>
      <c r="L49" s="43">
        <f>'Assumptions'!L45</f>
        <v/>
      </c>
      <c r="M49" s="43">
        <f>'Assumptions'!M45</f>
        <v/>
      </c>
      <c r="N49" s="43">
        <f>'Assumptions'!N45</f>
        <v/>
      </c>
      <c r="O49" s="43">
        <f>'Assumptions'!O45</f>
        <v/>
      </c>
    </row>
    <row r="50">
      <c r="A50" s="4" t="inlineStr">
        <is>
          <t>Total Fixed Assets</t>
        </is>
      </c>
      <c r="B50" s="31">
        <f>SUM(B47:B49)</f>
        <v/>
      </c>
      <c r="C50" s="31">
        <f>SUM(C47:C49)</f>
        <v/>
      </c>
      <c r="D50" s="31">
        <f>SUM(D47:D49)</f>
        <v/>
      </c>
      <c r="E50" s="31">
        <f>SUM(E47:E49)</f>
        <v/>
      </c>
      <c r="F50" s="31">
        <f>SUM(F47:F49)</f>
        <v/>
      </c>
      <c r="G50" s="31">
        <f>SUM(G47:G49)</f>
        <v/>
      </c>
      <c r="H50" s="31">
        <f>SUM(H47:H49)</f>
        <v/>
      </c>
      <c r="I50" s="31">
        <f>SUM(I47:I49)</f>
        <v/>
      </c>
      <c r="J50" s="31">
        <f>SUM(J47:J49)</f>
        <v/>
      </c>
      <c r="K50" s="31">
        <f>SUM(K47:K49)</f>
        <v/>
      </c>
      <c r="L50" s="31">
        <f>SUM(L47:L49)</f>
        <v/>
      </c>
      <c r="M50" s="31">
        <f>SUM(M47:M49)</f>
        <v/>
      </c>
      <c r="N50" s="31">
        <f>SUM(N47:N49)</f>
        <v/>
      </c>
      <c r="O50" s="31">
        <f>SUM(O47:O49)</f>
        <v/>
      </c>
    </row>
    <row r="51">
      <c r="A51" s="5" t="inlineStr">
        <is>
          <t xml:space="preserve">   Other Non Current Assets</t>
        </is>
      </c>
      <c r="B51" s="30" t="n">
        <v>23744.2</v>
      </c>
      <c r="C51" s="30" t="n">
        <v>23800.81</v>
      </c>
      <c r="D51" s="30" t="n">
        <v>25347.19</v>
      </c>
      <c r="E51" s="30" t="n">
        <v>26222.26</v>
      </c>
      <c r="F51" s="30" t="n">
        <v>21321.74</v>
      </c>
      <c r="G51" s="30" t="n">
        <v>21905.23</v>
      </c>
      <c r="H51" s="30" t="n">
        <v>20934.62</v>
      </c>
      <c r="I51" s="43">
        <f>'Assumptions'!I52</f>
        <v/>
      </c>
      <c r="J51" s="43">
        <f>'Assumptions'!J52</f>
        <v/>
      </c>
      <c r="K51" s="43">
        <f>'Assumptions'!K52</f>
        <v/>
      </c>
      <c r="L51" s="43">
        <f>'Assumptions'!L52</f>
        <v/>
      </c>
      <c r="M51" s="43">
        <f>'Assumptions'!M52</f>
        <v/>
      </c>
      <c r="N51" s="43">
        <f>'Assumptions'!N52</f>
        <v/>
      </c>
      <c r="O51" s="43">
        <f>'Assumptions'!O52</f>
        <v/>
      </c>
    </row>
    <row r="52">
      <c r="A52" s="4" t="inlineStr">
        <is>
          <t>Total Non Current Assets</t>
        </is>
      </c>
      <c r="B52" s="31">
        <f>B50+B51</f>
        <v/>
      </c>
      <c r="C52" s="31">
        <f>C50+C51</f>
        <v/>
      </c>
      <c r="D52" s="31">
        <f>D50+D51</f>
        <v/>
      </c>
      <c r="E52" s="31">
        <f>E50+E51</f>
        <v/>
      </c>
      <c r="F52" s="31">
        <f>F50+F51</f>
        <v/>
      </c>
      <c r="G52" s="31">
        <f>G50+G51</f>
        <v/>
      </c>
      <c r="H52" s="31">
        <f>H50+H51</f>
        <v/>
      </c>
      <c r="I52" s="31">
        <f>I50+I51</f>
        <v/>
      </c>
      <c r="J52" s="31">
        <f>J50+J51</f>
        <v/>
      </c>
      <c r="K52" s="31">
        <f>K50+K51</f>
        <v/>
      </c>
      <c r="L52" s="31">
        <f>L50+L51</f>
        <v/>
      </c>
      <c r="M52" s="31">
        <f>M50+M51</f>
        <v/>
      </c>
      <c r="N52" s="31">
        <f>N50+N51</f>
        <v/>
      </c>
      <c r="O52" s="31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30" t="n">
        <v>7108.6</v>
      </c>
      <c r="C55" s="30" t="n">
        <v>4035.07</v>
      </c>
      <c r="D55" s="30" t="n">
        <v>3024.75</v>
      </c>
      <c r="E55" s="30" t="n">
        <v>3128.35</v>
      </c>
      <c r="F55" s="30" t="n">
        <v>4785.38</v>
      </c>
      <c r="G55" s="30" t="n">
        <v>5884.35</v>
      </c>
      <c r="H55" s="30" t="n">
        <v>6796.27</v>
      </c>
      <c r="I55" s="43">
        <f>'Working Capital Schedule'!I8</f>
        <v/>
      </c>
      <c r="J55" s="43">
        <f>'Working Capital Schedule'!J8</f>
        <v/>
      </c>
      <c r="K55" s="43">
        <f>'Working Capital Schedule'!K8</f>
        <v/>
      </c>
      <c r="L55" s="43">
        <f>'Working Capital Schedule'!L8</f>
        <v/>
      </c>
      <c r="M55" s="43">
        <f>'Working Capital Schedule'!M8</f>
        <v/>
      </c>
      <c r="N55" s="43">
        <f>'Working Capital Schedule'!N8</f>
        <v/>
      </c>
      <c r="O55" s="43">
        <f>'Working Capital Schedule'!O8</f>
        <v/>
      </c>
    </row>
    <row r="56">
      <c r="A56" s="5" t="inlineStr">
        <is>
          <t xml:space="preserve">   Inventories</t>
        </is>
      </c>
      <c r="B56" s="30" t="n">
        <v>8908.23</v>
      </c>
      <c r="C56" s="30" t="n">
        <v>7194.45</v>
      </c>
      <c r="D56" s="30" t="n">
        <v>6560.21</v>
      </c>
      <c r="E56" s="30" t="n">
        <v>6755.9</v>
      </c>
      <c r="F56" s="30" t="n">
        <v>7220.57</v>
      </c>
      <c r="G56" s="30" t="n">
        <v>9869.49</v>
      </c>
      <c r="H56" s="30" t="n">
        <v>13334.58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Other Current Assets</t>
        </is>
      </c>
      <c r="B57" s="30" t="n">
        <v>10275.76</v>
      </c>
      <c r="C57" s="30" t="n">
        <v>10412.39</v>
      </c>
      <c r="D57" s="30" t="n">
        <v>11123.33</v>
      </c>
      <c r="E57" s="30" t="n">
        <v>13555.45</v>
      </c>
      <c r="F57" s="30" t="n">
        <v>16378.69</v>
      </c>
      <c r="G57" s="30" t="n">
        <v>19393.52</v>
      </c>
      <c r="H57" s="30" t="n">
        <v>19457.88</v>
      </c>
      <c r="I57" s="43">
        <f>'Working Capital Schedule'!I10+'Working Capital Schedule'!I11-I51</f>
        <v/>
      </c>
      <c r="J57" s="43">
        <f>'Working Capital Schedule'!J10+'Working Capital Schedule'!J11-J51</f>
        <v/>
      </c>
      <c r="K57" s="43">
        <f>'Working Capital Schedule'!K10+'Working Capital Schedule'!K11-K51</f>
        <v/>
      </c>
      <c r="L57" s="43">
        <f>'Working Capital Schedule'!L10+'Working Capital Schedule'!L11-L51</f>
        <v/>
      </c>
      <c r="M57" s="43">
        <f>'Working Capital Schedule'!M10+'Working Capital Schedule'!M11-M51</f>
        <v/>
      </c>
      <c r="N57" s="43">
        <f>'Working Capital Schedule'!N10+'Working Capital Schedule'!N11-N51</f>
        <v/>
      </c>
      <c r="O57" s="43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30" t="n">
        <v>6418.59</v>
      </c>
      <c r="C58" s="30" t="n">
        <v>6701.45</v>
      </c>
      <c r="D58" s="30" t="n">
        <v>7153.69</v>
      </c>
      <c r="E58" s="30" t="n">
        <v>6642.58</v>
      </c>
      <c r="F58" s="30" t="n">
        <v>6157.47</v>
      </c>
      <c r="G58" s="30" t="n">
        <v>7612.41</v>
      </c>
      <c r="H58" s="30" t="n">
        <v>11866.62</v>
      </c>
      <c r="I58" s="43">
        <f>'Cash Flow Statement'!I25</f>
        <v/>
      </c>
      <c r="J58" s="43">
        <f>'Cash Flow Statement'!J25</f>
        <v/>
      </c>
      <c r="K58" s="43">
        <f>'Cash Flow Statement'!K25</f>
        <v/>
      </c>
      <c r="L58" s="43">
        <f>'Cash Flow Statement'!L25</f>
        <v/>
      </c>
      <c r="M58" s="43">
        <f>'Cash Flow Statement'!M25</f>
        <v/>
      </c>
      <c r="N58" s="43">
        <f>'Cash Flow Statement'!N25</f>
        <v/>
      </c>
      <c r="O58" s="43">
        <f>'Cash Flow Statement'!O25</f>
        <v/>
      </c>
    </row>
    <row r="59">
      <c r="A59" s="4" t="inlineStr">
        <is>
          <t>Total Current Assets</t>
        </is>
      </c>
      <c r="B59" s="31">
        <f>SUM(B55:B58)</f>
        <v/>
      </c>
      <c r="C59" s="31">
        <f>SUM(C55:C58)</f>
        <v/>
      </c>
      <c r="D59" s="31">
        <f>SUM(D55:D58)</f>
        <v/>
      </c>
      <c r="E59" s="31">
        <f>SUM(E55:E58)</f>
        <v/>
      </c>
      <c r="F59" s="31">
        <f>SUM(F55:F58)</f>
        <v/>
      </c>
      <c r="G59" s="31">
        <f>SUM(G55:G58)</f>
        <v/>
      </c>
      <c r="H59" s="31">
        <f>SUM(H55:H58)</f>
        <v/>
      </c>
      <c r="I59" s="31">
        <f>SUM(I55:I58)</f>
        <v/>
      </c>
      <c r="J59" s="31">
        <f>SUM(J55:J58)</f>
        <v/>
      </c>
      <c r="K59" s="31">
        <f>SUM(K55:K58)</f>
        <v/>
      </c>
      <c r="L59" s="31">
        <f>SUM(L55:L58)</f>
        <v/>
      </c>
      <c r="M59" s="31">
        <f>SUM(M55:M58)</f>
        <v/>
      </c>
      <c r="N59" s="31">
        <f>SUM(N55:N58)</f>
        <v/>
      </c>
      <c r="O59" s="31">
        <f>SUM(O55:O58)</f>
        <v/>
      </c>
    </row>
    <row r="61">
      <c r="A61" s="4" t="inlineStr">
        <is>
          <t>Total Assets</t>
        </is>
      </c>
      <c r="B61" s="34">
        <f>B52+B59</f>
        <v/>
      </c>
      <c r="C61" s="34">
        <f>C52+C59</f>
        <v/>
      </c>
      <c r="D61" s="34">
        <f>D52+D59</f>
        <v/>
      </c>
      <c r="E61" s="34">
        <f>E52+E59</f>
        <v/>
      </c>
      <c r="F61" s="34">
        <f>F52+F59</f>
        <v/>
      </c>
      <c r="G61" s="34">
        <f>G52+G59</f>
        <v/>
      </c>
      <c r="H61" s="34">
        <f>H52+H59</f>
        <v/>
      </c>
      <c r="I61" s="34">
        <f>I52+I59</f>
        <v/>
      </c>
      <c r="J61" s="34">
        <f>J52+J59</f>
        <v/>
      </c>
      <c r="K61" s="34">
        <f>K52+K59</f>
        <v/>
      </c>
      <c r="L61" s="34">
        <f>L52+L59</f>
        <v/>
      </c>
      <c r="M61" s="34">
        <f>M52+M59</f>
        <v/>
      </c>
      <c r="N61" s="34">
        <f>N52+N59</f>
        <v/>
      </c>
      <c r="O61" s="34">
        <f>O52+O59</f>
        <v/>
      </c>
    </row>
    <row r="62">
      <c r="A62" s="4" t="inlineStr">
        <is>
          <t>Balance check (TA - TE&amp;L)</t>
        </is>
      </c>
      <c r="B62" s="33">
        <f>B61-B42</f>
        <v/>
      </c>
      <c r="C62" s="33">
        <f>C61-C42</f>
        <v/>
      </c>
      <c r="D62" s="33">
        <f>D61-D42</f>
        <v/>
      </c>
      <c r="E62" s="33">
        <f>E61-E42</f>
        <v/>
      </c>
      <c r="F62" s="33">
        <f>F61-F42</f>
        <v/>
      </c>
      <c r="G62" s="33">
        <f>G61-G42</f>
        <v/>
      </c>
      <c r="H62" s="33">
        <f>H61-H42</f>
        <v/>
      </c>
      <c r="I62" s="33">
        <f>I61-I42</f>
        <v/>
      </c>
      <c r="J62" s="33">
        <f>J61-J42</f>
        <v/>
      </c>
      <c r="K62" s="33">
        <f>K61-K42</f>
        <v/>
      </c>
      <c r="L62" s="33">
        <f>L61-L42</f>
        <v/>
      </c>
      <c r="M62" s="33">
        <f>M61-M42</f>
        <v/>
      </c>
      <c r="N62" s="33">
        <f>N61-N42</f>
        <v/>
      </c>
      <c r="O62" s="33">
        <f>O61-O42</f>
        <v/>
      </c>
    </row>
    <row r="63">
      <c r="A63" s="7" t="inlineStr">
        <is>
          <t>Memo: total borrowings (LT+ST)</t>
        </is>
      </c>
      <c r="B63" s="33">
        <f>B34+B37</f>
        <v/>
      </c>
      <c r="C63" s="33">
        <f>C34+C37</f>
        <v/>
      </c>
      <c r="D63" s="33">
        <f>D34+D37</f>
        <v/>
      </c>
      <c r="E63" s="33">
        <f>E34+E37</f>
        <v/>
      </c>
      <c r="F63" s="33">
        <f>F34+F37</f>
        <v/>
      </c>
      <c r="G63" s="33">
        <f>G34+G37</f>
        <v/>
      </c>
      <c r="H63" s="33">
        <f>H34+H37</f>
        <v/>
      </c>
      <c r="I63" s="33">
        <f>I34+I37</f>
        <v/>
      </c>
      <c r="J63" s="33">
        <f>J34+J37</f>
        <v/>
      </c>
      <c r="K63" s="33">
        <f>K34+K37</f>
        <v/>
      </c>
      <c r="L63" s="33">
        <f>L34+L37</f>
        <v/>
      </c>
      <c r="M63" s="33">
        <f>M34+M37</f>
        <v/>
      </c>
      <c r="N63" s="33">
        <f>N34+N37</f>
        <v/>
      </c>
      <c r="O63" s="33">
        <f>O34+O37</f>
        <v/>
      </c>
    </row>
    <row r="64">
      <c r="A64" s="13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3">
        <f>B51*0.4</f>
        <v/>
      </c>
      <c r="C66" s="33">
        <f>C51*0.4</f>
        <v/>
      </c>
      <c r="D66" s="33">
        <f>D51*0.4</f>
        <v/>
      </c>
      <c r="E66" s="33">
        <f>E51*0.4</f>
        <v/>
      </c>
      <c r="F66" s="33">
        <f>F51*0.4</f>
        <v/>
      </c>
      <c r="G66" s="33">
        <f>G51*0.4</f>
        <v/>
      </c>
      <c r="H66" s="33">
        <f>H51*0.4</f>
        <v/>
      </c>
      <c r="I66" s="33">
        <f>I51*0.4</f>
        <v/>
      </c>
      <c r="J66" s="33">
        <f>J51*0.4</f>
        <v/>
      </c>
      <c r="K66" s="33">
        <f>K51*0.4</f>
        <v/>
      </c>
      <c r="L66" s="33">
        <f>L51*0.4</f>
        <v/>
      </c>
      <c r="M66" s="33">
        <f>M51*0.4</f>
        <v/>
      </c>
      <c r="N66" s="33">
        <f>N51*0.4</f>
        <v/>
      </c>
      <c r="O66" s="33">
        <f>O51*0.4</f>
        <v/>
      </c>
    </row>
    <row r="67">
      <c r="A67" s="7" t="inlineStr">
        <is>
          <t xml:space="preserve">   Long-term trade &amp; other receivables (~35%)</t>
        </is>
      </c>
      <c r="B67" s="33">
        <f>B51*0.35</f>
        <v/>
      </c>
      <c r="C67" s="33">
        <f>C51*0.35</f>
        <v/>
      </c>
      <c r="D67" s="33">
        <f>D51*0.35</f>
        <v/>
      </c>
      <c r="E67" s="33">
        <f>E51*0.35</f>
        <v/>
      </c>
      <c r="F67" s="33">
        <f>F51*0.35</f>
        <v/>
      </c>
      <c r="G67" s="33">
        <f>G51*0.35</f>
        <v/>
      </c>
      <c r="H67" s="33">
        <f>H51*0.35</f>
        <v/>
      </c>
      <c r="I67" s="33">
        <f>I51*0.35</f>
        <v/>
      </c>
      <c r="J67" s="33">
        <f>J51*0.35</f>
        <v/>
      </c>
      <c r="K67" s="33">
        <f>K51*0.35</f>
        <v/>
      </c>
      <c r="L67" s="33">
        <f>L51*0.35</f>
        <v/>
      </c>
      <c r="M67" s="33">
        <f>M51*0.35</f>
        <v/>
      </c>
      <c r="N67" s="33">
        <f>N51*0.35</f>
        <v/>
      </c>
      <c r="O67" s="33">
        <f>O51*0.35</f>
        <v/>
      </c>
    </row>
    <row r="68">
      <c r="A68" s="7" t="inlineStr">
        <is>
          <t xml:space="preserve">   Long-term loans, deposits &amp; other (~25%)</t>
        </is>
      </c>
      <c r="B68" s="33">
        <f>B51*0.25</f>
        <v/>
      </c>
      <c r="C68" s="33">
        <f>C51*0.25</f>
        <v/>
      </c>
      <c r="D68" s="33">
        <f>D51*0.25</f>
        <v/>
      </c>
      <c r="E68" s="33">
        <f>E51*0.25</f>
        <v/>
      </c>
      <c r="F68" s="33">
        <f>F51*0.25</f>
        <v/>
      </c>
      <c r="G68" s="33">
        <f>G51*0.25</f>
        <v/>
      </c>
      <c r="H68" s="33">
        <f>H51*0.25</f>
        <v/>
      </c>
      <c r="I68" s="33">
        <f>I51*0.25</f>
        <v/>
      </c>
      <c r="J68" s="33">
        <f>J51*0.25</f>
        <v/>
      </c>
      <c r="K68" s="33">
        <f>K51*0.25</f>
        <v/>
      </c>
      <c r="L68" s="33">
        <f>L51*0.25</f>
        <v/>
      </c>
      <c r="M68" s="33">
        <f>M51*0.25</f>
        <v/>
      </c>
      <c r="N68" s="33">
        <f>N51*0.25</f>
        <v/>
      </c>
      <c r="O68" s="33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3">
        <f>B35*0.3</f>
        <v/>
      </c>
      <c r="C70" s="33">
        <f>C35*0.3</f>
        <v/>
      </c>
      <c r="D70" s="33">
        <f>D35*0.3</f>
        <v/>
      </c>
      <c r="E70" s="33">
        <f>E35*0.3</f>
        <v/>
      </c>
      <c r="F70" s="33">
        <f>F35*0.3</f>
        <v/>
      </c>
      <c r="G70" s="33">
        <f>G35*0.3</f>
        <v/>
      </c>
      <c r="H70" s="33">
        <f>H35*0.3</f>
        <v/>
      </c>
      <c r="I70" s="33">
        <f>I35*0.3</f>
        <v/>
      </c>
      <c r="J70" s="33">
        <f>J35*0.3</f>
        <v/>
      </c>
      <c r="K70" s="33">
        <f>K35*0.3</f>
        <v/>
      </c>
      <c r="L70" s="33">
        <f>L35*0.3</f>
        <v/>
      </c>
      <c r="M70" s="33">
        <f>M35*0.3</f>
        <v/>
      </c>
      <c r="N70" s="33">
        <f>N35*0.3</f>
        <v/>
      </c>
      <c r="O70" s="33">
        <f>O35*0.3</f>
        <v/>
      </c>
    </row>
    <row r="71">
      <c r="A71" s="7" t="inlineStr">
        <is>
          <t xml:space="preserve">   Long-term provisions - warranty &amp; employee benefits (~50%)</t>
        </is>
      </c>
      <c r="B71" s="33">
        <f>B35*0.5</f>
        <v/>
      </c>
      <c r="C71" s="33">
        <f>C35*0.5</f>
        <v/>
      </c>
      <c r="D71" s="33">
        <f>D35*0.5</f>
        <v/>
      </c>
      <c r="E71" s="33">
        <f>E35*0.5</f>
        <v/>
      </c>
      <c r="F71" s="33">
        <f>F35*0.5</f>
        <v/>
      </c>
      <c r="G71" s="33">
        <f>G35*0.5</f>
        <v/>
      </c>
      <c r="H71" s="33">
        <f>H35*0.5</f>
        <v/>
      </c>
      <c r="I71" s="33">
        <f>I35*0.5</f>
        <v/>
      </c>
      <c r="J71" s="33">
        <f>J35*0.5</f>
        <v/>
      </c>
      <c r="K71" s="33">
        <f>K35*0.5</f>
        <v/>
      </c>
      <c r="L71" s="33">
        <f>L35*0.5</f>
        <v/>
      </c>
      <c r="M71" s="33">
        <f>M35*0.5</f>
        <v/>
      </c>
      <c r="N71" s="33">
        <f>N35*0.5</f>
        <v/>
      </c>
      <c r="O71" s="33">
        <f>O35*0.5</f>
        <v/>
      </c>
    </row>
    <row r="72">
      <c r="A72" s="7" t="inlineStr">
        <is>
          <t xml:space="preserve">   Deferred tax liabilities &amp; other (~20%)</t>
        </is>
      </c>
      <c r="B72" s="33">
        <f>B35*0.2</f>
        <v/>
      </c>
      <c r="C72" s="33">
        <f>C35*0.2</f>
        <v/>
      </c>
      <c r="D72" s="33">
        <f>D35*0.2</f>
        <v/>
      </c>
      <c r="E72" s="33">
        <f>E35*0.2</f>
        <v/>
      </c>
      <c r="F72" s="33">
        <f>F35*0.2</f>
        <v/>
      </c>
      <c r="G72" s="33">
        <f>G35*0.2</f>
        <v/>
      </c>
      <c r="H72" s="33">
        <f>H35*0.2</f>
        <v/>
      </c>
      <c r="I72" s="33">
        <f>I35*0.2</f>
        <v/>
      </c>
      <c r="J72" s="33">
        <f>J35*0.2</f>
        <v/>
      </c>
      <c r="K72" s="33">
        <f>K35*0.2</f>
        <v/>
      </c>
      <c r="L72" s="33">
        <f>L35*0.2</f>
        <v/>
      </c>
      <c r="M72" s="33">
        <f>M35*0.2</f>
        <v/>
      </c>
      <c r="N72" s="33">
        <f>N35*0.2</f>
        <v/>
      </c>
      <c r="O72" s="33">
        <f>O35*0.2</f>
        <v/>
      </c>
    </row>
    <row r="73">
      <c r="A73" s="13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Statements'!H63)</f>
        <v/>
      </c>
      <c r="I14" s="36">
        <f>'Forecast Financial Statements'!I14/(('Forecast Financial Statements'!I28+'Forecast Financial Statements'!I29)+'Forecast Financial Statements'!I63)</f>
        <v/>
      </c>
      <c r="J14" s="36">
        <f>'Forecast Financial Statements'!J14/(('Forecast Financial Statements'!J28+'Forecast Financial Statements'!J29)+'Forecast Financial Statements'!J63)</f>
        <v/>
      </c>
      <c r="K14" s="36">
        <f>'Forecast Financial Statements'!K14/(('Forecast Financial Statements'!K28+'Forecast Financial Statements'!K29)+'Forecast Financial Statements'!K63)</f>
        <v/>
      </c>
      <c r="L14" s="36">
        <f>'Forecast Financial Statements'!L14/(('Forecast Financial Statements'!L28+'Forecast Financial Statements'!L29)+'Forecast Financial Statements'!L63)</f>
        <v/>
      </c>
      <c r="M14" s="36">
        <f>'Forecast Financial Statements'!M14/(('Forecast Financial Statements'!M28+'Forecast Financial Statements'!M29)+'Forecast Financial Statements'!M63)</f>
        <v/>
      </c>
      <c r="N14" s="36">
        <f>'Forecast Financial Statements'!N14/(('Forecast Financial Statements'!N28+'Forecast Financial Statements'!N29)+'Forecast Financial Statements'!N63)</f>
        <v/>
      </c>
      <c r="O14" s="36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Statements'!H61</f>
        <v/>
      </c>
      <c r="I15" s="36">
        <f>'Forecast Financial Statements'!I20/'Forecast Financial Statements'!I61</f>
        <v/>
      </c>
      <c r="J15" s="36">
        <f>'Forecast Financial Statements'!J20/'Forecast Financial Statements'!J61</f>
        <v/>
      </c>
      <c r="K15" s="36">
        <f>'Forecast Financial Statements'!K20/'Forecast Financial Statements'!K61</f>
        <v/>
      </c>
      <c r="L15" s="36">
        <f>'Forecast Financial Statements'!L20/'Forecast Financial Statements'!L61</f>
        <v/>
      </c>
      <c r="M15" s="36">
        <f>'Forecast Financial Statements'!M20/'Forecast Financial Statements'!M61</f>
        <v/>
      </c>
      <c r="N15" s="36">
        <f>'Forecast Financial Statements'!N20/'Forecast Financial Statements'!N61</f>
        <v/>
      </c>
      <c r="O15" s="36">
        <f>'Forecast Financial Statements'!O20/'Forecast Financial Statements'!O61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Statements'!H61</f>
        <v/>
      </c>
      <c r="I16" s="37">
        <f>'Forecast Financial Statements'!I5/'Forecast Financial Statements'!I61</f>
        <v/>
      </c>
      <c r="J16" s="37">
        <f>'Forecast Financial Statements'!J5/'Forecast Financial Statements'!J61</f>
        <v/>
      </c>
      <c r="K16" s="37">
        <f>'Forecast Financial Statements'!K5/'Forecast Financial Statements'!K61</f>
        <v/>
      </c>
      <c r="L16" s="37">
        <f>'Forecast Financial Statements'!L5/'Forecast Financial Statements'!L61</f>
        <v/>
      </c>
      <c r="M16" s="37">
        <f>'Forecast Financial Statements'!M5/'Forecast Financial Statements'!M61</f>
        <v/>
      </c>
      <c r="N16" s="37">
        <f>'Forecast Financial Statements'!N5/'Forecast Financial Statements'!N61</f>
        <v/>
      </c>
      <c r="O16" s="37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Statements'!H63/('Forecast Financial Statements'!H28+'Forecast Financial Statements'!H29)</f>
        <v/>
      </c>
      <c r="I19" s="37">
        <f>'Forecast Financial Statements'!I63/('Forecast Financial Statements'!I28+'Forecast Financial Statements'!I29)</f>
        <v/>
      </c>
      <c r="J19" s="37">
        <f>'Forecast Financial Statements'!J63/('Forecast Financial Statements'!J28+'Forecast Financial Statements'!J29)</f>
        <v/>
      </c>
      <c r="K19" s="37">
        <f>'Forecast Financial Statements'!K63/('Forecast Financial Statements'!K28+'Forecast Financial Statements'!K29)</f>
        <v/>
      </c>
      <c r="L19" s="37">
        <f>'Forecast Financial Statements'!L63/('Forecast Financial Statements'!L28+'Forecast Financial Statements'!L29)</f>
        <v/>
      </c>
      <c r="M19" s="37">
        <f>'Forecast Financial Statements'!M63/('Forecast Financial Statements'!M28+'Forecast Financial Statements'!M29)</f>
        <v/>
      </c>
      <c r="N19" s="37">
        <f>'Forecast Financial Statements'!N63/('Forecast Financial Statements'!N28+'Forecast Financial Statements'!N29)</f>
        <v/>
      </c>
      <c r="O19" s="37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Statements'!H63-'Forecast Financial Statements'!H58)/'Forecast Financial Statements'!H12</f>
        <v/>
      </c>
      <c r="I21" s="37">
        <f>('Forecast Financial Statements'!I63-'Forecast Financial Statements'!I58)/'Forecast Financial Statements'!I12</f>
        <v/>
      </c>
      <c r="J21" s="37">
        <f>('Forecast Financial Statements'!J63-'Forecast Financial Statements'!J58)/'Forecast Financial Statements'!J12</f>
        <v/>
      </c>
      <c r="K21" s="37">
        <f>('Forecast Financial Statements'!K63-'Forecast Financial Statements'!K58)/'Forecast Financial Statements'!K12</f>
        <v/>
      </c>
      <c r="L21" s="37">
        <f>('Forecast Financial Statements'!L63-'Forecast Financial Statements'!L58)/'Forecast Financial Statements'!L12</f>
        <v/>
      </c>
      <c r="M21" s="37">
        <f>('Forecast Financial Statements'!M63-'Forecast Financial Statements'!M58)/'Forecast Financial Statements'!M12</f>
        <v/>
      </c>
      <c r="N21" s="37">
        <f>('Forecast Financial Statements'!N63-'Forecast Financial Statements'!N58)/'Forecast Financial Statements'!N12</f>
        <v/>
      </c>
      <c r="O21" s="37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49">
        <f>'Historical Financial Statements'!B21</f>
        <v/>
      </c>
      <c r="C24" s="49">
        <f>'Historical Financial Statements'!C21</f>
        <v/>
      </c>
      <c r="D24" s="49">
        <f>'Historical Financial Statements'!D21</f>
        <v/>
      </c>
      <c r="E24" s="49">
        <f>'Historical Financial Statements'!E21</f>
        <v/>
      </c>
      <c r="F24" s="49">
        <f>'Historical Financial Statements'!F21</f>
        <v/>
      </c>
      <c r="G24" s="49">
        <f>'Historical Financial Statements'!G21</f>
        <v/>
      </c>
      <c r="H24" s="49">
        <f>'Forecast Financial Statements'!H21</f>
        <v/>
      </c>
      <c r="I24" s="49">
        <f>'Forecast Financial Statements'!I21</f>
        <v/>
      </c>
      <c r="J24" s="49">
        <f>'Forecast Financial Statements'!J21</f>
        <v/>
      </c>
      <c r="K24" s="49">
        <f>'Forecast Financial Statements'!K21</f>
        <v/>
      </c>
      <c r="L24" s="49">
        <f>'Forecast Financial Statements'!L21</f>
        <v/>
      </c>
      <c r="M24" s="49">
        <f>'Forecast Financial Statements'!M21</f>
        <v/>
      </c>
      <c r="N24" s="49">
        <f>'Forecast Financial Statements'!N21</f>
        <v/>
      </c>
      <c r="O24" s="49">
        <f>'Forecast Financial Statements'!O21</f>
        <v/>
      </c>
    </row>
    <row r="25">
      <c r="A25" s="5" t="inlineStr">
        <is>
          <t>DPS (INR)</t>
        </is>
      </c>
      <c r="B25" s="49">
        <f>'Historical Financial Statements'!B22/'Assumptions'!C66</f>
        <v/>
      </c>
      <c r="C25" s="49">
        <f>'Historical Financial Statements'!C22/'Assumptions'!C66</f>
        <v/>
      </c>
      <c r="D25" s="49">
        <f>'Historical Financial Statements'!D22/'Assumptions'!C66</f>
        <v/>
      </c>
      <c r="E25" s="49">
        <f>'Historical Financial Statements'!E22/'Assumptions'!C66</f>
        <v/>
      </c>
      <c r="F25" s="49">
        <f>'Historical Financial Statements'!F22/'Assumptions'!C66</f>
        <v/>
      </c>
      <c r="G25" s="49">
        <f>'Historical Financial Statements'!G22/'Assumptions'!C66</f>
        <v/>
      </c>
      <c r="H25" s="49">
        <f>'Forecast Financial Statements'!H22/'Assumptions'!C66</f>
        <v/>
      </c>
      <c r="I25" s="49">
        <f>'Forecast Financial Statements'!I22/'Assumptions'!C66</f>
        <v/>
      </c>
      <c r="J25" s="49">
        <f>'Forecast Financial Statements'!J22/'Assumptions'!C66</f>
        <v/>
      </c>
      <c r="K25" s="49">
        <f>'Forecast Financial Statements'!K22/'Assumptions'!C66</f>
        <v/>
      </c>
      <c r="L25" s="49">
        <f>'Forecast Financial Statements'!L22/'Assumptions'!C66</f>
        <v/>
      </c>
      <c r="M25" s="49">
        <f>'Forecast Financial Statements'!M22/'Assumptions'!C66</f>
        <v/>
      </c>
      <c r="N25" s="49">
        <f>'Forecast Financial Statements'!N22/'Assumptions'!C66</f>
        <v/>
      </c>
      <c r="O25" s="49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49">
        <f>('Historical Financial Statements'!B33+'Historical Financial Statements'!B34)/'Assumptions'!C66</f>
        <v/>
      </c>
      <c r="C27" s="49">
        <f>('Historical Financial Statements'!C33+'Historical Financial Statements'!C34)/'Assumptions'!C66</f>
        <v/>
      </c>
      <c r="D27" s="49">
        <f>('Historical Financial Statements'!D33+'Historical Financial Statements'!D34)/'Assumptions'!C66</f>
        <v/>
      </c>
      <c r="E27" s="49">
        <f>('Historical Financial Statements'!E33+'Historical Financial Statements'!E34)/'Assumptions'!C66</f>
        <v/>
      </c>
      <c r="F27" s="49">
        <f>('Historical Financial Statements'!F33+'Historical Financial Statements'!F34)/'Assumptions'!C66</f>
        <v/>
      </c>
      <c r="G27" s="49">
        <f>('Historical Financial Statements'!G33+'Historical Financial Statements'!G34)/'Assumptions'!C66</f>
        <v/>
      </c>
      <c r="H27" s="49">
        <f>('Forecast Financial Statements'!H28+'Forecast Financial Statements'!H29)/'Assumptions'!C66</f>
        <v/>
      </c>
      <c r="I27" s="49">
        <f>('Forecast Financial Statements'!I28+'Forecast Financial Statements'!I29)/'Assumptions'!C66</f>
        <v/>
      </c>
      <c r="J27" s="49">
        <f>('Forecast Financial Statements'!J28+'Forecast Financial Statements'!J29)/'Assumptions'!C66</f>
        <v/>
      </c>
      <c r="K27" s="49">
        <f>('Forecast Financial Statements'!K28+'Forecast Financial Statements'!K29)/'Assumptions'!C66</f>
        <v/>
      </c>
      <c r="L27" s="49">
        <f>('Forecast Financial Statements'!L28+'Forecast Financial Statements'!L29)/'Assumptions'!C66</f>
        <v/>
      </c>
      <c r="M27" s="49">
        <f>('Forecast Financial Statements'!M28+'Forecast Financial Statements'!M29)/'Assumptions'!C66</f>
        <v/>
      </c>
      <c r="N27" s="49">
        <f>('Forecast Financial Statements'!N28+'Forecast Financial Statements'!N29)/'Assumptions'!C66</f>
        <v/>
      </c>
      <c r="O27" s="49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0">
        <f>'Forecast Financial Statements'!H55/'Forecast Financial Statements'!H5*365</f>
        <v/>
      </c>
      <c r="I30" s="50">
        <f>'Forecast Financial Statements'!I55/'Forecast Financial Statements'!I5*365</f>
        <v/>
      </c>
      <c r="J30" s="50">
        <f>'Forecast Financial Statements'!J55/'Forecast Financial Statements'!J5*365</f>
        <v/>
      </c>
      <c r="K30" s="50">
        <f>'Forecast Financial Statements'!K55/'Forecast Financial Statements'!K5*365</f>
        <v/>
      </c>
      <c r="L30" s="50">
        <f>'Forecast Financial Statements'!L55/'Forecast Financial Statements'!L5*365</f>
        <v/>
      </c>
      <c r="M30" s="50">
        <f>'Forecast Financial Statements'!M55/'Forecast Financial Statements'!M5*365</f>
        <v/>
      </c>
      <c r="N30" s="50">
        <f>'Forecast Financial Statements'!N55/'Forecast Financial Statements'!N5*365</f>
        <v/>
      </c>
      <c r="O30" s="50">
        <f>'Forecast Financial Statements'!O55/'Forecast Financial Statements'!O5*365</f>
        <v/>
      </c>
    </row>
    <row r="31">
      <c r="A31" s="5" t="inlineStr">
        <is>
          <t>Inventory days</t>
        </is>
      </c>
      <c r="I31" s="50">
        <f>'Forecast Financial Statements'!I56/'Cost Forecast'!I24*365</f>
        <v/>
      </c>
      <c r="J31" s="50">
        <f>'Forecast Financial Statements'!J56/'Cost Forecast'!J24*365</f>
        <v/>
      </c>
      <c r="K31" s="50">
        <f>'Forecast Financial Statements'!K56/'Cost Forecast'!K24*365</f>
        <v/>
      </c>
      <c r="L31" s="50">
        <f>'Forecast Financial Statements'!L56/'Cost Forecast'!L24*365</f>
        <v/>
      </c>
      <c r="M31" s="50">
        <f>'Forecast Financial Statements'!M56/'Cost Forecast'!M24*365</f>
        <v/>
      </c>
      <c r="N31" s="50">
        <f>'Forecast Financial Statements'!N56/'Cost Forecast'!N24*365</f>
        <v/>
      </c>
      <c r="O31" s="50">
        <f>'Forecast Financial Statements'!O56/'Cost Forecast'!O24*365</f>
        <v/>
      </c>
    </row>
    <row r="32">
      <c r="A32" s="5" t="inlineStr">
        <is>
          <t>Payable days</t>
        </is>
      </c>
      <c r="I32" s="50">
        <f>'Forecast Financial Statements'!I38/'Cost Forecast'!I24*365</f>
        <v/>
      </c>
      <c r="J32" s="50">
        <f>'Forecast Financial Statements'!J38/'Cost Forecast'!J24*365</f>
        <v/>
      </c>
      <c r="K32" s="50">
        <f>'Forecast Financial Statements'!K38/'Cost Forecast'!K24*365</f>
        <v/>
      </c>
      <c r="L32" s="50">
        <f>'Forecast Financial Statements'!L38/'Cost Forecast'!L24*365</f>
        <v/>
      </c>
      <c r="M32" s="50">
        <f>'Forecast Financial Statements'!M38/'Cost Forecast'!M24*365</f>
        <v/>
      </c>
      <c r="N32" s="50">
        <f>'Forecast Financial Statements'!N38/'Cost Forecast'!N24*365</f>
        <v/>
      </c>
      <c r="O32" s="50">
        <f>'Forecast Financial Statements'!O38/'Cost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4">
        <f>I8+I9+I10+I11</f>
        <v/>
      </c>
      <c r="J12" s="44">
        <f>J8+J9+J10+J11</f>
        <v/>
      </c>
      <c r="K12" s="44">
        <f>K8+K9+K10+K11</f>
        <v/>
      </c>
      <c r="L12" s="44">
        <f>L8+L9+L10+L11</f>
        <v/>
      </c>
      <c r="M12" s="44">
        <f>M8+M9+M10+M11</f>
        <v/>
      </c>
      <c r="N12" s="44">
        <f>N8+N9+N10+N11</f>
        <v/>
      </c>
      <c r="O12" s="44">
        <f>O8+O9+O10+O11</f>
        <v/>
      </c>
    </row>
    <row r="13">
      <c r="A13" s="5" t="inlineStr">
        <is>
          <t>Discount period (years)</t>
        </is>
      </c>
      <c r="I13" s="51" t="n">
        <v>1</v>
      </c>
      <c r="J13" s="51" t="n">
        <v>2</v>
      </c>
      <c r="K13" s="51" t="n">
        <v>3</v>
      </c>
      <c r="L13" s="51" t="n">
        <v>4</v>
      </c>
      <c r="M13" s="51" t="n">
        <v>5</v>
      </c>
      <c r="N13" s="51" t="n">
        <v>6</v>
      </c>
      <c r="O13" s="51" t="n">
        <v>7</v>
      </c>
    </row>
    <row r="14">
      <c r="A14" s="5" t="inlineStr">
        <is>
          <t>Discount factor @ WACC</t>
        </is>
      </c>
      <c r="I14" s="52">
        <f>1/(1+'Assumptions'!C65)^I13</f>
        <v/>
      </c>
      <c r="J14" s="52">
        <f>1/(1+'Assumptions'!C65)^J13</f>
        <v/>
      </c>
      <c r="K14" s="52">
        <f>1/(1+'Assumptions'!C65)^K13</f>
        <v/>
      </c>
      <c r="L14" s="52">
        <f>1/(1+'Assumptions'!C65)^L13</f>
        <v/>
      </c>
      <c r="M14" s="52">
        <f>1/(1+'Assumptions'!C65)^M13</f>
        <v/>
      </c>
      <c r="N14" s="52">
        <f>1/(1+'Assumptions'!C65)^N13</f>
        <v/>
      </c>
      <c r="O14" s="52">
        <f>1/(1+'Assumptions'!C65)^O13</f>
        <v/>
      </c>
    </row>
    <row r="15">
      <c r="A15" s="4" t="inlineStr">
        <is>
          <t>PV of FCFF</t>
        </is>
      </c>
      <c r="I15" s="44">
        <f>I12*I14</f>
        <v/>
      </c>
      <c r="J15" s="44">
        <f>J12*J14</f>
        <v/>
      </c>
      <c r="K15" s="44">
        <f>K12*K14</f>
        <v/>
      </c>
      <c r="L15" s="44">
        <f>L12*L14</f>
        <v/>
      </c>
      <c r="M15" s="44">
        <f>M12*M14</f>
        <v/>
      </c>
      <c r="N15" s="44">
        <f>N12*N14</f>
        <v/>
      </c>
      <c r="O15" s="44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3">
        <f>SUM(I15:O15)</f>
        <v/>
      </c>
    </row>
    <row r="19">
      <c r="A19" s="5" t="inlineStr">
        <is>
          <t>WACC</t>
        </is>
      </c>
      <c r="C19" s="54">
        <f>'Assumptions'!C65</f>
        <v/>
      </c>
    </row>
    <row r="20">
      <c r="A20" s="5" t="inlineStr">
        <is>
          <t>Terminal growth rate (g)</t>
        </is>
      </c>
      <c r="C20" s="54">
        <f>'Assumptions'!C63</f>
        <v/>
      </c>
    </row>
    <row r="21">
      <c r="A21" s="5" t="inlineStr">
        <is>
          <t>Terminal value (Gordon growth)</t>
        </is>
      </c>
      <c r="C21" s="53">
        <f>O12*(1+C20)/(C19-C20)</f>
        <v/>
      </c>
    </row>
    <row r="22">
      <c r="A22" s="5" t="inlineStr">
        <is>
          <t>PV of terminal value</t>
        </is>
      </c>
      <c r="C22" s="53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5">
        <f>-('Forecast Financial Statements'!H63-'Forecast Financial Statements'!H58)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6">
        <f>'Assumptions'!C66</f>
        <v/>
      </c>
    </row>
    <row r="27">
      <c r="A27" s="4" t="inlineStr">
        <is>
          <t>Intrinsic value per share (INR)</t>
        </is>
      </c>
      <c r="C27" s="57">
        <f>C25/C26</f>
        <v/>
      </c>
    </row>
    <row r="28">
      <c r="A28" s="5" t="inlineStr">
        <is>
          <t>Current market price (INR)</t>
        </is>
      </c>
      <c r="C28" s="58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EV/Revenue (x)</t>
        </is>
      </c>
      <c r="C5" s="15" t="inlineStr">
        <is>
          <t>EV/EBITDA (x)</t>
        </is>
      </c>
      <c r="D5" s="15" t="inlineStr">
        <is>
          <t>P/E (x)</t>
        </is>
      </c>
      <c r="E5" s="15" t="inlineStr">
        <is>
          <t>P/B (x)</t>
        </is>
      </c>
      <c r="F5" s="15" t="inlineStr">
        <is>
          <t>Div yield %</t>
        </is>
      </c>
    </row>
    <row r="6">
      <c r="A6" s="5" t="inlineStr">
        <is>
          <t>Siemens India</t>
        </is>
      </c>
      <c r="B6" s="59" t="n">
        <v>5.5</v>
      </c>
      <c r="C6" s="59" t="n">
        <v>42</v>
      </c>
      <c r="D6" s="59" t="n">
        <v>60</v>
      </c>
      <c r="E6" s="59" t="n">
        <v>9</v>
      </c>
      <c r="F6" s="60" t="n">
        <v>0.4</v>
      </c>
    </row>
    <row r="7">
      <c r="A7" s="5" t="inlineStr">
        <is>
          <t>ABB India</t>
        </is>
      </c>
      <c r="B7" s="59" t="n">
        <v>7</v>
      </c>
      <c r="C7" s="59" t="n">
        <v>50</v>
      </c>
      <c r="D7" s="59" t="n">
        <v>68</v>
      </c>
      <c r="E7" s="59" t="n">
        <v>14</v>
      </c>
      <c r="F7" s="60" t="n">
        <v>0.4</v>
      </c>
    </row>
    <row r="8">
      <c r="A8" s="5" t="inlineStr">
        <is>
          <t>CG Power &amp; Ind.</t>
        </is>
      </c>
      <c r="B8" s="59" t="n">
        <v>6.5</v>
      </c>
      <c r="C8" s="59" t="n">
        <v>45</v>
      </c>
      <c r="D8" s="59" t="n">
        <v>62</v>
      </c>
      <c r="E8" s="59" t="n">
        <v>18</v>
      </c>
      <c r="F8" s="60" t="n">
        <v>0.2</v>
      </c>
    </row>
    <row r="9">
      <c r="A9" s="5" t="inlineStr">
        <is>
          <t>GE Vernova T&amp;D India</t>
        </is>
      </c>
      <c r="B9" s="59" t="n">
        <v>8</v>
      </c>
      <c r="C9" s="59" t="n">
        <v>48</v>
      </c>
      <c r="D9" s="59" t="n">
        <v>65</v>
      </c>
      <c r="E9" s="59" t="n">
        <v>20</v>
      </c>
      <c r="F9" s="60" t="n">
        <v>0.1</v>
      </c>
    </row>
    <row r="10">
      <c r="A10" s="5" t="inlineStr">
        <is>
          <t>Thermax</t>
        </is>
      </c>
      <c r="B10" s="59" t="n">
        <v>4</v>
      </c>
      <c r="C10" s="59" t="n">
        <v>38</v>
      </c>
      <c r="D10" s="59" t="n">
        <v>55</v>
      </c>
      <c r="E10" s="59" t="n">
        <v>8</v>
      </c>
      <c r="F10" s="60" t="n">
        <v>0.3</v>
      </c>
    </row>
    <row r="11">
      <c r="A11" s="5" t="inlineStr">
        <is>
          <t>Triveni Turbine</t>
        </is>
      </c>
      <c r="B11" s="59" t="n">
        <v>7.5</v>
      </c>
      <c r="C11" s="59" t="n">
        <v>40</v>
      </c>
      <c r="D11" s="59" t="n">
        <v>52</v>
      </c>
      <c r="E11" s="59" t="n">
        <v>16</v>
      </c>
      <c r="F11" s="60" t="n">
        <v>0.5</v>
      </c>
    </row>
    <row r="12">
      <c r="A12" s="5" t="inlineStr">
        <is>
          <t>Larsen &amp; Toubro</t>
        </is>
      </c>
      <c r="B12" s="59" t="n">
        <v>2</v>
      </c>
      <c r="C12" s="59" t="n">
        <v>22</v>
      </c>
      <c r="D12" s="59" t="n">
        <v>32</v>
      </c>
      <c r="E12" s="59" t="n">
        <v>5</v>
      </c>
      <c r="F12" s="60" t="n">
        <v>0.7</v>
      </c>
    </row>
    <row r="13">
      <c r="A13" s="5" t="inlineStr">
        <is>
          <t>Kalpataru Projects</t>
        </is>
      </c>
      <c r="B13" s="59" t="n">
        <v>0.9</v>
      </c>
      <c r="C13" s="59" t="n">
        <v>12</v>
      </c>
      <c r="D13" s="59" t="n">
        <v>22</v>
      </c>
      <c r="E13" s="59" t="n">
        <v>3</v>
      </c>
      <c r="F13" s="60" t="n">
        <v>0.4</v>
      </c>
    </row>
    <row r="14">
      <c r="A14" s="61" t="inlineStr">
        <is>
          <t>Median</t>
        </is>
      </c>
      <c r="B14" s="62">
        <f>MEDIAN(B6:B13)</f>
        <v/>
      </c>
      <c r="C14" s="62">
        <f>MEDIAN(C6:C13)</f>
        <v/>
      </c>
      <c r="D14" s="62">
        <f>MEDIAN(D6:D13)</f>
        <v/>
      </c>
      <c r="E14" s="62">
        <f>MEDIAN(E6:E13)</f>
        <v/>
      </c>
      <c r="F14" s="63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55">
        <f>'Forecast Financial Statements'!I5</f>
        <v/>
      </c>
    </row>
    <row r="18">
      <c r="A18" s="5" t="inlineStr">
        <is>
          <t>BHEL FY2027E EBITDA</t>
        </is>
      </c>
      <c r="C18" s="55">
        <f>'Forecast Financial Statements'!I12</f>
        <v/>
      </c>
    </row>
    <row r="19">
      <c r="A19" s="5" t="inlineStr">
        <is>
          <t>BHEL FY2027E EPS (INR)</t>
        </is>
      </c>
      <c r="C19" s="58">
        <f>'Forecast Financial Statements'!I21</f>
        <v/>
      </c>
    </row>
    <row r="20">
      <c r="A20" s="5" t="inlineStr">
        <is>
          <t>Net debt (FY26)</t>
        </is>
      </c>
      <c r="C20" s="55">
        <f>'Forecast Financial Statements'!H63-'Forecast Financial Statements'!H58</f>
        <v/>
      </c>
    </row>
    <row r="22">
      <c r="A22" s="5" t="inlineStr">
        <is>
          <t>Implied EV (EV/EBITDA method)</t>
        </is>
      </c>
      <c r="C22" s="53">
        <f>C18*C14</f>
        <v/>
      </c>
    </row>
    <row r="23">
      <c r="A23" s="5" t="inlineStr">
        <is>
          <t>Implied equity value (EV/EBITDA)</t>
        </is>
      </c>
      <c r="C23" s="53">
        <f>C22-C20</f>
        <v/>
      </c>
    </row>
    <row r="24">
      <c r="A24" s="4" t="inlineStr">
        <is>
          <t>Implied price - EV/EBITDA (INR)</t>
        </is>
      </c>
      <c r="C24" s="57">
        <f>C23/'Assumptions'!C66</f>
        <v/>
      </c>
    </row>
    <row r="25">
      <c r="A25" s="4" t="inlineStr">
        <is>
          <t>Implied price - P/E method (INR)</t>
        </is>
      </c>
      <c r="C25" s="57">
        <f>C19*D14</f>
        <v/>
      </c>
    </row>
    <row r="26">
      <c r="A26" s="5" t="inlineStr">
        <is>
          <t>Implied EV (EV/Revenue method)</t>
        </is>
      </c>
      <c r="C26" s="53">
        <f>C17*B14</f>
        <v/>
      </c>
    </row>
    <row r="27">
      <c r="A27" s="4" t="inlineStr">
        <is>
          <t>Implied price - EV/Revenue (INR)</t>
        </is>
      </c>
      <c r="C27" s="57">
        <f>(C26-C20)/'Assumptions'!C66</f>
        <v/>
      </c>
    </row>
    <row r="29">
      <c r="A29" s="4" t="inlineStr">
        <is>
          <t>Average implied target price (INR)</t>
        </is>
      </c>
      <c r="C29" s="64">
        <f>AVERAGE(C24,C25,C27)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5">
        <f>'Assumptions'!C63+-0.015</f>
        <v/>
      </c>
      <c r="D5" s="65">
        <f>'Assumptions'!C63+-0.0075</f>
        <v/>
      </c>
      <c r="E5" s="65">
        <f>'Assumptions'!C63+0.0</f>
        <v/>
      </c>
      <c r="F5" s="65">
        <f>'Assumptions'!C63+0.0075</f>
        <v/>
      </c>
      <c r="G5" s="65">
        <f>'Assumptions'!C63+0.015</f>
        <v/>
      </c>
    </row>
    <row r="6">
      <c r="B6" s="65">
        <f>'Assumptions'!C65+0.02</f>
        <v/>
      </c>
      <c r="C6" s="66">
        <f>(SUMPRODUCT('DCF Valuation'!$I$12:$O$12,(1+$B6)^(-'DCF Valuation'!$I$13:$O$13))+('DCF Valuation'!$O$12*(1+C$5)/($B6-C$5))*(1+$B6)^(-7)+'DCF Valuation'!$C$24)/'DCF Valuation'!$C$26</f>
        <v/>
      </c>
      <c r="D6" s="66">
        <f>(SUMPRODUCT('DCF Valuation'!$I$12:$O$12,(1+$B6)^(-'DCF Valuation'!$I$13:$O$13))+('DCF Valuation'!$O$12*(1+D$5)/($B6-D$5))*(1+$B6)^(-7)+'DCF Valuation'!$C$24)/'DCF Valuation'!$C$26</f>
        <v/>
      </c>
      <c r="E6" s="66">
        <f>(SUMPRODUCT('DCF Valuation'!$I$12:$O$12,(1+$B6)^(-'DCF Valuation'!$I$13:$O$13))+('DCF Valuation'!$O$12*(1+E$5)/($B6-E$5))*(1+$B6)^(-7)+'DCF Valuation'!$C$24)/'DCF Valuation'!$C$26</f>
        <v/>
      </c>
      <c r="F6" s="66">
        <f>(SUMPRODUCT('DCF Valuation'!$I$12:$O$12,(1+$B6)^(-'DCF Valuation'!$I$13:$O$13))+('DCF Valuation'!$O$12*(1+F$5)/($B6-F$5))*(1+$B6)^(-7)+'DCF Valuation'!$C$24)/'DCF Valuation'!$C$26</f>
        <v/>
      </c>
      <c r="G6" s="66">
        <f>(SUMPRODUCT('DCF Valuation'!$I$12:$O$12,(1+$B6)^(-'DCF Valuation'!$I$13:$O$13))+('DCF Valuation'!$O$12*(1+G$5)/($B6-G$5))*(1+$B6)^(-7)+'DCF Valuation'!$C$24)/'DCF Valuation'!$C$26</f>
        <v/>
      </c>
    </row>
    <row r="7">
      <c r="B7" s="65">
        <f>'Assumptions'!C65+0.01</f>
        <v/>
      </c>
      <c r="C7" s="66">
        <f>(SUMPRODUCT('DCF Valuation'!$I$12:$O$12,(1+$B7)^(-'DCF Valuation'!$I$13:$O$13))+('DCF Valuation'!$O$12*(1+C$5)/($B7-C$5))*(1+$B7)^(-7)+'DCF Valuation'!$C$24)/'DCF Valuation'!$C$26</f>
        <v/>
      </c>
      <c r="D7" s="66">
        <f>(SUMPRODUCT('DCF Valuation'!$I$12:$O$12,(1+$B7)^(-'DCF Valuation'!$I$13:$O$13))+('DCF Valuation'!$O$12*(1+D$5)/($B7-D$5))*(1+$B7)^(-7)+'DCF Valuation'!$C$24)/'DCF Valuation'!$C$26</f>
        <v/>
      </c>
      <c r="E7" s="66">
        <f>(SUMPRODUCT('DCF Valuation'!$I$12:$O$12,(1+$B7)^(-'DCF Valuation'!$I$13:$O$13))+('DCF Valuation'!$O$12*(1+E$5)/($B7-E$5))*(1+$B7)^(-7)+'DCF Valuation'!$C$24)/'DCF Valuation'!$C$26</f>
        <v/>
      </c>
      <c r="F7" s="66">
        <f>(SUMPRODUCT('DCF Valuation'!$I$12:$O$12,(1+$B7)^(-'DCF Valuation'!$I$13:$O$13))+('DCF Valuation'!$O$12*(1+F$5)/($B7-F$5))*(1+$B7)^(-7)+'DCF Valuation'!$C$24)/'DCF Valuation'!$C$26</f>
        <v/>
      </c>
      <c r="G7" s="66">
        <f>(SUMPRODUCT('DCF Valuation'!$I$12:$O$12,(1+$B7)^(-'DCF Valuation'!$I$13:$O$13))+('DCF Valuation'!$O$12*(1+G$5)/($B7-G$5))*(1+$B7)^(-7)+'DCF Valuation'!$C$24)/'DCF Valuation'!$C$26</f>
        <v/>
      </c>
    </row>
    <row r="8">
      <c r="B8" s="65">
        <f>'Assumptions'!C65+0.0</f>
        <v/>
      </c>
      <c r="C8" s="66">
        <f>(SUMPRODUCT('DCF Valuation'!$I$12:$O$12,(1+$B8)^(-'DCF Valuation'!$I$13:$O$13))+('DCF Valuation'!$O$12*(1+C$5)/($B8-C$5))*(1+$B8)^(-7)+'DCF Valuation'!$C$24)/'DCF Valuation'!$C$26</f>
        <v/>
      </c>
      <c r="D8" s="66">
        <f>(SUMPRODUCT('DCF Valuation'!$I$12:$O$12,(1+$B8)^(-'DCF Valuation'!$I$13:$O$13))+('DCF Valuation'!$O$12*(1+D$5)/($B8-D$5))*(1+$B8)^(-7)+'DCF Valuation'!$C$24)/'DCF Valuation'!$C$26</f>
        <v/>
      </c>
      <c r="E8" s="57">
        <f>(SUMPRODUCT('DCF Valuation'!$I$12:$O$12,(1+$B8)^(-'DCF Valuation'!$I$13:$O$13))+('DCF Valuation'!$O$12*(1+E$5)/($B8-E$5))*(1+$B8)^(-7)+'DCF Valuation'!$C$24)/'DCF Valuation'!$C$26</f>
        <v/>
      </c>
      <c r="F8" s="66">
        <f>(SUMPRODUCT('DCF Valuation'!$I$12:$O$12,(1+$B8)^(-'DCF Valuation'!$I$13:$O$13))+('DCF Valuation'!$O$12*(1+F$5)/($B8-F$5))*(1+$B8)^(-7)+'DCF Valuation'!$C$24)/'DCF Valuation'!$C$26</f>
        <v/>
      </c>
      <c r="G8" s="66">
        <f>(SUMPRODUCT('DCF Valuation'!$I$12:$O$12,(1+$B8)^(-'DCF Valuation'!$I$13:$O$13))+('DCF Valuation'!$O$12*(1+G$5)/($B8-G$5))*(1+$B8)^(-7)+'DCF Valuation'!$C$24)/'DCF Valuation'!$C$26</f>
        <v/>
      </c>
    </row>
    <row r="9">
      <c r="B9" s="65">
        <f>'Assumptions'!C65+-0.01</f>
        <v/>
      </c>
      <c r="C9" s="66">
        <f>(SUMPRODUCT('DCF Valuation'!$I$12:$O$12,(1+$B9)^(-'DCF Valuation'!$I$13:$O$13))+('DCF Valuation'!$O$12*(1+C$5)/($B9-C$5))*(1+$B9)^(-7)+'DCF Valuation'!$C$24)/'DCF Valuation'!$C$26</f>
        <v/>
      </c>
      <c r="D9" s="66">
        <f>(SUMPRODUCT('DCF Valuation'!$I$12:$O$12,(1+$B9)^(-'DCF Valuation'!$I$13:$O$13))+('DCF Valuation'!$O$12*(1+D$5)/($B9-D$5))*(1+$B9)^(-7)+'DCF Valuation'!$C$24)/'DCF Valuation'!$C$26</f>
        <v/>
      </c>
      <c r="E9" s="66">
        <f>(SUMPRODUCT('DCF Valuation'!$I$12:$O$12,(1+$B9)^(-'DCF Valuation'!$I$13:$O$13))+('DCF Valuation'!$O$12*(1+E$5)/($B9-E$5))*(1+$B9)^(-7)+'DCF Valuation'!$C$24)/'DCF Valuation'!$C$26</f>
        <v/>
      </c>
      <c r="F9" s="66">
        <f>(SUMPRODUCT('DCF Valuation'!$I$12:$O$12,(1+$B9)^(-'DCF Valuation'!$I$13:$O$13))+('DCF Valuation'!$O$12*(1+F$5)/($B9-F$5))*(1+$B9)^(-7)+'DCF Valuation'!$C$24)/'DCF Valuation'!$C$26</f>
        <v/>
      </c>
      <c r="G9" s="66">
        <f>(SUMPRODUCT('DCF Valuation'!$I$12:$O$12,(1+$B9)^(-'DCF Valuation'!$I$13:$O$13))+('DCF Valuation'!$O$12*(1+G$5)/($B9-G$5))*(1+$B9)^(-7)+'DCF Valuation'!$C$24)/'DCF Valuation'!$C$26</f>
        <v/>
      </c>
    </row>
    <row r="10">
      <c r="B10" s="65">
        <f>'Assumptions'!C65+-0.02</f>
        <v/>
      </c>
      <c r="C10" s="66">
        <f>(SUMPRODUCT('DCF Valuation'!$I$12:$O$12,(1+$B10)^(-'DCF Valuation'!$I$13:$O$13))+('DCF Valuation'!$O$12*(1+C$5)/($B10-C$5))*(1+$B10)^(-7)+'DCF Valuation'!$C$24)/'DCF Valuation'!$C$26</f>
        <v/>
      </c>
      <c r="D10" s="66">
        <f>(SUMPRODUCT('DCF Valuation'!$I$12:$O$12,(1+$B10)^(-'DCF Valuation'!$I$13:$O$13))+('DCF Valuation'!$O$12*(1+D$5)/($B10-D$5))*(1+$B10)^(-7)+'DCF Valuation'!$C$24)/'DCF Valuation'!$C$26</f>
        <v/>
      </c>
      <c r="E10" s="66">
        <f>(SUMPRODUCT('DCF Valuation'!$I$12:$O$12,(1+$B10)^(-'DCF Valuation'!$I$13:$O$13))+('DCF Valuation'!$O$12*(1+E$5)/($B10-E$5))*(1+$B10)^(-7)+'DCF Valuation'!$C$24)/'DCF Valuation'!$C$26</f>
        <v/>
      </c>
      <c r="F10" s="66">
        <f>(SUMPRODUCT('DCF Valuation'!$I$12:$O$12,(1+$B10)^(-'DCF Valuation'!$I$13:$O$13))+('DCF Valuation'!$O$12*(1+F$5)/($B10-F$5))*(1+$B10)^(-7)+'DCF Valuation'!$C$24)/'DCF Valuation'!$C$26</f>
        <v/>
      </c>
      <c r="G10" s="66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5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4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59" t="n">
        <v>14</v>
      </c>
      <c r="C7" s="59" t="n">
        <v>18</v>
      </c>
      <c r="D7" s="59" t="n">
        <v>24</v>
      </c>
    </row>
    <row r="8">
      <c r="A8" s="5" t="inlineStr">
        <is>
          <t>WACC</t>
        </is>
      </c>
      <c r="B8" s="19" t="n">
        <v>0.155</v>
      </c>
      <c r="C8" s="54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3">
        <f>B5*B6</f>
        <v/>
      </c>
      <c r="C9" s="53">
        <f>C5*C6</f>
        <v/>
      </c>
      <c r="D9" s="53">
        <f>D5*D6</f>
        <v/>
      </c>
    </row>
    <row r="10">
      <c r="A10" s="5" t="inlineStr">
        <is>
          <t>Terminal EV (INR Cr)</t>
        </is>
      </c>
      <c r="B10" s="53">
        <f>B9*B7</f>
        <v/>
      </c>
      <c r="C10" s="53">
        <f>C9*C7</f>
        <v/>
      </c>
      <c r="D10" s="53">
        <f>D9*D7</f>
        <v/>
      </c>
    </row>
    <row r="11">
      <c r="A11" s="5" t="inlineStr">
        <is>
          <t>PV of EV (discounted 7y)</t>
        </is>
      </c>
      <c r="B11" s="53">
        <f>B10/(1+B8)^7</f>
        <v/>
      </c>
      <c r="C11" s="53">
        <f>C10/(1+C8)^7</f>
        <v/>
      </c>
      <c r="D11" s="53">
        <f>D10/(1+D8)^7</f>
        <v/>
      </c>
    </row>
    <row r="12">
      <c r="A12" s="5" t="inlineStr">
        <is>
          <t>Less: net debt (FY26)</t>
        </is>
      </c>
      <c r="B12" s="55">
        <f>'Forecast Financial Statements'!H63-'Forecast Financial Statements'!H58</f>
        <v/>
      </c>
      <c r="C12" s="55">
        <f>'Forecast Financial Statements'!H63-'Forecast Financial Statements'!H58</f>
        <v/>
      </c>
      <c r="D12" s="55">
        <f>'Forecast Financial Statements'!H63-'Forecast Financial Statements'!H58</f>
        <v/>
      </c>
    </row>
    <row r="13">
      <c r="A13" s="5" t="inlineStr">
        <is>
          <t>Equity value (INR Cr)</t>
        </is>
      </c>
      <c r="B13" s="53">
        <f>B11-B12</f>
        <v/>
      </c>
      <c r="C13" s="53">
        <f>C11-C12</f>
        <v/>
      </c>
      <c r="D13" s="53">
        <f>D11-D12</f>
        <v/>
      </c>
    </row>
    <row r="14">
      <c r="A14" s="4" t="inlineStr">
        <is>
          <t>Target price (INR)</t>
        </is>
      </c>
      <c r="B14" s="57">
        <f>B13/'Assumptions'!C66</f>
        <v/>
      </c>
      <c r="C14" s="57">
        <f>C13/'Assumptions'!C66</f>
        <v/>
      </c>
      <c r="D14" s="57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4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 / share (INR)</t>
        </is>
      </c>
      <c r="B3" s="24" t="inlineStr">
        <is>
          <t>Current price (INR)</t>
        </is>
      </c>
      <c r="D3" s="24" t="inlineStr">
        <is>
          <t>Upside / (downside)</t>
        </is>
      </c>
      <c r="E3" s="24" t="inlineStr">
        <is>
          <t>Prob-weighted TP (INR)</t>
        </is>
      </c>
      <c r="G3" s="24" t="inlineStr">
        <is>
          <t>Avg relative TP (INR)</t>
        </is>
      </c>
      <c r="H3" s="24" t="inlineStr">
        <is>
          <t>WACC</t>
        </is>
      </c>
    </row>
    <row r="4">
      <c r="A4" s="67">
        <f>'DCF Valuation'!C27</f>
        <v/>
      </c>
      <c r="B4" s="67">
        <f>'DCF Valuation'!C28</f>
        <v/>
      </c>
      <c r="D4" s="68">
        <f>'DCF Valuation'!C29</f>
        <v/>
      </c>
      <c r="E4" s="67">
        <f>'Scenario Analysis'!B17</f>
        <v/>
      </c>
      <c r="G4" s="67">
        <f>'Relative Valuation'!C29</f>
        <v/>
      </c>
      <c r="H4" s="68">
        <f>'Assumptions'!C65</f>
        <v/>
      </c>
    </row>
    <row r="6">
      <c r="A6" s="24" t="inlineStr">
        <is>
          <t>FY27E revenue (INR Cr)</t>
        </is>
      </c>
      <c r="B6" s="24" t="inlineStr">
        <is>
          <t>FY33E revenue (INR Cr)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FY33E PAT (INR Cr)</t>
        </is>
      </c>
    </row>
    <row r="7">
      <c r="A7" s="69">
        <f>'Forecast Financial Statements'!I5</f>
        <v/>
      </c>
      <c r="B7" s="69">
        <f>'Forecast Financial Statements'!O5</f>
        <v/>
      </c>
      <c r="D7" s="68">
        <f>'Forecast Financial Statements'!I12/'Forecast Financial Statements'!I5</f>
        <v/>
      </c>
      <c r="E7" s="68">
        <f>'Forecast Financial Statements'!O12/'Forecast Financial Statements'!O5</f>
        <v/>
      </c>
      <c r="G7" s="69">
        <f>'Revenue Build-up'!H10</f>
        <v/>
      </c>
      <c r="H7" s="69">
        <f>'Forecast Financial Statements'!O20</f>
        <v/>
      </c>
    </row>
    <row r="9">
      <c r="A9" s="6" t="inlineStr">
        <is>
          <t>DCF bridge (INR Cr)</t>
        </is>
      </c>
    </row>
    <row r="10">
      <c r="A10" s="70" t="inlineStr">
        <is>
          <t>PV of explicit FCFF</t>
        </is>
      </c>
      <c r="B10" s="55">
        <f>'DCF Valuation'!C18</f>
        <v/>
      </c>
    </row>
    <row r="11">
      <c r="A11" s="70" t="inlineStr">
        <is>
          <t>PV of terminal value</t>
        </is>
      </c>
      <c r="B11" s="55">
        <f>'DCF Valuation'!C22</f>
        <v/>
      </c>
    </row>
    <row r="12">
      <c r="A12" s="70" t="inlineStr">
        <is>
          <t>Enterprise value</t>
        </is>
      </c>
      <c r="B12" s="55">
        <f>'DCF Valuation'!C23</f>
        <v/>
      </c>
    </row>
    <row r="13">
      <c r="A13" s="70" t="inlineStr">
        <is>
          <t>Less: net debt</t>
        </is>
      </c>
      <c r="B13" s="55">
        <f>'DCF Valuation'!C24</f>
        <v/>
      </c>
    </row>
    <row r="14">
      <c r="A14" s="70" t="inlineStr">
        <is>
          <t>Equity value</t>
        </is>
      </c>
      <c r="B14" s="55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1">
        <f>IF(ABS('Forecast Financial Statements'!B61-'Forecast Financial Statements'!B42)&lt;0.5,"OK","REVIEW")</f>
        <v/>
      </c>
      <c r="C5" s="71">
        <f>IF(ABS('Forecast Financial Statements'!C61-'Forecast Financial Statements'!C42)&lt;0.5,"OK","REVIEW")</f>
        <v/>
      </c>
      <c r="D5" s="71">
        <f>IF(ABS('Forecast Financial Statements'!D61-'Forecast Financial Statements'!D42)&lt;0.5,"OK","REVIEW")</f>
        <v/>
      </c>
      <c r="E5" s="71">
        <f>IF(ABS('Forecast Financial Statements'!E61-'Forecast Financial Statements'!E42)&lt;0.5,"OK","REVIEW")</f>
        <v/>
      </c>
      <c r="F5" s="71">
        <f>IF(ABS('Forecast Financial Statements'!F61-'Forecast Financial Statements'!F42)&lt;0.5,"OK","REVIEW")</f>
        <v/>
      </c>
      <c r="G5" s="71">
        <f>IF(ABS('Forecast Financial Statements'!G61-'Forecast Financial Statements'!G42)&lt;0.5,"OK","REVIEW")</f>
        <v/>
      </c>
      <c r="H5" s="71">
        <f>IF(ABS('Forecast Financial Statements'!H61-'Forecast Financial Statements'!H42)&lt;0.5,"OK","REVIEW")</f>
        <v/>
      </c>
      <c r="I5" s="71">
        <f>IF(ABS('Forecast Financial Statements'!I61-'Forecast Financial Statements'!I42)&lt;0.5,"OK","REVIEW")</f>
        <v/>
      </c>
      <c r="J5" s="71">
        <f>IF(ABS('Forecast Financial Statements'!J61-'Forecast Financial Statements'!J42)&lt;0.5,"OK","REVIEW")</f>
        <v/>
      </c>
      <c r="K5" s="71">
        <f>IF(ABS('Forecast Financial Statements'!K61-'Forecast Financial Statements'!K42)&lt;0.5,"OK","REVIEW")</f>
        <v/>
      </c>
      <c r="L5" s="71">
        <f>IF(ABS('Forecast Financial Statements'!L61-'Forecast Financial Statements'!L42)&lt;0.5,"OK","REVIEW")</f>
        <v/>
      </c>
      <c r="M5" s="71">
        <f>IF(ABS('Forecast Financial Statements'!M61-'Forecast Financial Statements'!M42)&lt;0.5,"OK","REVIEW")</f>
        <v/>
      </c>
      <c r="N5" s="71">
        <f>IF(ABS('Forecast Financial Statements'!N61-'Forecast Financial Statements'!N42)&lt;0.5,"OK","REVIEW")</f>
        <v/>
      </c>
      <c r="O5" s="71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1">
        <f>IF(ABS('Forecast Financial Statements'!I58-'Cash Flow Statement'!I25)&lt;0.5,"OK","REVIEW")</f>
        <v/>
      </c>
      <c r="J6" s="71">
        <f>IF(ABS('Forecast Financial Statements'!J58-'Cash Flow Statement'!J25)&lt;0.5,"OK","REVIEW")</f>
        <v/>
      </c>
      <c r="K6" s="71">
        <f>IF(ABS('Forecast Financial Statements'!K58-'Cash Flow Statement'!K25)&lt;0.5,"OK","REVIEW")</f>
        <v/>
      </c>
      <c r="L6" s="71">
        <f>IF(ABS('Forecast Financial Statements'!L58-'Cash Flow Statement'!L25)&lt;0.5,"OK","REVIEW")</f>
        <v/>
      </c>
      <c r="M6" s="71">
        <f>IF(ABS('Forecast Financial Statements'!M58-'Cash Flow Statement'!M25)&lt;0.5,"OK","REVIEW")</f>
        <v/>
      </c>
      <c r="N6" s="71">
        <f>IF(ABS('Forecast Financial Statements'!N58-'Cash Flow Statement'!N25)&lt;0.5,"OK","REVIEW")</f>
        <v/>
      </c>
      <c r="O6" s="71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1">
        <f>IF(ABS('Forecast Financial Statements'!I29-'Equity Schedule'!I10)&lt;0.5,"OK","REVIEW")</f>
        <v/>
      </c>
      <c r="J7" s="71">
        <f>IF(ABS('Forecast Financial Statements'!J29-'Equity Schedule'!J10)&lt;0.5,"OK","REVIEW")</f>
        <v/>
      </c>
      <c r="K7" s="71">
        <f>IF(ABS('Forecast Financial Statements'!K29-'Equity Schedule'!K10)&lt;0.5,"OK","REVIEW")</f>
        <v/>
      </c>
      <c r="L7" s="71">
        <f>IF(ABS('Forecast Financial Statements'!L29-'Equity Schedule'!L10)&lt;0.5,"OK","REVIEW")</f>
        <v/>
      </c>
      <c r="M7" s="71">
        <f>IF(ABS('Forecast Financial Statements'!M29-'Equity Schedule'!M10)&lt;0.5,"OK","REVIEW")</f>
        <v/>
      </c>
      <c r="N7" s="71">
        <f>IF(ABS('Forecast Financial Statements'!N29-'Equity Schedule'!N10)&lt;0.5,"OK","REVIEW")</f>
        <v/>
      </c>
      <c r="O7" s="71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1">
        <f>IF(ABS('Forecast Financial Statements'!I63-'Debt Schedule'!I9)&lt;0.5,"OK","REVIEW")</f>
        <v/>
      </c>
      <c r="J8" s="71">
        <f>IF(ABS('Forecast Financial Statements'!J63-'Debt Schedule'!J9)&lt;0.5,"OK","REVIEW")</f>
        <v/>
      </c>
      <c r="K8" s="71">
        <f>IF(ABS('Forecast Financial Statements'!K63-'Debt Schedule'!K9)&lt;0.5,"OK","REVIEW")</f>
        <v/>
      </c>
      <c r="L8" s="71">
        <f>IF(ABS('Forecast Financial Statements'!L63-'Debt Schedule'!L9)&lt;0.5,"OK","REVIEW")</f>
        <v/>
      </c>
      <c r="M8" s="71">
        <f>IF(ABS('Forecast Financial Statements'!M63-'Debt Schedule'!M9)&lt;0.5,"OK","REVIEW")</f>
        <v/>
      </c>
      <c r="N8" s="71">
        <f>IF(ABS('Forecast Financial Statements'!N63-'Debt Schedule'!N9)&lt;0.5,"OK","REVIEW")</f>
        <v/>
      </c>
      <c r="O8" s="71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1">
        <f>IF(ABS('Forecast Financial Statements'!I13-'Depreciation Schedule'!I8)&lt;0.5,"OK","REVIEW")</f>
        <v/>
      </c>
      <c r="J9" s="71">
        <f>IF(ABS('Forecast Financial Statements'!J13-'Depreciation Schedule'!J8)&lt;0.5,"OK","REVIEW")</f>
        <v/>
      </c>
      <c r="K9" s="71">
        <f>IF(ABS('Forecast Financial Statements'!K13-'Depreciation Schedule'!K8)&lt;0.5,"OK","REVIEW")</f>
        <v/>
      </c>
      <c r="L9" s="71">
        <f>IF(ABS('Forecast Financial Statements'!L13-'Depreciation Schedule'!L8)&lt;0.5,"OK","REVIEW")</f>
        <v/>
      </c>
      <c r="M9" s="71">
        <f>IF(ABS('Forecast Financial Statements'!M13-'Depreciation Schedule'!M8)&lt;0.5,"OK","REVIEW")</f>
        <v/>
      </c>
      <c r="N9" s="71">
        <f>IF(ABS('Forecast Financial Statements'!N13-'Depreciation Schedule'!N8)&lt;0.5,"OK","REVIEW")</f>
        <v/>
      </c>
      <c r="O9" s="71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1">
        <f>IF(ABS('Forecast Financial Statements'!I5-'Revenue Build-up'!I15)&lt;0.5,"OK","REVIEW")</f>
        <v/>
      </c>
      <c r="J10" s="71">
        <f>IF(ABS('Forecast Financial Statements'!J5-'Revenue Build-up'!J15)&lt;0.5,"OK","REVIEW")</f>
        <v/>
      </c>
      <c r="K10" s="71">
        <f>IF(ABS('Forecast Financial Statements'!K5-'Revenue Build-up'!K15)&lt;0.5,"OK","REVIEW")</f>
        <v/>
      </c>
      <c r="L10" s="71">
        <f>IF(ABS('Forecast Financial Statements'!L5-'Revenue Build-up'!L15)&lt;0.5,"OK","REVIEW")</f>
        <v/>
      </c>
      <c r="M10" s="71">
        <f>IF(ABS('Forecast Financial Statements'!M5-'Revenue Build-up'!M15)&lt;0.5,"OK","REVIEW")</f>
        <v/>
      </c>
      <c r="N10" s="71">
        <f>IF(ABS('Forecast Financial Statements'!N5-'Revenue Build-up'!N15)&lt;0.5,"OK","REVIEW")</f>
        <v/>
      </c>
      <c r="O10" s="71">
        <f>IF(ABS('Forecast Financial Statements'!O5-'Revenue Build-up'!O15)&lt;0.5,"OK","REVIEW")</f>
        <v/>
      </c>
    </row>
    <row r="11">
      <c r="A11" s="5" t="inlineStr">
        <is>
          <t>Net fixed assets tie to FA schedule</t>
        </is>
      </c>
      <c r="I11" s="71">
        <f>IF(ABS('Forecast Financial Statements'!I47-'Fixed Asset Schedule'!I10)&lt;0.5,"OK","REVIEW")</f>
        <v/>
      </c>
      <c r="J11" s="71">
        <f>IF(ABS('Forecast Financial Statements'!J47-'Fixed Asset Schedule'!J10)&lt;0.5,"OK","REVIEW")</f>
        <v/>
      </c>
      <c r="K11" s="71">
        <f>IF(ABS('Forecast Financial Statements'!K47-'Fixed Asset Schedule'!K10)&lt;0.5,"OK","REVIEW")</f>
        <v/>
      </c>
      <c r="L11" s="71">
        <f>IF(ABS('Forecast Financial Statements'!L47-'Fixed Asset Schedule'!L10)&lt;0.5,"OK","REVIEW")</f>
        <v/>
      </c>
      <c r="M11" s="71">
        <f>IF(ABS('Forecast Financial Statements'!M47-'Fixed Asset Schedule'!M10)&lt;0.5,"OK","REVIEW")</f>
        <v/>
      </c>
      <c r="N11" s="71">
        <f>IF(ABS('Forecast Financial Statements'!N47-'Fixed Asset Schedule'!N10)&lt;0.5,"OK","REVIEW")</f>
        <v/>
      </c>
      <c r="O11" s="71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2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2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3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2026-07-01T12:07:45Z</dcterms:created>
  <dcterms:modified xsi:type="dcterms:W3CDTF">2026-07-01T12:07:45Z</dcterms:modified>
</cp:coreProperties>
</file>