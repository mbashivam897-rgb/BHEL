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2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Price Targets" sheetId="22" state="visible" r:id="rId22"/>
    <sheet name="Dashboard" sheetId="23" state="visible" r:id="rId23"/>
    <sheet name="Error 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5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actual Rs75,916 cr (Q4FY26 supplementary); FY26 closing order book Rs2,40,000 cr - highest ever (Power 81% / Industry 18% / Export 1%), CONFIRMING the model driver. ~80 GW thermal to be ordered by 2032 (~10-12 GW/yr) plus T&amp;D, railways, defence, nuclear.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VALIDATION: per Q4FY26 supplementary, TOTAL contract assets were ~flat YoY (Rs29,444-&gt;29,390 cr) despite +19% revenue, so contract-assets/revenue fell ~104%-&gt;~87% - the taper is thus conservative. Consistent with Q4FY24 concall guidance (legacy NTPC clearing, faster billing, better payment terms)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multiples reflect current (2025-26) market levels. BHEL is valued at a QUALITY DISCOUNT to premium MNC peers (Siemens/ABB ~50x P/E) given its lower margins (~8% vs 15-18%), low ROE (~2-8% vs 15-30%) and PSU profile; the closest large comp is L&amp;T (~20x EV/EBITDA, ~33x P/E). EV/Revenue is intentionally EXCLUDED - it is invalid across such different margin profiles. Refresh peer data before use.</t>
        </is>
      </c>
    </row>
    <row r="4">
      <c r="A4" s="11" t="inlineStr">
        <is>
          <t>A.  Peer trading multiples (current, 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EV/EBITDA (x)</t>
        </is>
      </c>
      <c r="C5" s="15" t="inlineStr">
        <is>
          <t>P/E (x)</t>
        </is>
      </c>
      <c r="D5" s="15" t="inlineStr">
        <is>
          <t>P/B (x)</t>
        </is>
      </c>
      <c r="E5" s="15" t="inlineStr">
        <is>
          <t>ROE %</t>
        </is>
      </c>
      <c r="F5" s="15" t="inlineStr">
        <is>
          <t>Div yld %</t>
        </is>
      </c>
    </row>
    <row r="6">
      <c r="A6" s="5" t="inlineStr">
        <is>
          <t>Siemens India</t>
        </is>
      </c>
      <c r="B6" s="59" t="n">
        <v>42</v>
      </c>
      <c r="C6" s="59" t="n">
        <v>50</v>
      </c>
      <c r="D6" s="59" t="n">
        <v>9</v>
      </c>
      <c r="E6" s="60" t="n">
        <v>16</v>
      </c>
      <c r="F6" s="60" t="n">
        <v>0.4</v>
      </c>
    </row>
    <row r="7">
      <c r="A7" s="5" t="inlineStr">
        <is>
          <t>ABB India</t>
        </is>
      </c>
      <c r="B7" s="59" t="n">
        <v>48</v>
      </c>
      <c r="C7" s="59" t="n">
        <v>52</v>
      </c>
      <c r="D7" s="59" t="n">
        <v>14</v>
      </c>
      <c r="E7" s="60" t="n">
        <v>20</v>
      </c>
      <c r="F7" s="60" t="n">
        <v>0.4</v>
      </c>
    </row>
    <row r="8">
      <c r="A8" s="5" t="inlineStr">
        <is>
          <t>CG Power &amp; Ind.</t>
        </is>
      </c>
      <c r="B8" s="59" t="n">
        <v>45</v>
      </c>
      <c r="C8" s="59" t="n">
        <v>60</v>
      </c>
      <c r="D8" s="59" t="n">
        <v>18</v>
      </c>
      <c r="E8" s="60" t="n">
        <v>22</v>
      </c>
      <c r="F8" s="60" t="n">
        <v>0.2</v>
      </c>
    </row>
    <row r="9">
      <c r="A9" s="5" t="inlineStr">
        <is>
          <t>Thermax</t>
        </is>
      </c>
      <c r="B9" s="59" t="n">
        <v>34</v>
      </c>
      <c r="C9" s="59" t="n">
        <v>48</v>
      </c>
      <c r="D9" s="59" t="n">
        <v>8</v>
      </c>
      <c r="E9" s="60" t="n">
        <v>14</v>
      </c>
      <c r="F9" s="60" t="n">
        <v>0.3</v>
      </c>
    </row>
    <row r="10">
      <c r="A10" s="5" t="inlineStr">
        <is>
          <t>Triveni Turbine</t>
        </is>
      </c>
      <c r="B10" s="59" t="n">
        <v>38</v>
      </c>
      <c r="C10" s="59" t="n">
        <v>50</v>
      </c>
      <c r="D10" s="59" t="n">
        <v>16</v>
      </c>
      <c r="E10" s="60" t="n">
        <v>30</v>
      </c>
      <c r="F10" s="60" t="n">
        <v>0.5</v>
      </c>
    </row>
    <row r="11">
      <c r="A11" s="5" t="inlineStr">
        <is>
          <t>Larsen &amp; Toubro</t>
        </is>
      </c>
      <c r="B11" s="59" t="n">
        <v>20</v>
      </c>
      <c r="C11" s="59" t="n">
        <v>33</v>
      </c>
      <c r="D11" s="59" t="n">
        <v>5</v>
      </c>
      <c r="E11" s="60" t="n">
        <v>15</v>
      </c>
      <c r="F11" s="60" t="n">
        <v>0.7</v>
      </c>
    </row>
    <row r="12">
      <c r="A12" s="5" t="inlineStr">
        <is>
          <t>Kalpataru Projects</t>
        </is>
      </c>
      <c r="B12" s="59" t="n">
        <v>11</v>
      </c>
      <c r="C12" s="59" t="n">
        <v>20</v>
      </c>
      <c r="D12" s="59" t="n">
        <v>3</v>
      </c>
      <c r="E12" s="60" t="n">
        <v>11</v>
      </c>
      <c r="F12" s="60" t="n">
        <v>0.4</v>
      </c>
    </row>
    <row r="13">
      <c r="A13" s="61" t="inlineStr">
        <is>
          <t>Peer median</t>
        </is>
      </c>
      <c r="B13" s="62">
        <f>MEDIAN(B6:B12)</f>
        <v/>
      </c>
      <c r="C13" s="62">
        <f>MEDIAN(C6:C12)</f>
        <v/>
      </c>
      <c r="D13" s="62">
        <f>MEDIAN(D6:D12)</f>
        <v/>
      </c>
      <c r="E13" s="63">
        <f>MEDIAN(E6:E12)</f>
        <v/>
      </c>
      <c r="F13" s="63">
        <f>MEDIAN(F6:F12)</f>
        <v/>
      </c>
      <c r="G13" s="13" t="inlineStr">
        <is>
          <t>BHEL ROE ~2-8% -&gt; discount to peers</t>
        </is>
      </c>
    </row>
    <row r="15">
      <c r="A15" s="11" t="inlineStr">
        <is>
          <t>B.  BHEL target multiples (quality-discounted)</t>
        </is>
      </c>
      <c r="B15" s="1" t="n"/>
      <c r="C15" s="1" t="n"/>
      <c r="D15" s="1" t="n"/>
      <c r="E15" s="1" t="n"/>
      <c r="F15" s="1" t="n"/>
    </row>
    <row r="16">
      <c r="A16" s="15" t="inlineStr">
        <is>
          <t>Multiple</t>
        </is>
      </c>
      <c r="B16" s="15" t="inlineStr">
        <is>
          <t>Bear</t>
        </is>
      </c>
      <c r="C16" s="15" t="inlineStr">
        <is>
          <t>Base</t>
        </is>
      </c>
      <c r="D16" s="15" t="inlineStr">
        <is>
          <t>Bull</t>
        </is>
      </c>
    </row>
    <row r="17">
      <c r="A17" s="5" t="inlineStr">
        <is>
          <t>EV/EBITDA (x)  [L&amp;T ~20x]</t>
        </is>
      </c>
      <c r="B17" s="59" t="n">
        <v>15</v>
      </c>
      <c r="C17" s="59" t="n">
        <v>20</v>
      </c>
      <c r="D17" s="59" t="n">
        <v>28</v>
      </c>
    </row>
    <row r="18">
      <c r="A18" s="5" t="inlineStr">
        <is>
          <t>P/E (x)  [L&amp;T ~33x]</t>
        </is>
      </c>
      <c r="B18" s="59" t="n">
        <v>25</v>
      </c>
      <c r="C18" s="59" t="n">
        <v>35</v>
      </c>
      <c r="D18" s="59" t="n">
        <v>45</v>
      </c>
    </row>
    <row r="20">
      <c r="A20" s="11" t="inlineStr">
        <is>
          <t>C.  Implied value for BHEL (FY2027E)</t>
        </is>
      </c>
      <c r="B20" s="1" t="n"/>
      <c r="C20" s="1" t="n"/>
      <c r="D20" s="1" t="n"/>
      <c r="E20" s="1" t="n"/>
      <c r="F20" s="1" t="n"/>
    </row>
    <row r="21">
      <c r="A21" s="5" t="inlineStr">
        <is>
          <t>BHEL FY2027E EBITDA</t>
        </is>
      </c>
      <c r="C21" s="55">
        <f>'Forecast Financial Statements'!I12</f>
        <v/>
      </c>
    </row>
    <row r="22">
      <c r="A22" s="5" t="inlineStr">
        <is>
          <t>BHEL FY2027E EPS (INR)</t>
        </is>
      </c>
      <c r="C22" s="58">
        <f>'Forecast Financial Statements'!I21</f>
        <v/>
      </c>
    </row>
    <row r="23">
      <c r="A23" s="5" t="inlineStr">
        <is>
          <t>Net cash (FY26)</t>
        </is>
      </c>
      <c r="C23" s="55">
        <f>'Forecast Financial Statements'!H58-'Forecast Financial Statements'!H63</f>
        <v/>
      </c>
    </row>
    <row r="25">
      <c r="A25" s="15" t="inlineStr">
        <is>
          <t>Implied price (INR)</t>
        </is>
      </c>
      <c r="B25" s="15" t="inlineStr">
        <is>
          <t>Bear</t>
        </is>
      </c>
      <c r="C25" s="15" t="inlineStr">
        <is>
          <t>Base</t>
        </is>
      </c>
      <c r="D25" s="15" t="inlineStr">
        <is>
          <t>Bull</t>
        </is>
      </c>
    </row>
    <row r="26">
      <c r="A26" s="5" t="inlineStr">
        <is>
          <t>EV/EBITDA method</t>
        </is>
      </c>
      <c r="B26" s="64">
        <f>(B17*$C$21+$C$23)/'Assumptions'!C66</f>
        <v/>
      </c>
      <c r="C26" s="64">
        <f>(C17*$C$21+$C$23)/'Assumptions'!C66</f>
        <v/>
      </c>
      <c r="D26" s="64">
        <f>(D17*$C$21+$C$23)/'Assumptions'!C66</f>
        <v/>
      </c>
    </row>
    <row r="27">
      <c r="A27" s="5" t="inlineStr">
        <is>
          <t>P/E method</t>
        </is>
      </c>
      <c r="B27" s="64">
        <f>B18*$C$22</f>
        <v/>
      </c>
      <c r="C27" s="64">
        <f>C18*$C$22</f>
        <v/>
      </c>
      <c r="D27" s="64">
        <f>D18*$C$22</f>
        <v/>
      </c>
    </row>
    <row r="28">
      <c r="A28" s="4" t="inlineStr">
        <is>
          <t>Relative fair value (avg of methods)</t>
        </is>
      </c>
      <c r="B28" s="57">
        <f>AVERAGE(B26,B27)</f>
        <v/>
      </c>
      <c r="C28" s="57">
        <f>AVERAGE(C26,C27)</f>
        <v/>
      </c>
      <c r="D28" s="57">
        <f>AVERAGE(D26,D27)</f>
        <v/>
      </c>
    </row>
    <row r="30">
      <c r="A30" s="7" t="inlineStr">
        <is>
          <t>Memo: sector-parity (peer median EV/EBITDA, no discount)</t>
        </is>
      </c>
      <c r="C30" s="64">
        <f>(C13*$C$21+$C$23)/'Assumptions'!C66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4">
        <f>(SUMPRODUCT('DCF Valuation'!$I$12:$O$12,(1+$B6)^(-'DCF Valuation'!$I$13:$O$13))+('DCF Valuation'!$O$12*(1+C$5)/($B6-C$5))*(1+$B6)^(-7)+'DCF Valuation'!$C$24)/'DCF Valuation'!$C$26</f>
        <v/>
      </c>
      <c r="D6" s="64">
        <f>(SUMPRODUCT('DCF Valuation'!$I$12:$O$12,(1+$B6)^(-'DCF Valuation'!$I$13:$O$13))+('DCF Valuation'!$O$12*(1+D$5)/($B6-D$5))*(1+$B6)^(-7)+'DCF Valuation'!$C$24)/'DCF Valuation'!$C$26</f>
        <v/>
      </c>
      <c r="E6" s="64">
        <f>(SUMPRODUCT('DCF Valuation'!$I$12:$O$12,(1+$B6)^(-'DCF Valuation'!$I$13:$O$13))+('DCF Valuation'!$O$12*(1+E$5)/($B6-E$5))*(1+$B6)^(-7)+'DCF Valuation'!$C$24)/'DCF Valuation'!$C$26</f>
        <v/>
      </c>
      <c r="F6" s="64">
        <f>(SUMPRODUCT('DCF Valuation'!$I$12:$O$12,(1+$B6)^(-'DCF Valuation'!$I$13:$O$13))+('DCF Valuation'!$O$12*(1+F$5)/($B6-F$5))*(1+$B6)^(-7)+'DCF Valuation'!$C$24)/'DCF Valuation'!$C$26</f>
        <v/>
      </c>
      <c r="G6" s="64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4">
        <f>(SUMPRODUCT('DCF Valuation'!$I$12:$O$12,(1+$B7)^(-'DCF Valuation'!$I$13:$O$13))+('DCF Valuation'!$O$12*(1+C$5)/($B7-C$5))*(1+$B7)^(-7)+'DCF Valuation'!$C$24)/'DCF Valuation'!$C$26</f>
        <v/>
      </c>
      <c r="D7" s="64">
        <f>(SUMPRODUCT('DCF Valuation'!$I$12:$O$12,(1+$B7)^(-'DCF Valuation'!$I$13:$O$13))+('DCF Valuation'!$O$12*(1+D$5)/($B7-D$5))*(1+$B7)^(-7)+'DCF Valuation'!$C$24)/'DCF Valuation'!$C$26</f>
        <v/>
      </c>
      <c r="E7" s="64">
        <f>(SUMPRODUCT('DCF Valuation'!$I$12:$O$12,(1+$B7)^(-'DCF Valuation'!$I$13:$O$13))+('DCF Valuation'!$O$12*(1+E$5)/($B7-E$5))*(1+$B7)^(-7)+'DCF Valuation'!$C$24)/'DCF Valuation'!$C$26</f>
        <v/>
      </c>
      <c r="F7" s="64">
        <f>(SUMPRODUCT('DCF Valuation'!$I$12:$O$12,(1+$B7)^(-'DCF Valuation'!$I$13:$O$13))+('DCF Valuation'!$O$12*(1+F$5)/($B7-F$5))*(1+$B7)^(-7)+'DCF Valuation'!$C$24)/'DCF Valuation'!$C$26</f>
        <v/>
      </c>
      <c r="G7" s="64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4">
        <f>(SUMPRODUCT('DCF Valuation'!$I$12:$O$12,(1+$B8)^(-'DCF Valuation'!$I$13:$O$13))+('DCF Valuation'!$O$12*(1+C$5)/($B8-C$5))*(1+$B8)^(-7)+'DCF Valuation'!$C$24)/'DCF Valuation'!$C$26</f>
        <v/>
      </c>
      <c r="D8" s="64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4">
        <f>(SUMPRODUCT('DCF Valuation'!$I$12:$O$12,(1+$B8)^(-'DCF Valuation'!$I$13:$O$13))+('DCF Valuation'!$O$12*(1+F$5)/($B8-F$5))*(1+$B8)^(-7)+'DCF Valuation'!$C$24)/'DCF Valuation'!$C$26</f>
        <v/>
      </c>
      <c r="G8" s="64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4">
        <f>(SUMPRODUCT('DCF Valuation'!$I$12:$O$12,(1+$B9)^(-'DCF Valuation'!$I$13:$O$13))+('DCF Valuation'!$O$12*(1+C$5)/($B9-C$5))*(1+$B9)^(-7)+'DCF Valuation'!$C$24)/'DCF Valuation'!$C$26</f>
        <v/>
      </c>
      <c r="D9" s="64">
        <f>(SUMPRODUCT('DCF Valuation'!$I$12:$O$12,(1+$B9)^(-'DCF Valuation'!$I$13:$O$13))+('DCF Valuation'!$O$12*(1+D$5)/($B9-D$5))*(1+$B9)^(-7)+'DCF Valuation'!$C$24)/'DCF Valuation'!$C$26</f>
        <v/>
      </c>
      <c r="E9" s="64">
        <f>(SUMPRODUCT('DCF Valuation'!$I$12:$O$12,(1+$B9)^(-'DCF Valuation'!$I$13:$O$13))+('DCF Valuation'!$O$12*(1+E$5)/($B9-E$5))*(1+$B9)^(-7)+'DCF Valuation'!$C$24)/'DCF Valuation'!$C$26</f>
        <v/>
      </c>
      <c r="F9" s="64">
        <f>(SUMPRODUCT('DCF Valuation'!$I$12:$O$12,(1+$B9)^(-'DCF Valuation'!$I$13:$O$13))+('DCF Valuation'!$O$12*(1+F$5)/($B9-F$5))*(1+$B9)^(-7)+'DCF Valuation'!$C$24)/'DCF Valuation'!$C$26</f>
        <v/>
      </c>
      <c r="G9" s="64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4">
        <f>(SUMPRODUCT('DCF Valuation'!$I$12:$O$12,(1+$B10)^(-'DCF Valuation'!$I$13:$O$13))+('DCF Valuation'!$O$12*(1+C$5)/($B10-C$5))*(1+$B10)^(-7)+'DCF Valuation'!$C$24)/'DCF Valuation'!$C$26</f>
        <v/>
      </c>
      <c r="D10" s="64">
        <f>(SUMPRODUCT('DCF Valuation'!$I$12:$O$12,(1+$B10)^(-'DCF Valuation'!$I$13:$O$13))+('DCF Valuation'!$O$12*(1+D$5)/($B10-D$5))*(1+$B10)^(-7)+'DCF Valuation'!$C$24)/'DCF Valuation'!$C$26</f>
        <v/>
      </c>
      <c r="E10" s="64">
        <f>(SUMPRODUCT('DCF Valuation'!$I$12:$O$12,(1+$B10)^(-'DCF Valuation'!$I$13:$O$13))+('DCF Valuation'!$O$12*(1+E$5)/($B10-E$5))*(1+$B10)^(-7)+'DCF Valuation'!$C$24)/'DCF Valuation'!$C$26</f>
        <v/>
      </c>
      <c r="F10" s="64">
        <f>(SUMPRODUCT('DCF Valuation'!$I$12:$O$12,(1+$B10)^(-'DCF Valuation'!$I$13:$O$13))+('DCF Valuation'!$O$12*(1+F$5)/($B10-F$5))*(1+$B10)^(-7)+'DCF Valuation'!$C$24)/'DCF Valuation'!$C$26</f>
        <v/>
      </c>
      <c r="G10" s="64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6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O3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PRICE TARGETS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Blended valuation &amp; scenario price targets. Fundamental fair value = 50% DCF + 50% quality-adjusted relative. Horizon targets apply scenario EV/EBITDA multiples to forward EBITDA (3M/6M on FY2027E, 12M rolled to FY2028E) plus net cash, per share. Multiples (gold) are editable. Model output, not investment advice.</t>
        </is>
      </c>
    </row>
    <row r="4">
      <c r="A4" s="11" t="inlineStr">
        <is>
          <t>A.  Inputs (live links)</t>
        </is>
      </c>
      <c r="B4" s="1" t="n"/>
      <c r="C4" s="1" t="n"/>
      <c r="D4" s="1" t="n"/>
    </row>
    <row r="5">
      <c r="A5" s="5" t="inlineStr">
        <is>
          <t>FY2027E EBITDA (INR Cr)</t>
        </is>
      </c>
      <c r="C5" s="55">
        <f>'Forecast Financial Statements'!I12</f>
        <v/>
      </c>
    </row>
    <row r="6">
      <c r="A6" s="5" t="inlineStr">
        <is>
          <t>FY2028E EBITDA (INR Cr)</t>
        </is>
      </c>
      <c r="C6" s="55">
        <f>'Forecast Financial Statements'!J12</f>
        <v/>
      </c>
    </row>
    <row r="7">
      <c r="A7" s="5" t="inlineStr">
        <is>
          <t>Net cash - FY26 (INR Cr)</t>
        </is>
      </c>
      <c r="C7" s="55">
        <f>'Forecast Financial Statements'!H58-'Forecast Financial Statements'!H63</f>
        <v/>
      </c>
    </row>
    <row r="8">
      <c r="A8" s="5" t="inlineStr">
        <is>
          <t>Shares outstanding (crore)</t>
        </is>
      </c>
      <c r="C8" s="56">
        <f>'Assumptions'!C66</f>
        <v/>
      </c>
    </row>
    <row r="9">
      <c r="A9" s="5" t="inlineStr">
        <is>
          <t>Current market price (INR)</t>
        </is>
      </c>
      <c r="C9" s="58">
        <f>'Assumptions'!C67</f>
        <v/>
      </c>
    </row>
    <row r="10">
      <c r="A10" s="5" t="inlineStr">
        <is>
          <t>DCF value/share - base (INR)</t>
        </is>
      </c>
      <c r="C10" s="58">
        <f>'DCF Valuation'!C27</f>
        <v/>
      </c>
    </row>
    <row r="11">
      <c r="A11" s="5" t="inlineStr">
        <is>
          <t>Relative fair value - Bear/Base/Bull (INR)</t>
        </is>
      </c>
      <c r="B11" s="58">
        <f>'Relative Valuation'!B28</f>
        <v/>
      </c>
      <c r="C11" s="58">
        <f>'Relative Valuation'!C28</f>
        <v/>
      </c>
      <c r="D11" s="58">
        <f>'Relative Valuation'!D28</f>
        <v/>
      </c>
    </row>
    <row r="13">
      <c r="A13" s="11" t="inlineStr">
        <is>
          <t>B.  Fundamental fair value (12-month)</t>
        </is>
      </c>
      <c r="B13" s="1" t="n"/>
      <c r="C13" s="1" t="n"/>
      <c r="D13" s="1" t="n"/>
    </row>
    <row r="14">
      <c r="A14" s="15" t="inlineStr"/>
      <c r="B14" s="15" t="inlineStr">
        <is>
          <t>Bear</t>
        </is>
      </c>
      <c r="C14" s="15" t="inlineStr">
        <is>
          <t>Base</t>
        </is>
      </c>
      <c r="D14" s="15" t="inlineStr">
        <is>
          <t>Bull</t>
        </is>
      </c>
    </row>
    <row r="15">
      <c r="A15" s="5" t="inlineStr">
        <is>
          <t>DCF (INR/share)</t>
        </is>
      </c>
      <c r="B15" s="64">
        <f>$C$10*0.81</f>
        <v/>
      </c>
      <c r="C15" s="64">
        <f>$C$10</f>
        <v/>
      </c>
      <c r="D15" s="64">
        <f>$C$10*1.20</f>
        <v/>
      </c>
    </row>
    <row r="16">
      <c r="A16" s="5" t="inlineStr">
        <is>
          <t>Relative (INR/share)</t>
        </is>
      </c>
      <c r="B16" s="64">
        <f>B11</f>
        <v/>
      </c>
      <c r="C16" s="64">
        <f>C11</f>
        <v/>
      </c>
      <c r="D16" s="64">
        <f>D11</f>
        <v/>
      </c>
    </row>
    <row r="17">
      <c r="A17" s="4" t="inlineStr">
        <is>
          <t>Blended fair value (50/50)</t>
        </is>
      </c>
      <c r="B17" s="57">
        <f>AVERAGE(B15,B16)</f>
        <v/>
      </c>
      <c r="C17" s="57">
        <f>AVERAGE(C15,C16)</f>
        <v/>
      </c>
      <c r="D17" s="57">
        <f>AVERAGE(D15,D16)</f>
        <v/>
      </c>
    </row>
    <row r="18">
      <c r="A18" s="7" t="inlineStr">
        <is>
          <t xml:space="preserve">  Upside/(downside) vs current price</t>
        </is>
      </c>
      <c r="B18" s="22">
        <f>B17/$C$9-1</f>
        <v/>
      </c>
      <c r="C18" s="22">
        <f>C17/$C$9-1</f>
        <v/>
      </c>
      <c r="D18" s="22">
        <f>D17/$C$9-1</f>
        <v/>
      </c>
    </row>
    <row r="20">
      <c r="A20" s="11" t="inlineStr">
        <is>
          <t>C.  Scenario EV/EBITDA multiple (x) - editable</t>
        </is>
      </c>
      <c r="B20" s="1" t="n"/>
      <c r="C20" s="1" t="n"/>
      <c r="D20" s="1" t="n"/>
    </row>
    <row r="21">
      <c r="A21" s="15" t="inlineStr">
        <is>
          <t>Scenario</t>
        </is>
      </c>
      <c r="B21" s="15" t="inlineStr">
        <is>
          <t>3-month</t>
        </is>
      </c>
      <c r="C21" s="15" t="inlineStr">
        <is>
          <t>6-month</t>
        </is>
      </c>
      <c r="D21" s="15" t="inlineStr">
        <is>
          <t>12-month</t>
        </is>
      </c>
    </row>
    <row r="22">
      <c r="A22" s="5" t="inlineStr">
        <is>
          <t>Bull</t>
        </is>
      </c>
      <c r="B22" s="59" t="n">
        <v>45</v>
      </c>
      <c r="C22" s="59" t="n">
        <v>46</v>
      </c>
      <c r="D22" s="59" t="n">
        <v>44</v>
      </c>
    </row>
    <row r="23">
      <c r="A23" s="5" t="inlineStr">
        <is>
          <t>Base</t>
        </is>
      </c>
      <c r="B23" s="59" t="n">
        <v>43</v>
      </c>
      <c r="C23" s="59" t="n">
        <v>40</v>
      </c>
      <c r="D23" s="59" t="n">
        <v>36</v>
      </c>
    </row>
    <row r="24">
      <c r="A24" s="5" t="inlineStr">
        <is>
          <t>Bear</t>
        </is>
      </c>
      <c r="B24" s="59" t="n">
        <v>38</v>
      </c>
      <c r="C24" s="59" t="n">
        <v>32</v>
      </c>
      <c r="D24" s="59" t="n">
        <v>26</v>
      </c>
    </row>
    <row r="25">
      <c r="A25" s="7" t="inlineStr">
        <is>
          <t>EBITDA basis</t>
        </is>
      </c>
      <c r="B25" s="67" t="inlineStr">
        <is>
          <t>FY2027E</t>
        </is>
      </c>
      <c r="C25" s="67" t="inlineStr">
        <is>
          <t>FY2027E</t>
        </is>
      </c>
      <c r="D25" s="67" t="inlineStr">
        <is>
          <t>FY2028E</t>
        </is>
      </c>
    </row>
    <row r="27">
      <c r="A27" s="11" t="inlineStr">
        <is>
          <t>D.  Scenario price target (INR/share)</t>
        </is>
      </c>
      <c r="B27" s="1" t="n"/>
      <c r="C27" s="1" t="n"/>
      <c r="D27" s="1" t="n"/>
    </row>
    <row r="28">
      <c r="A28" s="15" t="inlineStr">
        <is>
          <t>Scenario</t>
        </is>
      </c>
      <c r="B28" s="15" t="inlineStr">
        <is>
          <t>3-month</t>
        </is>
      </c>
      <c r="C28" s="15" t="inlineStr">
        <is>
          <t>6-month</t>
        </is>
      </c>
      <c r="D28" s="15" t="inlineStr">
        <is>
          <t>12-month</t>
        </is>
      </c>
    </row>
    <row r="29">
      <c r="A29" s="5" t="inlineStr">
        <is>
          <t>Bull</t>
        </is>
      </c>
      <c r="B29" s="64">
        <f>(B22*$C$5+$C$7)/$C$8</f>
        <v/>
      </c>
      <c r="C29" s="64">
        <f>(C22*$C$5+$C$7)/$C$8</f>
        <v/>
      </c>
      <c r="D29" s="64">
        <f>(D22*$C$6+$C$7)/$C$8</f>
        <v/>
      </c>
    </row>
    <row r="30">
      <c r="A30" s="4" t="inlineStr">
        <is>
          <t>Base</t>
        </is>
      </c>
      <c r="B30" s="57">
        <f>(B23*$C$5+$C$7)/$C$8</f>
        <v/>
      </c>
      <c r="C30" s="57">
        <f>(C23*$C$5+$C$7)/$C$8</f>
        <v/>
      </c>
      <c r="D30" s="57">
        <f>(D23*$C$6+$C$7)/$C$8</f>
        <v/>
      </c>
    </row>
    <row r="31">
      <c r="A31" s="5" t="inlineStr">
        <is>
          <t>Bear</t>
        </is>
      </c>
      <c r="B31" s="64">
        <f>(B24*$C$5+$C$7)/$C$8</f>
        <v/>
      </c>
      <c r="C31" s="64">
        <f>(C24*$C$5+$C$7)/$C$8</f>
        <v/>
      </c>
      <c r="D31" s="64">
        <f>(D24*$C$6+$C$7)/$C$8</f>
        <v/>
      </c>
    </row>
    <row r="33">
      <c r="A33" s="11" t="inlineStr">
        <is>
          <t>E.  Upside/(downside) vs current price</t>
        </is>
      </c>
      <c r="B33" s="1" t="n"/>
      <c r="C33" s="1" t="n"/>
      <c r="D33" s="1" t="n"/>
    </row>
    <row r="34">
      <c r="A34" s="15" t="inlineStr">
        <is>
          <t>Scenario</t>
        </is>
      </c>
      <c r="B34" s="15" t="inlineStr">
        <is>
          <t>3-month</t>
        </is>
      </c>
      <c r="C34" s="15" t="inlineStr">
        <is>
          <t>6-month</t>
        </is>
      </c>
      <c r="D34" s="15" t="inlineStr">
        <is>
          <t>12-month</t>
        </is>
      </c>
    </row>
    <row r="35">
      <c r="A35" s="5" t="inlineStr">
        <is>
          <t>Bull</t>
        </is>
      </c>
      <c r="B35" s="22">
        <f>B29/$C$9-1</f>
        <v/>
      </c>
      <c r="C35" s="22">
        <f>C29/$C$9-1</f>
        <v/>
      </c>
      <c r="D35" s="22">
        <f>D29/$C$9-1</f>
        <v/>
      </c>
    </row>
    <row r="36">
      <c r="A36" s="5" t="inlineStr">
        <is>
          <t>Base</t>
        </is>
      </c>
      <c r="B36" s="22">
        <f>B30/$C$9-1</f>
        <v/>
      </c>
      <c r="C36" s="22">
        <f>C30/$C$9-1</f>
        <v/>
      </c>
      <c r="D36" s="22">
        <f>D30/$C$9-1</f>
        <v/>
      </c>
    </row>
    <row r="37">
      <c r="A37" s="5" t="inlineStr">
        <is>
          <t>Bear</t>
        </is>
      </c>
      <c r="B37" s="22">
        <f>B31/$C$9-1</f>
        <v/>
      </c>
      <c r="C37" s="22">
        <f>C31/$C$9-1</f>
        <v/>
      </c>
      <c r="D37" s="22">
        <f>D31/$C$9-1</f>
        <v/>
      </c>
    </row>
    <row r="39">
      <c r="A39" s="13" t="inlineStr">
        <is>
          <t>Verdict: fundamental fair value ~Rs110-190 (base ~Rs145) implies BHEL is expensive vs the market price; the price is sustained by sector-premium multiples. Bull requires strong growth to materialise AND premium multiples to persist; Bear reflects de-rating toward fundamentals.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Valuation'!C28</f>
        <v/>
      </c>
      <c r="H4" s="69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Build-up'!H10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5">
        <f>'DCF Valuation'!C18</f>
        <v/>
      </c>
    </row>
    <row r="11">
      <c r="A11" s="71" t="inlineStr">
        <is>
          <t>PV of terminal value</t>
        </is>
      </c>
      <c r="B11" s="55">
        <f>'DCF Valuation'!C22</f>
        <v/>
      </c>
    </row>
    <row r="12">
      <c r="A12" s="71" t="inlineStr">
        <is>
          <t>Enterprise value</t>
        </is>
      </c>
      <c r="B12" s="55">
        <f>'DCF Valuation'!C23</f>
        <v/>
      </c>
    </row>
    <row r="13">
      <c r="A13" s="71" t="inlineStr">
        <is>
          <t>Less: net debt</t>
        </is>
      </c>
      <c r="B13" s="55">
        <f>'DCF Valuation'!C24</f>
        <v/>
      </c>
    </row>
    <row r="14">
      <c r="A14" s="71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Build-up'!I15)&lt;0.5,"OK","REVIEW")</f>
        <v/>
      </c>
      <c r="J10" s="72">
        <f>IF(ABS('Forecast Financial Statements'!J5-'Revenue Build-up'!J15)&lt;0.5,"OK","REVIEW")</f>
        <v/>
      </c>
      <c r="K10" s="72">
        <f>IF(ABS('Forecast Financial Statements'!K5-'Revenue Build-up'!K15)&lt;0.5,"OK","REVIEW")</f>
        <v/>
      </c>
      <c r="L10" s="72">
        <f>IF(ABS('Forecast Financial Statements'!L5-'Revenue Build-up'!L15)&lt;0.5,"OK","REVIEW")</f>
        <v/>
      </c>
      <c r="M10" s="72">
        <f>IF(ABS('Forecast Financial Statements'!M5-'Revenue Build-up'!M15)&lt;0.5,"OK","REVIEW")</f>
        <v/>
      </c>
      <c r="N10" s="72">
        <f>IF(ABS('Forecast Financial Statements'!N5-'Revenue Build-up'!N15)&lt;0.5,"OK","REVIEW")</f>
        <v/>
      </c>
      <c r="O10" s="72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2026-07-01T15:30:04Z</dcterms:created>
  <dcterms:modified xsi:type="dcterms:W3CDTF">2026-07-01T15:30:04Z</dcterms:modified>
</cp:coreProperties>
</file>