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2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Price Targets" sheetId="22" state="visible" r:id="rId22"/>
    <sheet name="Dashboard" sheetId="23" state="visible" r:id="rId23"/>
    <sheet name="Error Check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5" borderId="1" applyAlignment="1" pivotButton="0" quotePrefix="0" xfId="0">
      <alignment horizontal="right"/>
    </xf>
    <xf numFmtId="0" fontId="6" fillId="0" borderId="1" applyAlignment="1" pivotButton="0" quotePrefix="0" xfId="0">
      <alignment horizontal="center" vertical="center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Valuation football field (INR/share)</a:t>
            </a:r>
          </a:p>
        </rich>
      </tx>
    </title>
    <plotArea>
      <barChart>
        <barDir val="bar"/>
        <grouping val="stacked"/>
        <ser>
          <idx val="0"/>
          <order val="0"/>
          <spPr>
            <a:noFill/>
            <a:ln>
              <a:prstDash val="solid"/>
            </a:ln>
          </spPr>
          <cat>
            <numRef>
              <f>'Dashboard'!$J$51:$J$55</f>
            </numRef>
          </cat>
          <val>
            <numRef>
              <f>'Dashboard'!$K$51:$K$55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'Dashboard'!$J$51:$J$55</f>
            </numRef>
          </cat>
          <val>
            <numRef>
              <f>'Dashboard'!$L$51:$L$55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49</row>
      <rowOff>0</rowOff>
    </from>
    <ext cx="61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0.024</v>
      </c>
      <c r="J23" s="19" t="n">
        <v>0.024</v>
      </c>
      <c r="K23" s="19" t="n">
        <v>0.024</v>
      </c>
      <c r="L23" s="19" t="n">
        <v>0.024</v>
      </c>
      <c r="M23" s="19" t="n">
        <v>0.024</v>
      </c>
      <c r="N23" s="19" t="n">
        <v>0.024</v>
      </c>
      <c r="O23" s="19" t="n">
        <v>0.024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73</v>
      </c>
      <c r="K37" s="20" t="n">
        <v>72</v>
      </c>
      <c r="L37" s="20" t="n">
        <v>71</v>
      </c>
      <c r="M37" s="20" t="n">
        <v>70</v>
      </c>
      <c r="N37" s="20" t="n">
        <v>69</v>
      </c>
      <c r="O37" s="20" t="n">
        <v>68</v>
      </c>
    </row>
    <row r="38">
      <c r="A38" s="5" t="inlineStr">
        <is>
          <t>Inventory days (vs COGS)</t>
        </is>
      </c>
      <c r="I38" s="20" t="n">
        <v>210</v>
      </c>
      <c r="J38" s="20" t="n">
        <v>207</v>
      </c>
      <c r="K38" s="20" t="n">
        <v>204</v>
      </c>
      <c r="L38" s="20" t="n">
        <v>201</v>
      </c>
      <c r="M38" s="20" t="n">
        <v>198</v>
      </c>
      <c r="N38" s="20" t="n">
        <v>195</v>
      </c>
      <c r="O38" s="20" t="n">
        <v>192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0.44</v>
      </c>
      <c r="K40" s="19" t="n">
        <v>0.43</v>
      </c>
      <c r="L40" s="19" t="n">
        <v>0.42</v>
      </c>
      <c r="M40" s="19" t="n">
        <v>0.41</v>
      </c>
      <c r="N40" s="19" t="n">
        <v>0.4</v>
      </c>
      <c r="O40" s="19" t="n">
        <v>0.39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0.28</v>
      </c>
      <c r="K41" s="19" t="n">
        <v>0.28</v>
      </c>
      <c r="L41" s="19" t="n">
        <v>0.29</v>
      </c>
      <c r="M41" s="19" t="n">
        <v>0.29</v>
      </c>
      <c r="N41" s="19" t="n">
        <v>0.3</v>
      </c>
      <c r="O41" s="19" t="n">
        <v>0.3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0</v>
      </c>
      <c r="J49" s="17" t="n">
        <v>0</v>
      </c>
      <c r="K49" s="17" t="n">
        <v>0</v>
      </c>
      <c r="L49" s="17" t="n">
        <v>0</v>
      </c>
      <c r="M49" s="17" t="n">
        <v>0</v>
      </c>
      <c r="N49" s="17" t="n">
        <v>0</v>
      </c>
      <c r="O49" s="17" t="n">
        <v>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= execution rate x opening order book. Implies ~13.5% revenue CAGR - within management guidance of 12-15% CAGR (Q4FY24 concall). BHEL has ~10 GW/yr execution capacity (demonstrated 12 GW); 80+ GW thermal to be ordered by 2032. Historically executed ~15-17% of opening OB.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actual Rs75,916 cr (Q4FY26 supplementary); FY26 closing order book Rs2,40,000 cr - highest ever (Power 81% / Industry 18% / Export 1%), CONFIRMING the model driver. ~80 GW thermal to be ordered by 2032 (~10-12 GW/yr) plus T&amp;D, railways, defence, nuclear.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74 -&gt; 68</t>
        </is>
      </c>
      <c r="C24" s="29" t="inlineStr">
        <is>
          <t>Audited history 49-121 (FY26 73). Tapered down per management WC-improvement focus (Q4FY24 concall): legacy dues clearing within a quarter of milestone completion.</t>
        </is>
      </c>
    </row>
    <row r="25" ht="46" customHeight="1">
      <c r="A25" s="27" t="inlineStr">
        <is>
          <t>Inventory days (vs COGS)</t>
        </is>
      </c>
      <c r="B25" s="28" t="inlineStr">
        <is>
          <t>210 -&gt; 192</t>
        </is>
      </c>
      <c r="C25" s="29" t="inlineStr">
        <is>
          <t>Audited history 151-232 (FY26 212); long project cycle. Tapered per management guidance on better execution &amp; supply-chain/vendor normalisation (Q4FY24 concall).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 -&gt; 39%</t>
        </is>
      </c>
      <c r="C27" s="29" t="inlineStr">
        <is>
          <t>Unbilled revenue on long-cycle EPC (percentage-of-completion). Audited FY26 current contract assets = 45% of revenue. VALIDATION: per Q4FY26 supplementary, TOTAL contract assets were ~flat YoY (Rs29,444-&gt;29,390 cr) despite +19% revenue, so contract-assets/revenue fell ~104%-&gt;~87% - the taper is thus conservative. Consistent with Q4FY24 concall guidance (legacy NTPC clearing, faster billing, better payment terms) -&gt; working capital "getting better".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 -&gt; 30%</t>
        </is>
      </c>
      <c r="C28" s="29" t="inlineStr">
        <is>
          <t>Customer advances &amp; billing-in-excess - key WC funding. Audited FY26 = 27% of revenue. Rising modestly per management (Q4FY24 concall): improved advance / milestone payment terms on new orders (e.g. NTPC bulk orders).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~2% LT / 98% ST</t>
        </is>
      </c>
      <c r="C34" s="29" t="inlineStr">
        <is>
          <t>Audited: BHEL borrowings are almost entirely short-term working-capital lines. The only "long-term" borrowing is lease liabilities (~Rs170 cr in FY26 = 2.05% of total; FY20-26 range 0.3-2.1%). Re-anchored from the prior arbitrary 35% split to the audited actual ~2%.</t>
        </is>
      </c>
    </row>
    <row r="35" ht="46" customHeight="1">
      <c r="A35" s="27" t="inlineStr">
        <is>
          <t>New borrowings / repayment</t>
        </is>
      </c>
      <c r="B35" s="28" t="inlineStr">
        <is>
          <t>held flat</t>
        </is>
      </c>
      <c r="C35" s="29" t="inlineStr">
        <is>
          <t>BHEL borrowings are short-term working-capital lines (not a term loan) - no fixed repayment schedule. Held flat: the large cash balance (net cash ~Rs3,700 cr) funds working-capital growth. The prior Rs1,000 cr/yr repayment was an unsupported placeholder. Financing choices do not affect FCFF/EV (pre-financing).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perpetuity. Terminal FCFF is NORMALIZED so working capital grows at g (steady state), not at the FY33 high-growth rate - otherwise the terminal value understates value because the last explicit year still carries a large growth-driven WC investment.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Working capital = CURRENT operating items only. Non-current &amp; non-operating items (deferred tax, non-current contract assets/liabilities, long-term provisions) are shown in a separate block and EXCLUDED from operating NWC and from the DCF free cash flow; their change flows to cash via the total line so the balance sheet still ties. FY2026 seeds are audited actuals.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operating assets</t>
        </is>
      </c>
      <c r="H11" s="46" t="n">
        <v>4264.99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current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Other current operating liabilities</t>
        </is>
      </c>
      <c r="H15" s="46" t="n">
        <v>4681.42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current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Operating net working capital (current only)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operating NWC  -&gt;  FCFF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20">
      <c r="A20" s="11" t="inlineStr">
        <is>
          <t>Non-current &amp; non-operating items (on balance sheet; EXCLUDED from working capital)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3" t="inlineStr">
        <is>
          <t>incl deferred tax (non-operating) &amp; long-dated contract balances</t>
        </is>
      </c>
    </row>
    <row r="21">
      <c r="A21" s="5" t="inlineStr">
        <is>
          <t xml:space="preserve">   Other non-current assets (incl deferred tax, NC contract assets)</t>
        </is>
      </c>
      <c r="H21" s="46" t="n">
        <v>20934.62</v>
      </c>
      <c r="I21" s="33">
        <f>'Assumptions'!I52</f>
        <v/>
      </c>
      <c r="J21" s="33">
        <f>'Assumptions'!J52</f>
        <v/>
      </c>
      <c r="K21" s="33">
        <f>'Assumptions'!K52</f>
        <v/>
      </c>
      <c r="L21" s="33">
        <f>'Assumptions'!L52</f>
        <v/>
      </c>
      <c r="M21" s="33">
        <f>'Assumptions'!M52</f>
        <v/>
      </c>
      <c r="N21" s="33">
        <f>'Assumptions'!N52</f>
        <v/>
      </c>
      <c r="O21" s="33">
        <f>'Assumptions'!O52</f>
        <v/>
      </c>
    </row>
    <row r="22">
      <c r="A22" s="5" t="inlineStr">
        <is>
          <t xml:space="preserve">   Other non-current liabilities (incl NC contract liab, LT provisions)</t>
        </is>
      </c>
      <c r="H22" s="46" t="n">
        <v>17568.65</v>
      </c>
      <c r="I22" s="33">
        <f>'Assumptions'!I53</f>
        <v/>
      </c>
      <c r="J22" s="33">
        <f>'Assumptions'!J53</f>
        <v/>
      </c>
      <c r="K22" s="33">
        <f>'Assumptions'!K53</f>
        <v/>
      </c>
      <c r="L22" s="33">
        <f>'Assumptions'!L53</f>
        <v/>
      </c>
      <c r="M22" s="33">
        <f>'Assumptions'!M53</f>
        <v/>
      </c>
      <c r="N22" s="33">
        <f>'Assumptions'!N53</f>
        <v/>
      </c>
      <c r="O22" s="33">
        <f>'Assumptions'!O53</f>
        <v/>
      </c>
    </row>
    <row r="23">
      <c r="A23" s="4" t="inlineStr">
        <is>
          <t>Net non-current items (assets - liabilities)</t>
        </is>
      </c>
      <c r="H23" s="32">
        <f>H21-H22</f>
        <v/>
      </c>
      <c r="I23" s="32">
        <f>I21-I22</f>
        <v/>
      </c>
      <c r="J23" s="32">
        <f>J21-J22</f>
        <v/>
      </c>
      <c r="K23" s="32">
        <f>K21-K22</f>
        <v/>
      </c>
      <c r="L23" s="32">
        <f>L21-L22</f>
        <v/>
      </c>
      <c r="M23" s="32">
        <f>M21-M22</f>
        <v/>
      </c>
      <c r="N23" s="32">
        <f>N21-N22</f>
        <v/>
      </c>
      <c r="O23" s="32">
        <f>O21-O22</f>
        <v/>
      </c>
    </row>
    <row r="24">
      <c r="A24" s="5" t="inlineStr">
        <is>
          <t>(Increase)/decrease in net non-current items</t>
        </is>
      </c>
      <c r="I24" s="33">
        <f>-(I23-H23)</f>
        <v/>
      </c>
      <c r="J24" s="33">
        <f>-(J23-I23)</f>
        <v/>
      </c>
      <c r="K24" s="33">
        <f>-(K23-J23)</f>
        <v/>
      </c>
      <c r="L24" s="33">
        <f>-(L23-K23)</f>
        <v/>
      </c>
      <c r="M24" s="33">
        <f>-(M23-L23)</f>
        <v/>
      </c>
      <c r="N24" s="33">
        <f>-(N23-M23)</f>
        <v/>
      </c>
      <c r="O24" s="33">
        <f>-(O23-N23)</f>
        <v/>
      </c>
    </row>
    <row r="25">
      <c r="A25" s="4" t="inlineStr">
        <is>
          <t>Total (increase)/decrease in NWC incl non-current  -&gt;  cash flow</t>
        </is>
      </c>
      <c r="I25" s="44">
        <f>I18+I24</f>
        <v/>
      </c>
      <c r="J25" s="44">
        <f>J18+J24</f>
        <v/>
      </c>
      <c r="K25" s="44">
        <f>K18+K24</f>
        <v/>
      </c>
      <c r="L25" s="44">
        <f>L18+L24</f>
        <v/>
      </c>
      <c r="M25" s="44">
        <f>M18+M24</f>
        <v/>
      </c>
      <c r="N25" s="44">
        <f>N18+N24</f>
        <v/>
      </c>
      <c r="O25" s="44">
        <f>O18+O24</f>
        <v/>
      </c>
    </row>
    <row r="27">
      <c r="A27" s="5" t="inlineStr">
        <is>
          <t>Memo: cash &amp; bank (FY26 seed, audited)</t>
        </is>
      </c>
      <c r="H27" s="46" t="n">
        <v>11866.62</v>
      </c>
    </row>
    <row r="29">
      <c r="A29" s="11" t="inlineStr">
        <is>
          <t>Memo: current-asset composition (indicative, 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 xml:space="preserve">   Inventory: raw materials &amp; components (~45%)</t>
        </is>
      </c>
      <c r="I30" s="33">
        <f>I9*0.45</f>
        <v/>
      </c>
      <c r="J30" s="33">
        <f>J9*0.45</f>
        <v/>
      </c>
      <c r="K30" s="33">
        <f>K9*0.45</f>
        <v/>
      </c>
      <c r="L30" s="33">
        <f>L9*0.45</f>
        <v/>
      </c>
      <c r="M30" s="33">
        <f>M9*0.45</f>
        <v/>
      </c>
      <c r="N30" s="33">
        <f>N9*0.45</f>
        <v/>
      </c>
      <c r="O30" s="33">
        <f>O9*0.45</f>
        <v/>
      </c>
    </row>
    <row r="31">
      <c r="A31" s="5" t="inlineStr">
        <is>
          <t xml:space="preserve">   Inventory: work-in-progress (~35%)</t>
        </is>
      </c>
      <c r="I31" s="33">
        <f>I9*0.35</f>
        <v/>
      </c>
      <c r="J31" s="33">
        <f>J9*0.35</f>
        <v/>
      </c>
      <c r="K31" s="33">
        <f>K9*0.35</f>
        <v/>
      </c>
      <c r="L31" s="33">
        <f>L9*0.35</f>
        <v/>
      </c>
      <c r="M31" s="33">
        <f>M9*0.35</f>
        <v/>
      </c>
      <c r="N31" s="33">
        <f>N9*0.35</f>
        <v/>
      </c>
      <c r="O31" s="33">
        <f>O9*0.35</f>
        <v/>
      </c>
    </row>
    <row r="32">
      <c r="A32" s="5" t="inlineStr">
        <is>
          <t xml:space="preserve">   Inventory: finished goods &amp; stores (~20%)</t>
        </is>
      </c>
      <c r="I32" s="33">
        <f>I9*0.20</f>
        <v/>
      </c>
      <c r="J32" s="33">
        <f>J9*0.20</f>
        <v/>
      </c>
      <c r="K32" s="33">
        <f>K9*0.20</f>
        <v/>
      </c>
      <c r="L32" s="33">
        <f>L9*0.20</f>
        <v/>
      </c>
      <c r="M32" s="33">
        <f>M9*0.20</f>
        <v/>
      </c>
      <c r="N32" s="33">
        <f>N9*0.20</f>
        <v/>
      </c>
      <c r="O32" s="33">
        <f>O9*0.20</f>
        <v/>
      </c>
    </row>
    <row r="33">
      <c r="A33" s="5" t="inlineStr">
        <is>
          <t xml:space="preserve">   Receivables: billed / trade (~70%)</t>
        </is>
      </c>
      <c r="I33" s="33">
        <f>I8*0.70</f>
        <v/>
      </c>
      <c r="J33" s="33">
        <f>J8*0.70</f>
        <v/>
      </c>
      <c r="K33" s="33">
        <f>K8*0.70</f>
        <v/>
      </c>
      <c r="L33" s="33">
        <f>L8*0.70</f>
        <v/>
      </c>
      <c r="M33" s="33">
        <f>M8*0.70</f>
        <v/>
      </c>
      <c r="N33" s="33">
        <f>N8*0.70</f>
        <v/>
      </c>
      <c r="O33" s="33">
        <f>O8*0.70</f>
        <v/>
      </c>
    </row>
    <row r="34">
      <c r="A34" s="5" t="inlineStr">
        <is>
          <t xml:space="preserve">   Receivables: unbilled / retention (~30%)</t>
        </is>
      </c>
      <c r="I34" s="33">
        <f>I8*0.30</f>
        <v/>
      </c>
      <c r="J34" s="33">
        <f>J8*0.30</f>
        <v/>
      </c>
      <c r="K34" s="33">
        <f>K8*0.30</f>
        <v/>
      </c>
      <c r="L34" s="33">
        <f>L8*0.30</f>
        <v/>
      </c>
      <c r="M34" s="33">
        <f>M8*0.30</f>
        <v/>
      </c>
      <c r="N34" s="33">
        <f>N8*0.30</f>
        <v/>
      </c>
      <c r="O34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current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Other current operating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Schedule'!I25</f>
        <v/>
      </c>
      <c r="J8" s="33">
        <f>'Working Capital Schedule'!J25</f>
        <v/>
      </c>
      <c r="K8" s="33">
        <f>'Working Capital Schedule'!K25</f>
        <v/>
      </c>
      <c r="L8" s="33">
        <f>'Working Capital Schedule'!L25</f>
        <v/>
      </c>
      <c r="M8" s="33">
        <f>'Working Capital Schedule'!M25</f>
        <v/>
      </c>
      <c r="N8" s="33">
        <f>'Working Capital Schedule'!N25</f>
        <v/>
      </c>
      <c r="O8" s="33">
        <f>'Working Capital Schedule'!O25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Schedule'!H27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</f>
        <v/>
      </c>
      <c r="J39" s="43">
        <f>'Working Capital Schedule'!J14+'Working Capital Schedule'!J15</f>
        <v/>
      </c>
      <c r="K39" s="43">
        <f>'Working Capital Schedule'!K14+'Working Capital Schedule'!K15</f>
        <v/>
      </c>
      <c r="L39" s="43">
        <f>'Working Capital Schedule'!L14+'Working Capital Schedule'!L15</f>
        <v/>
      </c>
      <c r="M39" s="43">
        <f>'Working Capital Schedule'!M14+'Working Capital Schedule'!M15</f>
        <v/>
      </c>
      <c r="N39" s="43">
        <f>'Working Capital Schedule'!N14+'Working Capital Schedule'!N15</f>
        <v/>
      </c>
      <c r="O39" s="43">
        <f>'Working Capital Schedule'!O14+'Working Capital Schedule'!O15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</f>
        <v/>
      </c>
      <c r="J57" s="43">
        <f>'Working Capital Schedule'!J10+'Working Capital Schedule'!J11</f>
        <v/>
      </c>
      <c r="K57" s="43">
        <f>'Working Capital Schedule'!K10+'Working Capital Schedule'!K11</f>
        <v/>
      </c>
      <c r="L57" s="43">
        <f>'Working Capital Schedule'!L10+'Working Capital Schedule'!L11</f>
        <v/>
      </c>
      <c r="M57" s="43">
        <f>'Working Capital Schedule'!M10+'Working Capital Schedule'!M11</f>
        <v/>
      </c>
      <c r="N57" s="43">
        <f>'Working Capital Schedule'!N10+'Working Capital Schedule'!N11</f>
        <v/>
      </c>
      <c r="O57" s="43">
        <f>'Working Capital Schedule'!O10+'Working Capital Schedule'!O11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operating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growth, normalized WC)</t>
        </is>
      </c>
      <c r="C21" s="53">
        <f>(O8+O9+O10-C20*'Working Capital Schedule'!O17)*(1+C20)/(C19-C20)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multiples reflect current (2025-26) market levels. BHEL is valued at a QUALITY DISCOUNT to premium MNC peers (Siemens/ABB ~50x P/E) given its lower margins (~8% vs 15-18%), low ROE (~2-8% vs 15-30%) and PSU profile; the closest large comp is L&amp;T (~20x EV/EBITDA, ~33x P/E). EV/Revenue is intentionally EXCLUDED - it is invalid across such different margin profiles. Refresh peer data before use.</t>
        </is>
      </c>
    </row>
    <row r="4">
      <c r="A4" s="11" t="inlineStr">
        <is>
          <t>A.  Peer trading multiples (current, 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EV/EBITDA (x)</t>
        </is>
      </c>
      <c r="C5" s="15" t="inlineStr">
        <is>
          <t>P/E (x)</t>
        </is>
      </c>
      <c r="D5" s="15" t="inlineStr">
        <is>
          <t>P/B (x)</t>
        </is>
      </c>
      <c r="E5" s="15" t="inlineStr">
        <is>
          <t>ROE %</t>
        </is>
      </c>
      <c r="F5" s="15" t="inlineStr">
        <is>
          <t>Div yld %</t>
        </is>
      </c>
    </row>
    <row r="6">
      <c r="A6" s="5" t="inlineStr">
        <is>
          <t>Siemens India</t>
        </is>
      </c>
      <c r="B6" s="59" t="n">
        <v>42</v>
      </c>
      <c r="C6" s="59" t="n">
        <v>50</v>
      </c>
      <c r="D6" s="59" t="n">
        <v>9</v>
      </c>
      <c r="E6" s="60" t="n">
        <v>16</v>
      </c>
      <c r="F6" s="60" t="n">
        <v>0.4</v>
      </c>
    </row>
    <row r="7">
      <c r="A7" s="5" t="inlineStr">
        <is>
          <t>ABB India</t>
        </is>
      </c>
      <c r="B7" s="59" t="n">
        <v>48</v>
      </c>
      <c r="C7" s="59" t="n">
        <v>52</v>
      </c>
      <c r="D7" s="59" t="n">
        <v>14</v>
      </c>
      <c r="E7" s="60" t="n">
        <v>20</v>
      </c>
      <c r="F7" s="60" t="n">
        <v>0.4</v>
      </c>
    </row>
    <row r="8">
      <c r="A8" s="5" t="inlineStr">
        <is>
          <t>CG Power &amp; Ind.</t>
        </is>
      </c>
      <c r="B8" s="59" t="n">
        <v>45</v>
      </c>
      <c r="C8" s="59" t="n">
        <v>60</v>
      </c>
      <c r="D8" s="59" t="n">
        <v>18</v>
      </c>
      <c r="E8" s="60" t="n">
        <v>22</v>
      </c>
      <c r="F8" s="60" t="n">
        <v>0.2</v>
      </c>
    </row>
    <row r="9">
      <c r="A9" s="5" t="inlineStr">
        <is>
          <t>Thermax</t>
        </is>
      </c>
      <c r="B9" s="59" t="n">
        <v>34</v>
      </c>
      <c r="C9" s="59" t="n">
        <v>48</v>
      </c>
      <c r="D9" s="59" t="n">
        <v>8</v>
      </c>
      <c r="E9" s="60" t="n">
        <v>14</v>
      </c>
      <c r="F9" s="60" t="n">
        <v>0.3</v>
      </c>
    </row>
    <row r="10">
      <c r="A10" s="5" t="inlineStr">
        <is>
          <t>Triveni Turbine</t>
        </is>
      </c>
      <c r="B10" s="59" t="n">
        <v>38</v>
      </c>
      <c r="C10" s="59" t="n">
        <v>50</v>
      </c>
      <c r="D10" s="59" t="n">
        <v>16</v>
      </c>
      <c r="E10" s="60" t="n">
        <v>30</v>
      </c>
      <c r="F10" s="60" t="n">
        <v>0.5</v>
      </c>
    </row>
    <row r="11">
      <c r="A11" s="5" t="inlineStr">
        <is>
          <t>Larsen &amp; Toubro</t>
        </is>
      </c>
      <c r="B11" s="59" t="n">
        <v>20</v>
      </c>
      <c r="C11" s="59" t="n">
        <v>33</v>
      </c>
      <c r="D11" s="59" t="n">
        <v>5</v>
      </c>
      <c r="E11" s="60" t="n">
        <v>15</v>
      </c>
      <c r="F11" s="60" t="n">
        <v>0.7</v>
      </c>
    </row>
    <row r="12">
      <c r="A12" s="5" t="inlineStr">
        <is>
          <t>Kalpataru Projects</t>
        </is>
      </c>
      <c r="B12" s="59" t="n">
        <v>11</v>
      </c>
      <c r="C12" s="59" t="n">
        <v>20</v>
      </c>
      <c r="D12" s="59" t="n">
        <v>3</v>
      </c>
      <c r="E12" s="60" t="n">
        <v>11</v>
      </c>
      <c r="F12" s="60" t="n">
        <v>0.4</v>
      </c>
    </row>
    <row r="13">
      <c r="A13" s="61" t="inlineStr">
        <is>
          <t>Peer median</t>
        </is>
      </c>
      <c r="B13" s="62">
        <f>MEDIAN(B6:B12)</f>
        <v/>
      </c>
      <c r="C13" s="62">
        <f>MEDIAN(C6:C12)</f>
        <v/>
      </c>
      <c r="D13" s="62">
        <f>MEDIAN(D6:D12)</f>
        <v/>
      </c>
      <c r="E13" s="63">
        <f>MEDIAN(E6:E12)</f>
        <v/>
      </c>
      <c r="F13" s="63">
        <f>MEDIAN(F6:F12)</f>
        <v/>
      </c>
      <c r="G13" s="13" t="inlineStr">
        <is>
          <t>BHEL ROE ~2-8% -&gt; discount to peers</t>
        </is>
      </c>
    </row>
    <row r="15">
      <c r="A15" s="11" t="inlineStr">
        <is>
          <t>B.  BHEL target multiples (quality-discounted)</t>
        </is>
      </c>
      <c r="B15" s="1" t="n"/>
      <c r="C15" s="1" t="n"/>
      <c r="D15" s="1" t="n"/>
      <c r="E15" s="1" t="n"/>
      <c r="F15" s="1" t="n"/>
    </row>
    <row r="16">
      <c r="A16" s="15" t="inlineStr">
        <is>
          <t>Multiple</t>
        </is>
      </c>
      <c r="B16" s="15" t="inlineStr">
        <is>
          <t>Bear</t>
        </is>
      </c>
      <c r="C16" s="15" t="inlineStr">
        <is>
          <t>Base</t>
        </is>
      </c>
      <c r="D16" s="15" t="inlineStr">
        <is>
          <t>Bull</t>
        </is>
      </c>
    </row>
    <row r="17">
      <c r="A17" s="5" t="inlineStr">
        <is>
          <t>EV/EBITDA (x)  [L&amp;T ~20x]</t>
        </is>
      </c>
      <c r="B17" s="59" t="n">
        <v>15</v>
      </c>
      <c r="C17" s="59" t="n">
        <v>20</v>
      </c>
      <c r="D17" s="59" t="n">
        <v>28</v>
      </c>
    </row>
    <row r="18">
      <c r="A18" s="5" t="inlineStr">
        <is>
          <t>P/E (x)  [L&amp;T ~33x]</t>
        </is>
      </c>
      <c r="B18" s="59" t="n">
        <v>25</v>
      </c>
      <c r="C18" s="59" t="n">
        <v>35</v>
      </c>
      <c r="D18" s="59" t="n">
        <v>45</v>
      </c>
    </row>
    <row r="20">
      <c r="A20" s="11" t="inlineStr">
        <is>
          <t>C.  Implied value for BHEL (FY2027E)</t>
        </is>
      </c>
      <c r="B20" s="1" t="n"/>
      <c r="C20" s="1" t="n"/>
      <c r="D20" s="1" t="n"/>
      <c r="E20" s="1" t="n"/>
      <c r="F20" s="1" t="n"/>
    </row>
    <row r="21">
      <c r="A21" s="5" t="inlineStr">
        <is>
          <t>BHEL FY2027E EBITDA</t>
        </is>
      </c>
      <c r="C21" s="55">
        <f>'Forecast Financial Statements'!I12</f>
        <v/>
      </c>
    </row>
    <row r="22">
      <c r="A22" s="5" t="inlineStr">
        <is>
          <t>BHEL FY2027E EPS (INR)</t>
        </is>
      </c>
      <c r="C22" s="58">
        <f>'Forecast Financial Statements'!I21</f>
        <v/>
      </c>
    </row>
    <row r="23">
      <c r="A23" s="5" t="inlineStr">
        <is>
          <t>Net cash (FY26)</t>
        </is>
      </c>
      <c r="C23" s="55">
        <f>'Forecast Financial Statements'!H58-'Forecast Financial Statements'!H63</f>
        <v/>
      </c>
    </row>
    <row r="25">
      <c r="A25" s="15" t="inlineStr">
        <is>
          <t>Implied price (INR)</t>
        </is>
      </c>
      <c r="B25" s="15" t="inlineStr">
        <is>
          <t>Bear</t>
        </is>
      </c>
      <c r="C25" s="15" t="inlineStr">
        <is>
          <t>Base</t>
        </is>
      </c>
      <c r="D25" s="15" t="inlineStr">
        <is>
          <t>Bull</t>
        </is>
      </c>
    </row>
    <row r="26">
      <c r="A26" s="5" t="inlineStr">
        <is>
          <t>EV/EBITDA method</t>
        </is>
      </c>
      <c r="B26" s="64">
        <f>(B17*$C$21+$C$23)/'Assumptions'!C66</f>
        <v/>
      </c>
      <c r="C26" s="64">
        <f>(C17*$C$21+$C$23)/'Assumptions'!C66</f>
        <v/>
      </c>
      <c r="D26" s="64">
        <f>(D17*$C$21+$C$23)/'Assumptions'!C66</f>
        <v/>
      </c>
    </row>
    <row r="27">
      <c r="A27" s="5" t="inlineStr">
        <is>
          <t>P/E method</t>
        </is>
      </c>
      <c r="B27" s="64">
        <f>B18*$C$22</f>
        <v/>
      </c>
      <c r="C27" s="64">
        <f>C18*$C$22</f>
        <v/>
      </c>
      <c r="D27" s="64">
        <f>D18*$C$22</f>
        <v/>
      </c>
    </row>
    <row r="28">
      <c r="A28" s="4" t="inlineStr">
        <is>
          <t>Relative fair value (avg of methods)</t>
        </is>
      </c>
      <c r="B28" s="57">
        <f>AVERAGE(B26,B27)</f>
        <v/>
      </c>
      <c r="C28" s="57">
        <f>AVERAGE(C26,C27)</f>
        <v/>
      </c>
      <c r="D28" s="57">
        <f>AVERAGE(D26,D27)</f>
        <v/>
      </c>
    </row>
    <row r="30">
      <c r="A30" s="7" t="inlineStr">
        <is>
          <t>Memo: sector-parity (peer median EV/EBITDA, no discount)</t>
        </is>
      </c>
      <c r="C30" s="64">
        <f>(C13*$C$21+$C$23)/'Assumptions'!C66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4">
        <f>(SUMPRODUCT('DCF Valuation'!$I$12:$O$12,(1+$B6)^(-'DCF Valuation'!$I$13:$O$13))+('DCF Valuation'!$O$12*(1+C$5)/($B6-C$5))*(1+$B6)^(-7)+'DCF Valuation'!$C$24)/'DCF Valuation'!$C$26</f>
        <v/>
      </c>
      <c r="D6" s="64">
        <f>(SUMPRODUCT('DCF Valuation'!$I$12:$O$12,(1+$B6)^(-'DCF Valuation'!$I$13:$O$13))+('DCF Valuation'!$O$12*(1+D$5)/($B6-D$5))*(1+$B6)^(-7)+'DCF Valuation'!$C$24)/'DCF Valuation'!$C$26</f>
        <v/>
      </c>
      <c r="E6" s="64">
        <f>(SUMPRODUCT('DCF Valuation'!$I$12:$O$12,(1+$B6)^(-'DCF Valuation'!$I$13:$O$13))+('DCF Valuation'!$O$12*(1+E$5)/($B6-E$5))*(1+$B6)^(-7)+'DCF Valuation'!$C$24)/'DCF Valuation'!$C$26</f>
        <v/>
      </c>
      <c r="F6" s="64">
        <f>(SUMPRODUCT('DCF Valuation'!$I$12:$O$12,(1+$B6)^(-'DCF Valuation'!$I$13:$O$13))+('DCF Valuation'!$O$12*(1+F$5)/($B6-F$5))*(1+$B6)^(-7)+'DCF Valuation'!$C$24)/'DCF Valuation'!$C$26</f>
        <v/>
      </c>
      <c r="G6" s="64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4">
        <f>(SUMPRODUCT('DCF Valuation'!$I$12:$O$12,(1+$B7)^(-'DCF Valuation'!$I$13:$O$13))+('DCF Valuation'!$O$12*(1+C$5)/($B7-C$5))*(1+$B7)^(-7)+'DCF Valuation'!$C$24)/'DCF Valuation'!$C$26</f>
        <v/>
      </c>
      <c r="D7" s="64">
        <f>(SUMPRODUCT('DCF Valuation'!$I$12:$O$12,(1+$B7)^(-'DCF Valuation'!$I$13:$O$13))+('DCF Valuation'!$O$12*(1+D$5)/($B7-D$5))*(1+$B7)^(-7)+'DCF Valuation'!$C$24)/'DCF Valuation'!$C$26</f>
        <v/>
      </c>
      <c r="E7" s="64">
        <f>(SUMPRODUCT('DCF Valuation'!$I$12:$O$12,(1+$B7)^(-'DCF Valuation'!$I$13:$O$13))+('DCF Valuation'!$O$12*(1+E$5)/($B7-E$5))*(1+$B7)^(-7)+'DCF Valuation'!$C$24)/'DCF Valuation'!$C$26</f>
        <v/>
      </c>
      <c r="F7" s="64">
        <f>(SUMPRODUCT('DCF Valuation'!$I$12:$O$12,(1+$B7)^(-'DCF Valuation'!$I$13:$O$13))+('DCF Valuation'!$O$12*(1+F$5)/($B7-F$5))*(1+$B7)^(-7)+'DCF Valuation'!$C$24)/'DCF Valuation'!$C$26</f>
        <v/>
      </c>
      <c r="G7" s="64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4">
        <f>(SUMPRODUCT('DCF Valuation'!$I$12:$O$12,(1+$B8)^(-'DCF Valuation'!$I$13:$O$13))+('DCF Valuation'!$O$12*(1+C$5)/($B8-C$5))*(1+$B8)^(-7)+'DCF Valuation'!$C$24)/'DCF Valuation'!$C$26</f>
        <v/>
      </c>
      <c r="D8" s="64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4">
        <f>(SUMPRODUCT('DCF Valuation'!$I$12:$O$12,(1+$B8)^(-'DCF Valuation'!$I$13:$O$13))+('DCF Valuation'!$O$12*(1+F$5)/($B8-F$5))*(1+$B8)^(-7)+'DCF Valuation'!$C$24)/'DCF Valuation'!$C$26</f>
        <v/>
      </c>
      <c r="G8" s="64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4">
        <f>(SUMPRODUCT('DCF Valuation'!$I$12:$O$12,(1+$B9)^(-'DCF Valuation'!$I$13:$O$13))+('DCF Valuation'!$O$12*(1+C$5)/($B9-C$5))*(1+$B9)^(-7)+'DCF Valuation'!$C$24)/'DCF Valuation'!$C$26</f>
        <v/>
      </c>
      <c r="D9" s="64">
        <f>(SUMPRODUCT('DCF Valuation'!$I$12:$O$12,(1+$B9)^(-'DCF Valuation'!$I$13:$O$13))+('DCF Valuation'!$O$12*(1+D$5)/($B9-D$5))*(1+$B9)^(-7)+'DCF Valuation'!$C$24)/'DCF Valuation'!$C$26</f>
        <v/>
      </c>
      <c r="E9" s="64">
        <f>(SUMPRODUCT('DCF Valuation'!$I$12:$O$12,(1+$B9)^(-'DCF Valuation'!$I$13:$O$13))+('DCF Valuation'!$O$12*(1+E$5)/($B9-E$5))*(1+$B9)^(-7)+'DCF Valuation'!$C$24)/'DCF Valuation'!$C$26</f>
        <v/>
      </c>
      <c r="F9" s="64">
        <f>(SUMPRODUCT('DCF Valuation'!$I$12:$O$12,(1+$B9)^(-'DCF Valuation'!$I$13:$O$13))+('DCF Valuation'!$O$12*(1+F$5)/($B9-F$5))*(1+$B9)^(-7)+'DCF Valuation'!$C$24)/'DCF Valuation'!$C$26</f>
        <v/>
      </c>
      <c r="G9" s="64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4">
        <f>(SUMPRODUCT('DCF Valuation'!$I$12:$O$12,(1+$B10)^(-'DCF Valuation'!$I$13:$O$13))+('DCF Valuation'!$O$12*(1+C$5)/($B10-C$5))*(1+$B10)^(-7)+'DCF Valuation'!$C$24)/'DCF Valuation'!$C$26</f>
        <v/>
      </c>
      <c r="D10" s="64">
        <f>(SUMPRODUCT('DCF Valuation'!$I$12:$O$12,(1+$B10)^(-'DCF Valuation'!$I$13:$O$13))+('DCF Valuation'!$O$12*(1+D$5)/($B10-D$5))*(1+$B10)^(-7)+'DCF Valuation'!$C$24)/'DCF Valuation'!$C$26</f>
        <v/>
      </c>
      <c r="E10" s="64">
        <f>(SUMPRODUCT('DCF Valuation'!$I$12:$O$12,(1+$B10)^(-'DCF Valuation'!$I$13:$O$13))+('DCF Valuation'!$O$12*(1+E$5)/($B10-E$5))*(1+$B10)^(-7)+'DCF Valuation'!$C$24)/'DCF Valuation'!$C$26</f>
        <v/>
      </c>
      <c r="F10" s="64">
        <f>(SUMPRODUCT('DCF Valuation'!$I$12:$O$12,(1+$B10)^(-'DCF Valuation'!$I$13:$O$13))+('DCF Valuation'!$O$12*(1+F$5)/($B10-F$5))*(1+$B10)^(-7)+'DCF Valuation'!$C$24)/'DCF Valuation'!$C$26</f>
        <v/>
      </c>
      <c r="G10" s="64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6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O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PRICE TARGETS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Blended valuation &amp; scenario price targets. Fundamental fair value = 50% DCF + 50% quality-adjusted relative. Horizon targets apply scenario EV/EBITDA multiples to forward EBITDA (3M/6M on FY2027E, 12M rolled to FY2028E) plus net cash, per share. Multiples (gold) are editable. Model output, not investment advice.</t>
        </is>
      </c>
    </row>
    <row r="4">
      <c r="A4" s="11" t="inlineStr">
        <is>
          <t>A.  Inputs (live links)</t>
        </is>
      </c>
      <c r="B4" s="1" t="n"/>
      <c r="C4" s="1" t="n"/>
      <c r="D4" s="1" t="n"/>
    </row>
    <row r="5">
      <c r="A5" s="5" t="inlineStr">
        <is>
          <t>FY2027E EBITDA (INR Cr)</t>
        </is>
      </c>
      <c r="C5" s="55">
        <f>'Forecast Financial Statements'!I12</f>
        <v/>
      </c>
    </row>
    <row r="6">
      <c r="A6" s="5" t="inlineStr">
        <is>
          <t>FY2028E EBITDA (INR Cr)</t>
        </is>
      </c>
      <c r="C6" s="55">
        <f>'Forecast Financial Statements'!J12</f>
        <v/>
      </c>
    </row>
    <row r="7">
      <c r="A7" s="5" t="inlineStr">
        <is>
          <t>Net cash - FY26 (INR Cr)</t>
        </is>
      </c>
      <c r="C7" s="55">
        <f>'Forecast Financial Statements'!H58-'Forecast Financial Statements'!H63</f>
        <v/>
      </c>
    </row>
    <row r="8">
      <c r="A8" s="5" t="inlineStr">
        <is>
          <t>Shares outstanding (crore)</t>
        </is>
      </c>
      <c r="C8" s="56">
        <f>'Assumptions'!C66</f>
        <v/>
      </c>
    </row>
    <row r="9">
      <c r="A9" s="5" t="inlineStr">
        <is>
          <t>Current market price (INR)</t>
        </is>
      </c>
      <c r="C9" s="58">
        <f>'Assumptions'!C67</f>
        <v/>
      </c>
    </row>
    <row r="10">
      <c r="A10" s="5" t="inlineStr">
        <is>
          <t>DCF value/share - base (INR)</t>
        </is>
      </c>
      <c r="C10" s="58">
        <f>'DCF Valuation'!C27</f>
        <v/>
      </c>
    </row>
    <row r="11">
      <c r="A11" s="5" t="inlineStr">
        <is>
          <t>Relative fair value - Bear/Base/Bull (INR)</t>
        </is>
      </c>
      <c r="B11" s="58">
        <f>'Relative Valuation'!B28</f>
        <v/>
      </c>
      <c r="C11" s="58">
        <f>'Relative Valuation'!C28</f>
        <v/>
      </c>
      <c r="D11" s="58">
        <f>'Relative Valuation'!D28</f>
        <v/>
      </c>
    </row>
    <row r="13">
      <c r="A13" s="11" t="inlineStr">
        <is>
          <t>B.  Fundamental fair value (12-month)</t>
        </is>
      </c>
      <c r="B13" s="1" t="n"/>
      <c r="C13" s="1" t="n"/>
      <c r="D13" s="1" t="n"/>
    </row>
    <row r="14">
      <c r="A14" s="15" t="inlineStr"/>
      <c r="B14" s="15" t="inlineStr">
        <is>
          <t>Bear</t>
        </is>
      </c>
      <c r="C14" s="15" t="inlineStr">
        <is>
          <t>Base</t>
        </is>
      </c>
      <c r="D14" s="15" t="inlineStr">
        <is>
          <t>Bull</t>
        </is>
      </c>
    </row>
    <row r="15">
      <c r="A15" s="5" t="inlineStr">
        <is>
          <t>DCF (INR/share)</t>
        </is>
      </c>
      <c r="B15" s="64">
        <f>$C$10*0.81</f>
        <v/>
      </c>
      <c r="C15" s="64">
        <f>$C$10</f>
        <v/>
      </c>
      <c r="D15" s="64">
        <f>$C$10*1.20</f>
        <v/>
      </c>
    </row>
    <row r="16">
      <c r="A16" s="5" t="inlineStr">
        <is>
          <t>Relative (INR/share)</t>
        </is>
      </c>
      <c r="B16" s="64">
        <f>B11</f>
        <v/>
      </c>
      <c r="C16" s="64">
        <f>C11</f>
        <v/>
      </c>
      <c r="D16" s="64">
        <f>D11</f>
        <v/>
      </c>
    </row>
    <row r="17">
      <c r="A17" s="4" t="inlineStr">
        <is>
          <t>Blended fair value (50/50)</t>
        </is>
      </c>
      <c r="B17" s="57">
        <f>AVERAGE(B15,B16)</f>
        <v/>
      </c>
      <c r="C17" s="57">
        <f>AVERAGE(C15,C16)</f>
        <v/>
      </c>
      <c r="D17" s="57">
        <f>AVERAGE(D15,D16)</f>
        <v/>
      </c>
    </row>
    <row r="18">
      <c r="A18" s="7" t="inlineStr">
        <is>
          <t xml:space="preserve">  Upside/(downside) vs current price</t>
        </is>
      </c>
      <c r="B18" s="22">
        <f>B17/$C$9-1</f>
        <v/>
      </c>
      <c r="C18" s="22">
        <f>C17/$C$9-1</f>
        <v/>
      </c>
      <c r="D18" s="22">
        <f>D17/$C$9-1</f>
        <v/>
      </c>
    </row>
    <row r="20">
      <c r="A20" s="11" t="inlineStr">
        <is>
          <t>C.  Scenario EV/EBITDA multiple (x) - editable</t>
        </is>
      </c>
      <c r="B20" s="1" t="n"/>
      <c r="C20" s="1" t="n"/>
      <c r="D20" s="1" t="n"/>
    </row>
    <row r="21">
      <c r="A21" s="15" t="inlineStr">
        <is>
          <t>Scenario</t>
        </is>
      </c>
      <c r="B21" s="15" t="inlineStr">
        <is>
          <t>3-month</t>
        </is>
      </c>
      <c r="C21" s="15" t="inlineStr">
        <is>
          <t>6-month</t>
        </is>
      </c>
      <c r="D21" s="15" t="inlineStr">
        <is>
          <t>12-month</t>
        </is>
      </c>
    </row>
    <row r="22">
      <c r="A22" s="5" t="inlineStr">
        <is>
          <t>Bull</t>
        </is>
      </c>
      <c r="B22" s="59" t="n">
        <v>45</v>
      </c>
      <c r="C22" s="59" t="n">
        <v>46</v>
      </c>
      <c r="D22" s="59" t="n">
        <v>44</v>
      </c>
    </row>
    <row r="23">
      <c r="A23" s="5" t="inlineStr">
        <is>
          <t>Base</t>
        </is>
      </c>
      <c r="B23" s="59" t="n">
        <v>43</v>
      </c>
      <c r="C23" s="59" t="n">
        <v>40</v>
      </c>
      <c r="D23" s="59" t="n">
        <v>36</v>
      </c>
    </row>
    <row r="24">
      <c r="A24" s="5" t="inlineStr">
        <is>
          <t>Bear</t>
        </is>
      </c>
      <c r="B24" s="59" t="n">
        <v>38</v>
      </c>
      <c r="C24" s="59" t="n">
        <v>32</v>
      </c>
      <c r="D24" s="59" t="n">
        <v>26</v>
      </c>
    </row>
    <row r="25">
      <c r="A25" s="7" t="inlineStr">
        <is>
          <t>EBITDA basis</t>
        </is>
      </c>
      <c r="B25" s="67" t="inlineStr">
        <is>
          <t>FY2027E</t>
        </is>
      </c>
      <c r="C25" s="67" t="inlineStr">
        <is>
          <t>FY2027E</t>
        </is>
      </c>
      <c r="D25" s="67" t="inlineStr">
        <is>
          <t>FY2028E</t>
        </is>
      </c>
    </row>
    <row r="27">
      <c r="A27" s="11" t="inlineStr">
        <is>
          <t>D.  Scenario price target (INR/share)</t>
        </is>
      </c>
      <c r="B27" s="1" t="n"/>
      <c r="C27" s="1" t="n"/>
      <c r="D27" s="1" t="n"/>
    </row>
    <row r="28">
      <c r="A28" s="15" t="inlineStr">
        <is>
          <t>Scenario</t>
        </is>
      </c>
      <c r="B28" s="15" t="inlineStr">
        <is>
          <t>3-month</t>
        </is>
      </c>
      <c r="C28" s="15" t="inlineStr">
        <is>
          <t>6-month</t>
        </is>
      </c>
      <c r="D28" s="15" t="inlineStr">
        <is>
          <t>12-month</t>
        </is>
      </c>
    </row>
    <row r="29">
      <c r="A29" s="5" t="inlineStr">
        <is>
          <t>Bull</t>
        </is>
      </c>
      <c r="B29" s="64">
        <f>(B22*$C$5+$C$7)/$C$8</f>
        <v/>
      </c>
      <c r="C29" s="64">
        <f>(C22*$C$5+$C$7)/$C$8</f>
        <v/>
      </c>
      <c r="D29" s="64">
        <f>(D22*$C$6+$C$7)/$C$8</f>
        <v/>
      </c>
    </row>
    <row r="30">
      <c r="A30" s="4" t="inlineStr">
        <is>
          <t>Base</t>
        </is>
      </c>
      <c r="B30" s="57">
        <f>(B23*$C$5+$C$7)/$C$8</f>
        <v/>
      </c>
      <c r="C30" s="57">
        <f>(C23*$C$5+$C$7)/$C$8</f>
        <v/>
      </c>
      <c r="D30" s="57">
        <f>(D23*$C$6+$C$7)/$C$8</f>
        <v/>
      </c>
    </row>
    <row r="31">
      <c r="A31" s="5" t="inlineStr">
        <is>
          <t>Bear</t>
        </is>
      </c>
      <c r="B31" s="64">
        <f>(B24*$C$5+$C$7)/$C$8</f>
        <v/>
      </c>
      <c r="C31" s="64">
        <f>(C24*$C$5+$C$7)/$C$8</f>
        <v/>
      </c>
      <c r="D31" s="64">
        <f>(D24*$C$6+$C$7)/$C$8</f>
        <v/>
      </c>
    </row>
    <row r="33">
      <c r="A33" s="11" t="inlineStr">
        <is>
          <t>E.  Upside/(downside) vs current price</t>
        </is>
      </c>
      <c r="B33" s="1" t="n"/>
      <c r="C33" s="1" t="n"/>
      <c r="D33" s="1" t="n"/>
    </row>
    <row r="34">
      <c r="A34" s="15" t="inlineStr">
        <is>
          <t>Scenario</t>
        </is>
      </c>
      <c r="B34" s="15" t="inlineStr">
        <is>
          <t>3-month</t>
        </is>
      </c>
      <c r="C34" s="15" t="inlineStr">
        <is>
          <t>6-month</t>
        </is>
      </c>
      <c r="D34" s="15" t="inlineStr">
        <is>
          <t>12-month</t>
        </is>
      </c>
    </row>
    <row r="35">
      <c r="A35" s="5" t="inlineStr">
        <is>
          <t>Bull</t>
        </is>
      </c>
      <c r="B35" s="22">
        <f>B29/$C$9-1</f>
        <v/>
      </c>
      <c r="C35" s="22">
        <f>C29/$C$9-1</f>
        <v/>
      </c>
      <c r="D35" s="22">
        <f>D29/$C$9-1</f>
        <v/>
      </c>
    </row>
    <row r="36">
      <c r="A36" s="5" t="inlineStr">
        <is>
          <t>Base</t>
        </is>
      </c>
      <c r="B36" s="22">
        <f>B30/$C$9-1</f>
        <v/>
      </c>
      <c r="C36" s="22">
        <f>C30/$C$9-1</f>
        <v/>
      </c>
      <c r="D36" s="22">
        <f>D30/$C$9-1</f>
        <v/>
      </c>
    </row>
    <row r="37">
      <c r="A37" s="5" t="inlineStr">
        <is>
          <t>Bear</t>
        </is>
      </c>
      <c r="B37" s="22">
        <f>B31/$C$9-1</f>
        <v/>
      </c>
      <c r="C37" s="22">
        <f>C31/$C$9-1</f>
        <v/>
      </c>
      <c r="D37" s="22">
        <f>D31/$C$9-1</f>
        <v/>
      </c>
    </row>
    <row r="39">
      <c r="A39" s="13" t="inlineStr">
        <is>
          <t>Verdict: fundamental fair value ~Rs110-190 (base ~Rs145) implies BHEL is expensive vs the market price; the price is sustained by sector-premium multiples. Bull requires strong growth to materialise AND premium multiples to persist; Bear reflects de-rating toward fundamentals.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3864"/>
    <outlinePr summaryBelow="1" summaryRight="1"/>
    <pageSetUpPr/>
  </sheetPr>
  <dimension ref="A1:M5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value/share - base</t>
        </is>
      </c>
      <c r="B3" s="24" t="inlineStr">
        <is>
          <t>Blended fair value - base</t>
        </is>
      </c>
      <c r="D3" s="24" t="inlineStr">
        <is>
          <t>Current price (INR)</t>
        </is>
      </c>
      <c r="E3" s="24" t="inlineStr">
        <is>
          <t>12M target - Base</t>
        </is>
      </c>
      <c r="G3" s="24" t="inlineStr">
        <is>
          <t>12M target - Bull</t>
        </is>
      </c>
      <c r="H3" s="24" t="inlineStr">
        <is>
          <t>12M target - Bear</t>
        </is>
      </c>
    </row>
    <row r="4">
      <c r="A4" s="68">
        <f>'DCF Valuation'!C27</f>
        <v/>
      </c>
      <c r="B4" s="68">
        <f>'Price Targets'!C17</f>
        <v/>
      </c>
      <c r="D4" s="68">
        <f>'Price Targets'!C9</f>
        <v/>
      </c>
      <c r="E4" s="68">
        <f>'Price Targets'!D30</f>
        <v/>
      </c>
      <c r="G4" s="68">
        <f>'Price Targets'!D29</f>
        <v/>
      </c>
      <c r="H4" s="68">
        <f>'Price Targets'!D31</f>
        <v/>
      </c>
    </row>
    <row r="6">
      <c r="A6" s="24" t="inlineStr">
        <is>
          <t>3M target - Base</t>
        </is>
      </c>
      <c r="B6" s="24" t="inlineStr">
        <is>
          <t>6M target - Base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WACC</t>
        </is>
      </c>
    </row>
    <row r="7">
      <c r="A7" s="68">
        <f>'Price Targets'!B30</f>
        <v/>
      </c>
      <c r="B7" s="68">
        <f>'Price Targets'!C30</f>
        <v/>
      </c>
      <c r="D7" s="69">
        <f>'Forecast Financial Statements'!I12/'Forecast Financial Statements'!I5</f>
        <v/>
      </c>
      <c r="E7" s="69">
        <f>'Forecast Financial Statements'!O12/'Forecast Financial Statements'!O5</f>
        <v/>
      </c>
      <c r="G7" s="70">
        <f>'Revenue Build-up'!H10</f>
        <v/>
      </c>
      <c r="H7" s="69">
        <f>'Assumptions'!C65</f>
        <v/>
      </c>
    </row>
    <row r="9">
      <c r="A9" s="6" t="inlineStr">
        <is>
          <t>DCF bridge (INR Cr)</t>
        </is>
      </c>
    </row>
    <row r="10">
      <c r="A10" s="71" t="inlineStr">
        <is>
          <t>PV of explicit FCFF</t>
        </is>
      </c>
      <c r="B10" s="55">
        <f>'DCF Valuation'!C18</f>
        <v/>
      </c>
    </row>
    <row r="11">
      <c r="A11" s="71" t="inlineStr">
        <is>
          <t>PV of terminal value</t>
        </is>
      </c>
      <c r="B11" s="55">
        <f>'DCF Valuation'!C22</f>
        <v/>
      </c>
    </row>
    <row r="12">
      <c r="A12" s="71" t="inlineStr">
        <is>
          <t>Enterprise value</t>
        </is>
      </c>
      <c r="B12" s="55">
        <f>'DCF Valuation'!C23</f>
        <v/>
      </c>
    </row>
    <row r="13">
      <c r="A13" s="71" t="inlineStr">
        <is>
          <t>Less: net debt</t>
        </is>
      </c>
      <c r="B13" s="55">
        <f>'DCF Valuation'!C24</f>
        <v/>
      </c>
    </row>
    <row r="14">
      <c r="A14" s="71" t="inlineStr">
        <is>
          <t>Equity value</t>
        </is>
      </c>
      <c r="B14" s="55">
        <f>'DCF Valuation'!C25</f>
        <v/>
      </c>
    </row>
    <row r="49">
      <c r="A49" s="6" t="inlineStr">
        <is>
          <t>Valuation football field (INR/share)  -  bars = value range by method; compare to current price</t>
        </is>
      </c>
    </row>
    <row r="50">
      <c r="J50" s="4" t="inlineStr">
        <is>
          <t>Method</t>
        </is>
      </c>
      <c r="K50" s="4" t="inlineStr">
        <is>
          <t>Low</t>
        </is>
      </c>
      <c r="L50" s="4" t="inlineStr">
        <is>
          <t>Range</t>
        </is>
      </c>
      <c r="M50" s="4" t="inlineStr">
        <is>
          <t>High</t>
        </is>
      </c>
    </row>
    <row r="51">
      <c r="J51" s="5" t="inlineStr">
        <is>
          <t>DCF (bear-bull)</t>
        </is>
      </c>
      <c r="K51" s="49">
        <f>'Price Targets'!B15</f>
        <v/>
      </c>
      <c r="L51" s="35">
        <f>M51-K51</f>
        <v/>
      </c>
      <c r="M51" s="49">
        <f>'Price Targets'!D15</f>
        <v/>
      </c>
    </row>
    <row r="52">
      <c r="J52" s="5" t="inlineStr">
        <is>
          <t>Relative (bear-bull)</t>
        </is>
      </c>
      <c r="K52" s="49">
        <f>'Price Targets'!B16</f>
        <v/>
      </c>
      <c r="L52" s="35">
        <f>M52-K52</f>
        <v/>
      </c>
      <c r="M52" s="49">
        <f>'Price Targets'!D16</f>
        <v/>
      </c>
    </row>
    <row r="53">
      <c r="J53" s="5" t="inlineStr">
        <is>
          <t>Blended fair value</t>
        </is>
      </c>
      <c r="K53" s="49">
        <f>'Price Targets'!B17</f>
        <v/>
      </c>
      <c r="L53" s="35">
        <f>M53-K53</f>
        <v/>
      </c>
      <c r="M53" s="49">
        <f>'Price Targets'!D17</f>
        <v/>
      </c>
    </row>
    <row r="54">
      <c r="J54" s="5" t="inlineStr">
        <is>
          <t>12M target (bear-bull)</t>
        </is>
      </c>
      <c r="K54" s="49">
        <f>'Price Targets'!D31</f>
        <v/>
      </c>
      <c r="L54" s="35">
        <f>M54-K54</f>
        <v/>
      </c>
      <c r="M54" s="49">
        <f>'Price Targets'!D29</f>
        <v/>
      </c>
    </row>
    <row r="55">
      <c r="J55" s="5" t="inlineStr">
        <is>
          <t>Current price</t>
        </is>
      </c>
      <c r="K55" s="49" t="n">
        <v>0</v>
      </c>
      <c r="L55" s="35">
        <f>M55-K55</f>
        <v/>
      </c>
      <c r="M55" s="49">
        <f>'Price Targets'!C9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2">
        <f>IF(ABS('Forecast Financial Statements'!B61-'Forecast Financial Statements'!B42)&lt;0.5,"OK","REVIEW")</f>
        <v/>
      </c>
      <c r="C5" s="72">
        <f>IF(ABS('Forecast Financial Statements'!C61-'Forecast Financial Statements'!C42)&lt;0.5,"OK","REVIEW")</f>
        <v/>
      </c>
      <c r="D5" s="72">
        <f>IF(ABS('Forecast Financial Statements'!D61-'Forecast Financial Statements'!D42)&lt;0.5,"OK","REVIEW")</f>
        <v/>
      </c>
      <c r="E5" s="72">
        <f>IF(ABS('Forecast Financial Statements'!E61-'Forecast Financial Statements'!E42)&lt;0.5,"OK","REVIEW")</f>
        <v/>
      </c>
      <c r="F5" s="72">
        <f>IF(ABS('Forecast Financial Statements'!F61-'Forecast Financial Statements'!F42)&lt;0.5,"OK","REVIEW")</f>
        <v/>
      </c>
      <c r="G5" s="72">
        <f>IF(ABS('Forecast Financial Statements'!G61-'Forecast Financial Statements'!G42)&lt;0.5,"OK","REVIEW")</f>
        <v/>
      </c>
      <c r="H5" s="72">
        <f>IF(ABS('Forecast Financial Statements'!H61-'Forecast Financial Statements'!H42)&lt;0.5,"OK","REVIEW")</f>
        <v/>
      </c>
      <c r="I5" s="72">
        <f>IF(ABS('Forecast Financial Statements'!I61-'Forecast Financial Statements'!I42)&lt;0.5,"OK","REVIEW")</f>
        <v/>
      </c>
      <c r="J5" s="72">
        <f>IF(ABS('Forecast Financial Statements'!J61-'Forecast Financial Statements'!J42)&lt;0.5,"OK","REVIEW")</f>
        <v/>
      </c>
      <c r="K5" s="72">
        <f>IF(ABS('Forecast Financial Statements'!K61-'Forecast Financial Statements'!K42)&lt;0.5,"OK","REVIEW")</f>
        <v/>
      </c>
      <c r="L5" s="72">
        <f>IF(ABS('Forecast Financial Statements'!L61-'Forecast Financial Statements'!L42)&lt;0.5,"OK","REVIEW")</f>
        <v/>
      </c>
      <c r="M5" s="72">
        <f>IF(ABS('Forecast Financial Statements'!M61-'Forecast Financial Statements'!M42)&lt;0.5,"OK","REVIEW")</f>
        <v/>
      </c>
      <c r="N5" s="72">
        <f>IF(ABS('Forecast Financial Statements'!N61-'Forecast Financial Statements'!N42)&lt;0.5,"OK","REVIEW")</f>
        <v/>
      </c>
      <c r="O5" s="72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2">
        <f>IF(ABS('Forecast Financial Statements'!I58-'Cash Flow Statement'!I25)&lt;0.5,"OK","REVIEW")</f>
        <v/>
      </c>
      <c r="J6" s="72">
        <f>IF(ABS('Forecast Financial Statements'!J58-'Cash Flow Statement'!J25)&lt;0.5,"OK","REVIEW")</f>
        <v/>
      </c>
      <c r="K6" s="72">
        <f>IF(ABS('Forecast Financial Statements'!K58-'Cash Flow Statement'!K25)&lt;0.5,"OK","REVIEW")</f>
        <v/>
      </c>
      <c r="L6" s="72">
        <f>IF(ABS('Forecast Financial Statements'!L58-'Cash Flow Statement'!L25)&lt;0.5,"OK","REVIEW")</f>
        <v/>
      </c>
      <c r="M6" s="72">
        <f>IF(ABS('Forecast Financial Statements'!M58-'Cash Flow Statement'!M25)&lt;0.5,"OK","REVIEW")</f>
        <v/>
      </c>
      <c r="N6" s="72">
        <f>IF(ABS('Forecast Financial Statements'!N58-'Cash Flow Statement'!N25)&lt;0.5,"OK","REVIEW")</f>
        <v/>
      </c>
      <c r="O6" s="72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2">
        <f>IF(ABS('Forecast Financial Statements'!I29-'Equity Schedule'!I10)&lt;0.5,"OK","REVIEW")</f>
        <v/>
      </c>
      <c r="J7" s="72">
        <f>IF(ABS('Forecast Financial Statements'!J29-'Equity Schedule'!J10)&lt;0.5,"OK","REVIEW")</f>
        <v/>
      </c>
      <c r="K7" s="72">
        <f>IF(ABS('Forecast Financial Statements'!K29-'Equity Schedule'!K10)&lt;0.5,"OK","REVIEW")</f>
        <v/>
      </c>
      <c r="L7" s="72">
        <f>IF(ABS('Forecast Financial Statements'!L29-'Equity Schedule'!L10)&lt;0.5,"OK","REVIEW")</f>
        <v/>
      </c>
      <c r="M7" s="72">
        <f>IF(ABS('Forecast Financial Statements'!M29-'Equity Schedule'!M10)&lt;0.5,"OK","REVIEW")</f>
        <v/>
      </c>
      <c r="N7" s="72">
        <f>IF(ABS('Forecast Financial Statements'!N29-'Equity Schedule'!N10)&lt;0.5,"OK","REVIEW")</f>
        <v/>
      </c>
      <c r="O7" s="72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2">
        <f>IF(ABS('Forecast Financial Statements'!I63-'Debt Schedule'!I9)&lt;0.5,"OK","REVIEW")</f>
        <v/>
      </c>
      <c r="J8" s="72">
        <f>IF(ABS('Forecast Financial Statements'!J63-'Debt Schedule'!J9)&lt;0.5,"OK","REVIEW")</f>
        <v/>
      </c>
      <c r="K8" s="72">
        <f>IF(ABS('Forecast Financial Statements'!K63-'Debt Schedule'!K9)&lt;0.5,"OK","REVIEW")</f>
        <v/>
      </c>
      <c r="L8" s="72">
        <f>IF(ABS('Forecast Financial Statements'!L63-'Debt Schedule'!L9)&lt;0.5,"OK","REVIEW")</f>
        <v/>
      </c>
      <c r="M8" s="72">
        <f>IF(ABS('Forecast Financial Statements'!M63-'Debt Schedule'!M9)&lt;0.5,"OK","REVIEW")</f>
        <v/>
      </c>
      <c r="N8" s="72">
        <f>IF(ABS('Forecast Financial Statements'!N63-'Debt Schedule'!N9)&lt;0.5,"OK","REVIEW")</f>
        <v/>
      </c>
      <c r="O8" s="72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2">
        <f>IF(ABS('Forecast Financial Statements'!I13-'Depreciation Schedule'!I8)&lt;0.5,"OK","REVIEW")</f>
        <v/>
      </c>
      <c r="J9" s="72">
        <f>IF(ABS('Forecast Financial Statements'!J13-'Depreciation Schedule'!J8)&lt;0.5,"OK","REVIEW")</f>
        <v/>
      </c>
      <c r="K9" s="72">
        <f>IF(ABS('Forecast Financial Statements'!K13-'Depreciation Schedule'!K8)&lt;0.5,"OK","REVIEW")</f>
        <v/>
      </c>
      <c r="L9" s="72">
        <f>IF(ABS('Forecast Financial Statements'!L13-'Depreciation Schedule'!L8)&lt;0.5,"OK","REVIEW")</f>
        <v/>
      </c>
      <c r="M9" s="72">
        <f>IF(ABS('Forecast Financial Statements'!M13-'Depreciation Schedule'!M8)&lt;0.5,"OK","REVIEW")</f>
        <v/>
      </c>
      <c r="N9" s="72">
        <f>IF(ABS('Forecast Financial Statements'!N13-'Depreciation Schedule'!N8)&lt;0.5,"OK","REVIEW")</f>
        <v/>
      </c>
      <c r="O9" s="72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2">
        <f>IF(ABS('Forecast Financial Statements'!I5-'Revenue Build-up'!I15)&lt;0.5,"OK","REVIEW")</f>
        <v/>
      </c>
      <c r="J10" s="72">
        <f>IF(ABS('Forecast Financial Statements'!J5-'Revenue Build-up'!J15)&lt;0.5,"OK","REVIEW")</f>
        <v/>
      </c>
      <c r="K10" s="72">
        <f>IF(ABS('Forecast Financial Statements'!K5-'Revenue Build-up'!K15)&lt;0.5,"OK","REVIEW")</f>
        <v/>
      </c>
      <c r="L10" s="72">
        <f>IF(ABS('Forecast Financial Statements'!L5-'Revenue Build-up'!L15)&lt;0.5,"OK","REVIEW")</f>
        <v/>
      </c>
      <c r="M10" s="72">
        <f>IF(ABS('Forecast Financial Statements'!M5-'Revenue Build-up'!M15)&lt;0.5,"OK","REVIEW")</f>
        <v/>
      </c>
      <c r="N10" s="72">
        <f>IF(ABS('Forecast Financial Statements'!N5-'Revenue Build-up'!N15)&lt;0.5,"OK","REVIEW")</f>
        <v/>
      </c>
      <c r="O10" s="72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2">
        <f>IF(ABS('Forecast Financial Statements'!I47-'Fixed Asset Schedule'!I10)&lt;0.5,"OK","REVIEW")</f>
        <v/>
      </c>
      <c r="J11" s="72">
        <f>IF(ABS('Forecast Financial Statements'!J47-'Fixed Asset Schedule'!J10)&lt;0.5,"OK","REVIEW")</f>
        <v/>
      </c>
      <c r="K11" s="72">
        <f>IF(ABS('Forecast Financial Statements'!K47-'Fixed Asset Schedule'!K10)&lt;0.5,"OK","REVIEW")</f>
        <v/>
      </c>
      <c r="L11" s="72">
        <f>IF(ABS('Forecast Financial Statements'!L47-'Fixed Asset Schedule'!L10)&lt;0.5,"OK","REVIEW")</f>
        <v/>
      </c>
      <c r="M11" s="72">
        <f>IF(ABS('Forecast Financial Statements'!M47-'Fixed Asset Schedule'!M10)&lt;0.5,"OK","REVIEW")</f>
        <v/>
      </c>
      <c r="N11" s="72">
        <f>IF(ABS('Forecast Financial Statements'!N47-'Fixed Asset Schedule'!N10)&lt;0.5,"OK","REVIEW")</f>
        <v/>
      </c>
      <c r="O11" s="72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3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3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4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2026-07-01T15:57:48Z</dcterms:created>
  <dcterms:modified xsi:type="dcterms:W3CDTF">2026-07-01T15:57:48Z</dcterms:modified>
</cp:coreProperties>
</file>