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  <numFmt numFmtId="170" formatCode="0.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  <font>
      <b val="1"/>
      <color rgb="001F3864"/>
    </font>
    <font>
      <name val="Calibri"/>
      <b val="1"/>
      <sz val="10"/>
    </font>
    <font>
      <b val="1"/>
      <color rgb="00FFFFFF"/>
      <sz val="10"/>
    </font>
    <font>
      <b val="1"/>
      <i val="1"/>
      <color rgb="001F3864"/>
      <sz val="10"/>
    </font>
    <font>
      <name val="Calibri"/>
      <color rgb="00C55A11"/>
      <sz val="10"/>
    </font>
    <font>
      <i val="1"/>
      <color rgb="00C00000"/>
      <sz val="9"/>
    </font>
    <font>
      <i val="1"/>
      <sz val="9"/>
    </font>
    <font>
      <i val="1"/>
      <color rgb="0080808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9" fillId="0" borderId="0" pivotButton="0" quotePrefix="0" xfId="0"/>
    <xf numFmtId="3" fontId="0" fillId="0" borderId="0" pivotButton="0" quotePrefix="0" xfId="0"/>
    <xf numFmtId="0" fontId="16" fillId="2" borderId="0" pivotButton="0" quotePrefix="0" xfId="0"/>
    <xf numFmtId="164" fontId="14" fillId="5" borderId="0" applyAlignment="1" pivotButton="0" quotePrefix="0" xfId="0">
      <alignment horizontal="right"/>
    </xf>
    <xf numFmtId="164" fontId="4" fillId="5" borderId="2" applyAlignment="1" pivotButton="0" quotePrefix="0" xfId="0">
      <alignment horizontal="right"/>
    </xf>
    <xf numFmtId="164" fontId="8" fillId="5" borderId="2" applyAlignment="1" pivotButton="0" quotePrefix="0" xfId="0">
      <alignment horizontal="right"/>
    </xf>
    <xf numFmtId="164" fontId="4" fillId="0" borderId="0" pivotButton="0" quotePrefix="0" xfId="0"/>
    <xf numFmtId="0" fontId="4" fillId="2" borderId="0" pivotButton="0" quotePrefix="0" xfId="0"/>
    <xf numFmtId="164" fontId="4" fillId="2" borderId="0" pivotButton="0" quotePrefix="0" xfId="0"/>
    <xf numFmtId="164" fontId="8" fillId="2" borderId="0" applyAlignment="1" pivotButton="0" quotePrefix="0" xfId="0">
      <alignment horizontal="right"/>
    </xf>
    <xf numFmtId="164" fontId="14" fillId="0" borderId="0" pivotButton="0" quotePrefix="0" xfId="0"/>
    <xf numFmtId="164" fontId="14" fillId="0" borderId="0" applyAlignment="1" pivotButton="0" quotePrefix="0" xfId="0">
      <alignment horizontal="right"/>
    </xf>
    <xf numFmtId="164" fontId="8" fillId="0" borderId="0" pivotButton="0" quotePrefix="0" xfId="0"/>
    <xf numFmtId="0" fontId="14" fillId="0" borderId="1" applyAlignment="1" pivotButton="0" quotePrefix="0" xfId="0">
      <alignment horizontal="right"/>
    </xf>
    <xf numFmtId="0" fontId="15" fillId="2" borderId="0" pivotButton="0" quotePrefix="0" xfId="0"/>
    <xf numFmtId="0" fontId="16" fillId="0" borderId="0" pivotButton="0" quotePrefix="0" xfId="0"/>
    <xf numFmtId="164" fontId="14" fillId="4" borderId="2" applyAlignment="1" pivotButton="0" quotePrefix="0" xfId="0">
      <alignment horizontal="right"/>
    </xf>
    <xf numFmtId="164" fontId="17" fillId="0" borderId="0" applyAlignment="1" pivotButton="0" quotePrefix="0" xfId="0">
      <alignment horizontal="right"/>
    </xf>
    <xf numFmtId="164" fontId="4" fillId="0" borderId="2" applyAlignment="1" pivotButton="0" quotePrefix="0" xfId="0">
      <alignment horizontal="right"/>
    </xf>
    <xf numFmtId="164" fontId="8" fillId="0" borderId="2" applyAlignment="1" pivotButton="0" quotePrefix="0" xfId="0">
      <alignment horizontal="right"/>
    </xf>
    <xf numFmtId="164" fontId="14" fillId="4" borderId="0" applyAlignment="1" pivotButton="0" quotePrefix="0" xfId="0">
      <alignment horizontal="right"/>
    </xf>
    <xf numFmtId="164" fontId="4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164" fontId="4" fillId="2" borderId="0" applyAlignment="1" pivotButton="0" quotePrefix="0" xfId="0">
      <alignment horizontal="right"/>
    </xf>
    <xf numFmtId="164" fontId="7" fillId="0" borderId="3" applyAlignment="1" pivotButton="0" quotePrefix="0" xfId="0">
      <alignment horizontal="right"/>
    </xf>
    <xf numFmtId="170" fontId="18" fillId="0" borderId="0" applyAlignment="1" pivotButton="0" quotePrefix="0" xfId="0">
      <alignment horizontal="right"/>
    </xf>
    <xf numFmtId="164" fontId="19" fillId="0" borderId="0" applyAlignment="1" pivotButton="0" quotePrefix="0" xfId="0">
      <alignment horizontal="right"/>
    </xf>
    <xf numFmtId="0" fontId="2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8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0.135</v>
      </c>
      <c r="J24" s="19" t="n">
        <v>0.128</v>
      </c>
      <c r="K24" s="19" t="n">
        <v>0.122</v>
      </c>
      <c r="L24" s="19" t="n">
        <v>0.116</v>
      </c>
      <c r="M24" s="19" t="n">
        <v>0.112</v>
      </c>
      <c r="N24" s="19" t="n">
        <v>0.108</v>
      </c>
      <c r="O24" s="19" t="n">
        <v>0.105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</t>
        </is>
      </c>
      <c r="I37" s="20" t="n">
        <v>75</v>
      </c>
      <c r="J37" s="20" t="n">
        <v>75</v>
      </c>
      <c r="K37" s="20" t="n">
        <v>75</v>
      </c>
      <c r="L37" s="20" t="n">
        <v>75</v>
      </c>
      <c r="M37" s="20" t="n">
        <v>75</v>
      </c>
      <c r="N37" s="20" t="n">
        <v>75</v>
      </c>
      <c r="O37" s="20" t="n">
        <v>75</v>
      </c>
    </row>
    <row r="38">
      <c r="A38" s="5" t="inlineStr">
        <is>
          <t>Inventory days</t>
        </is>
      </c>
      <c r="I38" s="20" t="n">
        <v>210</v>
      </c>
      <c r="J38" s="20" t="n">
        <v>205</v>
      </c>
      <c r="K38" s="20" t="n">
        <v>200</v>
      </c>
      <c r="L38" s="20" t="n">
        <v>200</v>
      </c>
      <c r="M38" s="20" t="n">
        <v>195</v>
      </c>
      <c r="N38" s="20" t="n">
        <v>195</v>
      </c>
      <c r="O38" s="20" t="n">
        <v>190</v>
      </c>
    </row>
    <row r="39">
      <c r="A39" s="5" t="inlineStr">
        <is>
          <t>Trade payable days</t>
        </is>
      </c>
      <c r="I39" s="20" t="n">
        <v>175</v>
      </c>
      <c r="J39" s="20" t="n">
        <v>175</v>
      </c>
      <c r="K39" s="20" t="n">
        <v>175</v>
      </c>
      <c r="L39" s="20" t="n">
        <v>175</v>
      </c>
      <c r="M39" s="20" t="n">
        <v>175</v>
      </c>
      <c r="N39" s="20" t="n">
        <v>175</v>
      </c>
      <c r="O39" s="20" t="n">
        <v>175</v>
      </c>
    </row>
    <row r="40">
      <c r="A40" s="5" t="inlineStr">
        <is>
          <t>Contract assets (% revenue)</t>
        </is>
      </c>
      <c r="I40" s="19" t="n">
        <v>0.235</v>
      </c>
      <c r="J40" s="19" t="n">
        <v>0.235</v>
      </c>
      <c r="K40" s="19" t="n">
        <v>0.235</v>
      </c>
      <c r="L40" s="19" t="n">
        <v>0.235</v>
      </c>
      <c r="M40" s="19" t="n">
        <v>0.235</v>
      </c>
      <c r="N40" s="19" t="n">
        <v>0.235</v>
      </c>
      <c r="O40" s="19" t="n">
        <v>0.235</v>
      </c>
    </row>
    <row r="41">
      <c r="A41" s="5" t="inlineStr">
        <is>
          <t>Contract liabilities / advances (% revenue)</t>
        </is>
      </c>
      <c r="I41" s="19" t="n">
        <v>0.355</v>
      </c>
      <c r="J41" s="19" t="n">
        <v>0.355</v>
      </c>
      <c r="K41" s="19" t="n">
        <v>0.355</v>
      </c>
      <c r="L41" s="19" t="n">
        <v>0.355</v>
      </c>
      <c r="M41" s="19" t="n">
        <v>0.355</v>
      </c>
      <c r="N41" s="19" t="n">
        <v>0.355</v>
      </c>
      <c r="O41" s="19" t="n">
        <v>0.355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  <c r="P51" t="inlineStr">
        <is>
          <t>BHEL debt almost entirely short-term (FY26 LT only Rs168 cr ~2%).</t>
        </is>
      </c>
    </row>
    <row r="52">
      <c r="A52" s="5" t="inlineStr">
        <is>
          <t>Other non-current assets (closing)</t>
        </is>
      </c>
      <c r="I52" s="17" t="n">
        <v>15500</v>
      </c>
      <c r="J52" s="17" t="n">
        <v>16000</v>
      </c>
      <c r="K52" s="17" t="n">
        <v>16500</v>
      </c>
      <c r="L52" s="17" t="n">
        <v>17000</v>
      </c>
      <c r="M52" s="17" t="n">
        <v>17500</v>
      </c>
      <c r="N52" s="17" t="n">
        <v>18000</v>
      </c>
      <c r="O52" s="17" t="n">
        <v>18500</v>
      </c>
    </row>
    <row r="53">
      <c r="A53" s="5" t="inlineStr">
        <is>
          <t>Other non-current liabilities (closing)</t>
        </is>
      </c>
      <c r="I53" s="17" t="n">
        <v>6200</v>
      </c>
      <c r="J53" s="17" t="n">
        <v>6400</v>
      </c>
      <c r="K53" s="17" t="n">
        <v>6600</v>
      </c>
      <c r="L53" s="17" t="n">
        <v>6800</v>
      </c>
      <c r="M53" s="17" t="n">
        <v>7000</v>
      </c>
      <c r="N53" s="17" t="n">
        <v>7200</v>
      </c>
      <c r="O53" s="17" t="n">
        <v>7400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  <row r="70">
      <c r="A70" s="75" t="inlineStr">
        <is>
          <t>C.  WORKING-CAPITAL DETAIL  (current vs non-current; % of revenue unless noted)</t>
        </is>
      </c>
    </row>
    <row r="71">
      <c r="A71" s="76" t="inlineStr">
        <is>
          <t>driver</t>
        </is>
      </c>
      <c r="I71" s="76" t="n">
        <v>2027</v>
      </c>
      <c r="J71" s="76" t="n">
        <v>2028</v>
      </c>
      <c r="K71" s="76" t="n">
        <v>2029</v>
      </c>
      <c r="L71" s="76" t="n">
        <v>2030</v>
      </c>
      <c r="M71" s="76" t="n">
        <v>2031</v>
      </c>
      <c r="N71" s="76" t="n">
        <v>2032</v>
      </c>
      <c r="O71" s="76" t="n">
        <v>2033</v>
      </c>
      <c r="P71" s="76" t="inlineStr">
        <is>
          <t>Rationale</t>
        </is>
      </c>
    </row>
    <row r="72">
      <c r="A72" t="inlineStr">
        <is>
          <t>Trade receivables - current (% rev)</t>
        </is>
      </c>
      <c r="I72" s="42" t="n">
        <v>0.2</v>
      </c>
      <c r="J72" s="42" t="n">
        <v>0.2</v>
      </c>
      <c r="K72" s="42" t="n">
        <v>0.2</v>
      </c>
      <c r="L72" s="42" t="n">
        <v>0.2</v>
      </c>
      <c r="M72" s="42" t="n">
        <v>0.2</v>
      </c>
      <c r="N72" s="42" t="n">
        <v>0.2</v>
      </c>
      <c r="O72" s="42" t="n">
        <v>0.2</v>
      </c>
      <c r="P72" s="77" t="inlineStr">
        <is>
          <t>FY26 actual 20.1% of revenue (~73 days).</t>
        </is>
      </c>
    </row>
    <row r="73">
      <c r="A73" t="inlineStr">
        <is>
          <t>Trade receivables - non-current (% rev)</t>
        </is>
      </c>
      <c r="I73" s="42" t="n">
        <v>0.07199999999999999</v>
      </c>
      <c r="J73" s="42" t="n">
        <v>0.067</v>
      </c>
      <c r="K73" s="42" t="n">
        <v>0.062</v>
      </c>
      <c r="L73" s="42" t="n">
        <v>0.057</v>
      </c>
      <c r="M73" s="42" t="n">
        <v>0.052</v>
      </c>
      <c r="N73" s="42" t="n">
        <v>0.047</v>
      </c>
      <c r="O73" s="42" t="n">
        <v>0.042</v>
      </c>
      <c r="P73" s="77" t="inlineStr">
        <is>
          <t>Long-dated/disputed (incl. Sudan); FY26 7.2%, runs down.</t>
        </is>
      </c>
    </row>
    <row r="74">
      <c r="A74" t="inlineStr">
        <is>
          <t>Inventories (% rev)</t>
        </is>
      </c>
      <c r="I74" s="42" t="n">
        <v>0.395</v>
      </c>
      <c r="J74" s="42" t="n">
        <v>0.39</v>
      </c>
      <c r="K74" s="42" t="n">
        <v>0.385</v>
      </c>
      <c r="L74" s="42" t="n">
        <v>0.38</v>
      </c>
      <c r="M74" s="42" t="n">
        <v>0.375</v>
      </c>
      <c r="N74" s="42" t="n">
        <v>0.37</v>
      </c>
      <c r="O74" s="42" t="n">
        <v>0.365</v>
      </c>
      <c r="P74" s="77" t="inlineStr">
        <is>
          <t>FY26 39.5% of revenue; eases with execution.</t>
        </is>
      </c>
    </row>
    <row r="75">
      <c r="A75" t="inlineStr">
        <is>
          <t>Contract assets - current (% rev)</t>
        </is>
      </c>
      <c r="I75" s="42" t="n">
        <v>0.45</v>
      </c>
      <c r="J75" s="42" t="n">
        <v>0.44</v>
      </c>
      <c r="K75" s="42" t="n">
        <v>0.43</v>
      </c>
      <c r="L75" s="42" t="n">
        <v>0.42</v>
      </c>
      <c r="M75" s="42" t="n">
        <v>0.41</v>
      </c>
      <c r="N75" s="42" t="n">
        <v>0.4</v>
      </c>
      <c r="O75" s="42" t="n">
        <v>0.39</v>
      </c>
      <c r="P75" s="77" t="inlineStr">
        <is>
          <t>Unbilled billable &lt;12m; FY26 45.0%.</t>
        </is>
      </c>
    </row>
    <row r="76">
      <c r="A76" t="inlineStr">
        <is>
          <t>Contract assets - non-current (% rev)</t>
        </is>
      </c>
      <c r="I76" s="42" t="n">
        <v>0.4</v>
      </c>
      <c r="J76" s="42" t="n">
        <v>0.38</v>
      </c>
      <c r="K76" s="42" t="n">
        <v>0.36</v>
      </c>
      <c r="L76" s="42" t="n">
        <v>0.34</v>
      </c>
      <c r="M76" s="42" t="n">
        <v>0.32</v>
      </c>
      <c r="N76" s="42" t="n">
        <v>0.3</v>
      </c>
      <c r="O76" s="42" t="n">
        <v>0.28</v>
      </c>
      <c r="P76" s="77" t="inlineStr">
        <is>
          <t>Long-cycle unbilled; FY26 42.0%, declines.</t>
        </is>
      </c>
    </row>
    <row r="77">
      <c r="A77" t="inlineStr">
        <is>
          <t>(Deferred tax assets held flat at FY26)</t>
        </is>
      </c>
      <c r="I77" s="78" t="n">
        <v>3533</v>
      </c>
      <c r="P77" s="77" t="inlineStr">
        <is>
          <t>Held flat at FY26 audited level (Rs 3,533 cr).</t>
        </is>
      </c>
    </row>
    <row r="78">
      <c r="A78" t="inlineStr">
        <is>
          <t>Other current assets residual (% rev)</t>
        </is>
      </c>
      <c r="I78" s="42" t="n">
        <v>0.126</v>
      </c>
      <c r="J78" s="42" t="n">
        <v>0.124</v>
      </c>
      <c r="K78" s="42" t="n">
        <v>0.122</v>
      </c>
      <c r="L78" s="42" t="n">
        <v>0.12</v>
      </c>
      <c r="M78" s="42" t="n">
        <v>0.118</v>
      </c>
      <c r="N78" s="42" t="n">
        <v>0.116</v>
      </c>
      <c r="O78" s="42" t="n">
        <v>0.114</v>
      </c>
      <c r="P78" s="77" t="inlineStr">
        <is>
          <t>Deposits, current tax &amp; advances ex-contract; FY26 12.6%.</t>
        </is>
      </c>
    </row>
    <row r="79">
      <c r="A79" t="inlineStr">
        <is>
          <t>Other non-current assets residual growth %</t>
        </is>
      </c>
      <c r="I79" s="42" t="n">
        <v>0.03</v>
      </c>
      <c r="J79" s="42" t="n">
        <v>0.03</v>
      </c>
      <c r="K79" s="42" t="n">
        <v>0.03</v>
      </c>
      <c r="L79" s="42" t="n">
        <v>0.03</v>
      </c>
      <c r="M79" s="42" t="n">
        <v>0.03</v>
      </c>
      <c r="N79" s="42" t="n">
        <v>0.03</v>
      </c>
      <c r="O79" s="42" t="n">
        <v>0.03</v>
      </c>
      <c r="P79" s="77" t="inlineStr">
        <is>
          <t>LT deposits &amp; loans; slow growth.</t>
        </is>
      </c>
    </row>
    <row r="80">
      <c r="A80" t="inlineStr">
        <is>
          <t>Trade payables - current (% rev)</t>
        </is>
      </c>
      <c r="I80" s="42" t="n">
        <v>0.311</v>
      </c>
      <c r="J80" s="42" t="n">
        <v>0.311</v>
      </c>
      <c r="K80" s="42" t="n">
        <v>0.305</v>
      </c>
      <c r="L80" s="42" t="n">
        <v>0.305</v>
      </c>
      <c r="M80" s="42" t="n">
        <v>0.3</v>
      </c>
      <c r="N80" s="42" t="n">
        <v>0.3</v>
      </c>
      <c r="O80" s="42" t="n">
        <v>0.295</v>
      </c>
      <c r="P80" s="77" t="inlineStr">
        <is>
          <t>FY26 31.1% of revenue (~167 days COGS).</t>
        </is>
      </c>
    </row>
    <row r="81">
      <c r="A81" t="inlineStr">
        <is>
          <t>(Trade payables non-current held flat)</t>
        </is>
      </c>
      <c r="I81" s="78" t="n">
        <v>1343</v>
      </c>
      <c r="P81" s="77" t="inlineStr">
        <is>
          <t>Held flat at FY26 (Rs 1,343 cr).</t>
        </is>
      </c>
    </row>
    <row r="82">
      <c r="A82" t="inlineStr">
        <is>
          <t>Contract liabilities - current (% rev)</t>
        </is>
      </c>
      <c r="I82" s="42" t="n">
        <v>0.27</v>
      </c>
      <c r="J82" s="42" t="n">
        <v>0.27</v>
      </c>
      <c r="K82" s="42" t="n">
        <v>0.26</v>
      </c>
      <c r="L82" s="42" t="n">
        <v>0.26</v>
      </c>
      <c r="M82" s="42" t="n">
        <v>0.25</v>
      </c>
      <c r="N82" s="42" t="n">
        <v>0.25</v>
      </c>
      <c r="O82" s="42" t="n">
        <v>0.24</v>
      </c>
      <c r="P82" s="77" t="inlineStr">
        <is>
          <t>Customer advances &lt;12m; FY26 27.0%.</t>
        </is>
      </c>
    </row>
    <row r="83">
      <c r="A83" t="inlineStr">
        <is>
          <t>Contract liabilities - non-current (% rev)</t>
        </is>
      </c>
      <c r="I83" s="42" t="n">
        <v>0.38</v>
      </c>
      <c r="J83" s="42" t="n">
        <v>0.36</v>
      </c>
      <c r="K83" s="42" t="n">
        <v>0.34</v>
      </c>
      <c r="L83" s="42" t="n">
        <v>0.32</v>
      </c>
      <c r="M83" s="42" t="n">
        <v>0.3</v>
      </c>
      <c r="N83" s="42" t="n">
        <v>0.28</v>
      </c>
      <c r="O83" s="42" t="n">
        <v>0.26</v>
      </c>
      <c r="P83" s="77" t="inlineStr">
        <is>
          <t>LT customer advances (interest-free WC); FY26 39.7%.</t>
        </is>
      </c>
    </row>
    <row r="84">
      <c r="A84" t="inlineStr">
        <is>
          <t>Provisions - current (% rev)</t>
        </is>
      </c>
      <c r="I84" s="42" t="n">
        <v>0.057</v>
      </c>
      <c r="J84" s="42" t="n">
        <v>0.057</v>
      </c>
      <c r="K84" s="42" t="n">
        <v>0.056</v>
      </c>
      <c r="L84" s="42" t="n">
        <v>0.056</v>
      </c>
      <c r="M84" s="42" t="n">
        <v>0.055</v>
      </c>
      <c r="N84" s="42" t="n">
        <v>0.055</v>
      </c>
      <c r="O84" s="42" t="n">
        <v>0.054</v>
      </c>
      <c r="P84" s="77" t="inlineStr">
        <is>
          <t>Warranty/LD/employee; FY26 5.7%.</t>
        </is>
      </c>
    </row>
    <row r="85">
      <c r="A85" t="inlineStr">
        <is>
          <t>Long-term provisions growth %</t>
        </is>
      </c>
      <c r="I85" s="42" t="n">
        <v>0.03</v>
      </c>
      <c r="J85" s="42" t="n">
        <v>0.03</v>
      </c>
      <c r="K85" s="42" t="n">
        <v>0.03</v>
      </c>
      <c r="L85" s="42" t="n">
        <v>0.03</v>
      </c>
      <c r="M85" s="42" t="n">
        <v>0.03</v>
      </c>
      <c r="N85" s="42" t="n">
        <v>0.03</v>
      </c>
      <c r="O85" s="42" t="n">
        <v>0.03</v>
      </c>
      <c r="P85" s="77" t="inlineStr">
        <is>
          <t>Warranty &amp; employee-benefit provisions.</t>
        </is>
      </c>
    </row>
    <row r="86">
      <c r="A86" t="inlineStr">
        <is>
          <t>Other current liabilities residual (% rev)</t>
        </is>
      </c>
      <c r="I86" s="42" t="n">
        <v>0.082</v>
      </c>
      <c r="J86" s="42" t="n">
        <v>0.082</v>
      </c>
      <c r="K86" s="42" t="n">
        <v>0.08</v>
      </c>
      <c r="L86" s="42" t="n">
        <v>0.08</v>
      </c>
      <c r="M86" s="42" t="n">
        <v>0.078</v>
      </c>
      <c r="N86" s="42" t="n">
        <v>0.078</v>
      </c>
      <c r="O86" s="42" t="n">
        <v>0.076</v>
      </c>
      <c r="P86" s="77" t="inlineStr">
        <is>
          <t>Statutory/employee dues, deposits ex-contract &amp; provisions; FY26 8.2%.</t>
        </is>
      </c>
    </row>
    <row r="87">
      <c r="A87" t="inlineStr">
        <is>
          <t>Other non-current liabilities residual growth %</t>
        </is>
      </c>
      <c r="I87" s="42" t="n">
        <v>0.04</v>
      </c>
      <c r="J87" s="42" t="n">
        <v>0.04</v>
      </c>
      <c r="K87" s="42" t="n">
        <v>0.04</v>
      </c>
      <c r="L87" s="42" t="n">
        <v>0.04</v>
      </c>
      <c r="M87" s="42" t="n">
        <v>0.04</v>
      </c>
      <c r="N87" s="42" t="n">
        <v>0.04</v>
      </c>
      <c r="O87" s="42" t="n">
        <v>0.04</v>
      </c>
      <c r="P87" s="77" t="inlineStr">
        <is>
          <t>LT deposits &amp; deferred grants.</t>
        </is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13.5%-&gt;10.5%</t>
        </is>
      </c>
      <c r="C17" s="29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</t>
        </is>
      </c>
      <c r="B24" s="28" t="inlineStr">
        <is>
          <t>75</t>
        </is>
      </c>
      <c r="C24" s="29" t="inlineStr">
        <is>
          <t>Historical 49-121; recent ~73-76. Large PSU/SEB customers but collections improving. Anchored to recent levels.</t>
        </is>
      </c>
    </row>
    <row r="25" ht="46" customHeight="1">
      <c r="A25" s="27" t="inlineStr">
        <is>
          <t>Inventory days</t>
        </is>
      </c>
      <c r="B25" s="28" t="inlineStr">
        <is>
          <t>210-&gt;190</t>
        </is>
      </c>
      <c r="C25" s="29" t="inlineStr">
        <is>
          <t>Historical 212-333; long manufacturing/project cycle. Gradual improvement assumed from better execution and planning.</t>
        </is>
      </c>
    </row>
    <row r="26" ht="46" customHeight="1">
      <c r="A26" s="27" t="inlineStr">
        <is>
          <t>Payable days</t>
        </is>
      </c>
      <c r="B26" s="28" t="inlineStr">
        <is>
          <t>175</t>
        </is>
      </c>
      <c r="C26" s="29" t="inlineStr">
        <is>
          <t>Historical 167-345; normalised to ~175 supplier credit.</t>
        </is>
      </c>
    </row>
    <row r="27" ht="46" customHeight="1">
      <c r="A27" s="27" t="inlineStr">
        <is>
          <t>Contract assets (% rev)</t>
        </is>
      </c>
      <c r="B27" s="28" t="inlineStr">
        <is>
          <t>23.5%</t>
        </is>
      </c>
      <c r="C27" s="29" t="inlineStr">
        <is>
          <t>Unbilled revenue on long-cycle EPC projects under percentage-of-completion accounting.</t>
        </is>
      </c>
    </row>
    <row r="28" ht="46" customHeight="1">
      <c r="A28" s="27" t="inlineStr">
        <is>
          <t>Contract liabilities / advances</t>
        </is>
      </c>
      <c r="B28" s="28" t="inlineStr">
        <is>
          <t>35.5%</t>
        </is>
      </c>
      <c r="C28" s="29" t="inlineStr">
        <is>
          <t>BHEL receives large customer advances on orders - a key working-capital funding source; scales with order activity.</t>
        </is>
      </c>
    </row>
    <row r="29" ht="46" customHeight="1">
      <c r="A29" s="27" t="inlineStr">
        <is>
          <t>Other non-current assets</t>
        </is>
      </c>
      <c r="B29" s="28" t="inlineStr">
        <is>
          <t>Rs15.5k-&gt;18.5k cr</t>
        </is>
      </c>
      <c r="C29" s="29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7" t="inlineStr">
        <is>
          <t>Other non-current liabilities</t>
        </is>
      </c>
      <c r="B30" s="28" t="inlineStr">
        <is>
          <t>Rs6.2k-&gt;7.4k cr</t>
        </is>
      </c>
      <c r="C30" s="29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</v>
      </c>
      <c r="C5" s="30" t="n">
        <v>17309</v>
      </c>
      <c r="D5" s="30" t="n">
        <v>21211</v>
      </c>
      <c r="E5" s="30" t="n">
        <v>23365</v>
      </c>
      <c r="F5" s="30" t="n">
        <v>23893</v>
      </c>
      <c r="G5" s="30" t="n">
        <v>28339</v>
      </c>
      <c r="H5" s="30" t="n">
        <v>33782</v>
      </c>
    </row>
    <row r="6">
      <c r="A6" s="5" t="inlineStr">
        <is>
          <t>Total COGS</t>
        </is>
      </c>
      <c r="B6" s="30" t="n">
        <v>14496</v>
      </c>
      <c r="C6" s="30" t="n">
        <v>13657</v>
      </c>
      <c r="D6" s="30" t="n">
        <v>13783</v>
      </c>
      <c r="E6" s="30" t="n">
        <v>15721</v>
      </c>
      <c r="F6" s="30" t="n">
        <v>16682</v>
      </c>
      <c r="G6" s="30" t="n">
        <v>20040</v>
      </c>
      <c r="H6" s="30" t="n">
        <v>24040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6000</v>
      </c>
      <c r="C9" s="30" t="n">
        <v>5800</v>
      </c>
      <c r="D9" s="30" t="n">
        <v>5500</v>
      </c>
      <c r="E9" s="30" t="n">
        <v>5400</v>
      </c>
      <c r="F9" s="30" t="n">
        <v>5300</v>
      </c>
      <c r="G9" s="30" t="n">
        <v>5500</v>
      </c>
      <c r="H9" s="30" t="n">
        <v>5700</v>
      </c>
    </row>
    <row r="10">
      <c r="A10" s="5" t="inlineStr">
        <is>
          <t xml:space="preserve">   Selling and admin</t>
        </is>
      </c>
      <c r="B10" s="30" t="n">
        <v>1100</v>
      </c>
      <c r="C10" s="30" t="n">
        <v>900</v>
      </c>
      <c r="D10" s="30" t="n">
        <v>1100</v>
      </c>
      <c r="E10" s="30" t="n">
        <v>1200</v>
      </c>
      <c r="F10" s="30" t="n">
        <v>1200</v>
      </c>
      <c r="G10" s="30" t="n">
        <v>1400</v>
      </c>
      <c r="H10" s="30" t="n">
        <v>1700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</v>
      </c>
      <c r="C13" s="30" t="n">
        <v>473</v>
      </c>
      <c r="D13" s="30" t="n">
        <v>314</v>
      </c>
      <c r="E13" s="30" t="n">
        <v>260</v>
      </c>
      <c r="F13" s="30" t="n">
        <v>249</v>
      </c>
      <c r="G13" s="30" t="n">
        <v>272</v>
      </c>
      <c r="H13" s="30" t="n">
        <v>316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590</v>
      </c>
      <c r="C15" s="30" t="n">
        <v>393</v>
      </c>
      <c r="D15" s="30" t="n">
        <v>405</v>
      </c>
      <c r="E15" s="30" t="n">
        <v>544</v>
      </c>
      <c r="F15" s="30" t="n">
        <v>608</v>
      </c>
      <c r="G15" s="30" t="n">
        <v>524</v>
      </c>
      <c r="H15" s="30" t="n">
        <v>869</v>
      </c>
    </row>
    <row r="16">
      <c r="A16" s="5" t="inlineStr">
        <is>
          <t>Interest Paid</t>
        </is>
      </c>
      <c r="B16" s="30" t="n">
        <v>613</v>
      </c>
      <c r="C16" s="30" t="n">
        <v>467</v>
      </c>
      <c r="D16" s="30" t="n">
        <v>448</v>
      </c>
      <c r="E16" s="30" t="n">
        <v>612</v>
      </c>
      <c r="F16" s="30" t="n">
        <v>828</v>
      </c>
      <c r="G16" s="30" t="n">
        <v>906</v>
      </c>
      <c r="H16" s="30" t="n">
        <v>756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</v>
      </c>
      <c r="C18" s="30" t="n">
        <v>-896</v>
      </c>
      <c r="D18" s="30" t="n">
        <v>25</v>
      </c>
      <c r="E18" s="30" t="n">
        <v>62</v>
      </c>
      <c r="F18" s="30" t="n">
        <v>-39</v>
      </c>
      <c r="G18" s="30" t="n">
        <v>212</v>
      </c>
      <c r="H18" s="30" t="n">
        <v>539</v>
      </c>
    </row>
    <row r="19">
      <c r="A19" s="5" t="inlineStr">
        <is>
          <t>Adjustments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0</v>
      </c>
      <c r="C22" s="30" t="n">
        <v>0</v>
      </c>
      <c r="D22" s="30" t="n">
        <v>138</v>
      </c>
      <c r="E22" s="30" t="n">
        <v>137</v>
      </c>
      <c r="F22" s="30" t="n">
        <v>87</v>
      </c>
      <c r="G22" s="30" t="n">
        <v>176</v>
      </c>
      <c r="H22" s="30" t="n">
        <v>487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52144.16</v>
      </c>
      <c r="D31" s="30" t="n">
        <v>53209.17</v>
      </c>
      <c r="E31" s="30" t="n">
        <v>56304.53</v>
      </c>
      <c r="F31" s="30" t="n">
        <v>55863.85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4950.89</v>
      </c>
      <c r="D35" s="30" t="n">
        <v>4829.93</v>
      </c>
      <c r="E35" s="30" t="n">
        <v>5453.51</v>
      </c>
      <c r="F35" s="30" t="n">
        <v>8856.459999999999</v>
      </c>
      <c r="G35" s="30" t="n">
        <v>9014.6</v>
      </c>
      <c r="H35" s="30" t="n">
        <v>8186.95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-2892</v>
      </c>
      <c r="C42" s="30" t="n">
        <v>560</v>
      </c>
      <c r="D42" s="30" t="n">
        <v>660</v>
      </c>
      <c r="E42" s="30" t="n">
        <v>-741</v>
      </c>
      <c r="F42" s="30" t="n">
        <v>-3713</v>
      </c>
      <c r="G42" s="30" t="n">
        <v>2192</v>
      </c>
      <c r="H42" s="30" t="n">
        <v>5837</v>
      </c>
    </row>
    <row r="43">
      <c r="A43" s="5" t="inlineStr">
        <is>
          <t>Cash flow from investing activities</t>
        </is>
      </c>
      <c r="B43" s="30" t="n">
        <v>1877</v>
      </c>
      <c r="C43" s="30" t="n">
        <v>-42</v>
      </c>
      <c r="D43" s="30" t="n">
        <v>-1118</v>
      </c>
      <c r="E43" s="30" t="n">
        <v>1480</v>
      </c>
      <c r="F43" s="30" t="n">
        <v>1331</v>
      </c>
      <c r="G43" s="30" t="n">
        <v>-2731</v>
      </c>
      <c r="H43" s="30" t="n">
        <v>-3035</v>
      </c>
    </row>
    <row r="44">
      <c r="A44" s="5" t="inlineStr">
        <is>
          <t>Cash flow from financing activities</t>
        </is>
      </c>
      <c r="B44" s="30" t="n">
        <v>1622</v>
      </c>
      <c r="C44" s="30" t="n">
        <v>-394</v>
      </c>
      <c r="D44" s="30" t="n">
        <v>-329</v>
      </c>
      <c r="E44" s="30" t="n">
        <v>89</v>
      </c>
      <c r="F44" s="30" t="n">
        <v>2656</v>
      </c>
      <c r="G44" s="30" t="n">
        <v>-857</v>
      </c>
      <c r="H44" s="30" t="n">
        <v>-1806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</t>
        </is>
      </c>
      <c r="B23" s="38" t="n">
        <v>321</v>
      </c>
      <c r="C23" s="38" t="n">
        <v>333</v>
      </c>
      <c r="D23" s="38" t="n">
        <v>274</v>
      </c>
      <c r="E23" s="38" t="n">
        <v>261</v>
      </c>
      <c r="F23" s="38" t="n">
        <v>253</v>
      </c>
      <c r="G23" s="38" t="n">
        <v>289</v>
      </c>
      <c r="H23" s="38" t="n">
        <v>212</v>
      </c>
    </row>
    <row r="24">
      <c r="A24" s="5" t="inlineStr">
        <is>
          <t>Payable days</t>
        </is>
      </c>
      <c r="B24" s="38" t="n">
        <v>300</v>
      </c>
      <c r="C24" s="38" t="n">
        <v>281</v>
      </c>
      <c r="D24" s="38" t="n">
        <v>291</v>
      </c>
      <c r="E24" s="38" t="n">
        <v>345</v>
      </c>
      <c r="F24" s="38" t="n">
        <v>270</v>
      </c>
      <c r="G24" s="38" t="n">
        <v>259</v>
      </c>
      <c r="H24" s="38" t="n">
        <v>167</v>
      </c>
    </row>
    <row r="25">
      <c r="A25" s="5" t="inlineStr">
        <is>
          <t>Cash conversion cycle (days)</t>
        </is>
      </c>
      <c r="B25" s="38" t="n">
        <v>142</v>
      </c>
      <c r="C25" s="38" t="n">
        <v>137</v>
      </c>
      <c r="D25" s="38" t="n">
        <v>35</v>
      </c>
      <c r="E25" s="38" t="n">
        <v>-35</v>
      </c>
      <c r="F25" s="38" t="n">
        <v>56</v>
      </c>
      <c r="G25" s="38" t="n">
        <v>106</v>
      </c>
      <c r="H25" s="38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operating working capital (current &amp; non-current). FY26 = audited seed; FY27-33 driven by Assumptions.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79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 t="n"/>
      <c r="C6" s="43" t="n"/>
      <c r="D6" s="43" t="n"/>
      <c r="E6" s="43" t="n"/>
      <c r="F6" s="43" t="n"/>
      <c r="G6" s="43" t="n"/>
      <c r="H6" s="43" t="n"/>
      <c r="I6" s="43">
        <f>'Cost Forecast'!I6</f>
        <v/>
      </c>
      <c r="J6" s="43">
        <f>'Cost Forecast'!J6</f>
        <v/>
      </c>
      <c r="K6" s="43">
        <f>'Cost Forecast'!K6</f>
        <v/>
      </c>
      <c r="L6" s="43">
        <f>'Cost Forecast'!L6</f>
        <v/>
      </c>
      <c r="M6" s="43">
        <f>'Cost Forecast'!M6</f>
        <v/>
      </c>
      <c r="N6" s="43">
        <f>'Cost Forecast'!N6</f>
        <v/>
      </c>
      <c r="O6" s="43">
        <f>'Cost Forecast'!O6</f>
        <v/>
      </c>
    </row>
    <row r="7">
      <c r="A7" s="5" t="inlineStr">
        <is>
          <t>Cost of sales (total operating cost)</t>
        </is>
      </c>
      <c r="B7" s="43" t="n"/>
      <c r="C7" s="43" t="n"/>
      <c r="D7" s="43" t="n"/>
      <c r="E7" s="43" t="n"/>
      <c r="F7" s="43" t="n"/>
      <c r="G7" s="43" t="n"/>
      <c r="H7" s="43" t="n"/>
      <c r="I7" s="43">
        <f>'Cost Forecast'!I24</f>
        <v/>
      </c>
      <c r="J7" s="43">
        <f>'Cost Forecast'!J24</f>
        <v/>
      </c>
      <c r="K7" s="43">
        <f>'Cost Forecast'!K24</f>
        <v/>
      </c>
      <c r="L7" s="43">
        <f>'Cost Forecast'!L24</f>
        <v/>
      </c>
      <c r="M7" s="43">
        <f>'Cost Forecast'!M24</f>
        <v/>
      </c>
      <c r="N7" s="43">
        <f>'Cost Forecast'!N24</f>
        <v/>
      </c>
      <c r="O7" s="43">
        <f>'Cost Forecast'!O24</f>
        <v/>
      </c>
    </row>
    <row r="8">
      <c r="A8" s="5" t="inlineStr">
        <is>
          <t xml:space="preserve">   Trade receivables - current</t>
        </is>
      </c>
      <c r="H8" s="46" t="n">
        <v>6796.27</v>
      </c>
      <c r="I8" s="43">
        <f>'Assumptions'!I72*I6</f>
        <v/>
      </c>
      <c r="J8" s="43">
        <f>'Assumptions'!J72*J6</f>
        <v/>
      </c>
      <c r="K8" s="43">
        <f>'Assumptions'!K72*K6</f>
        <v/>
      </c>
      <c r="L8" s="43">
        <f>'Assumptions'!L72*L6</f>
        <v/>
      </c>
      <c r="M8" s="43">
        <f>'Assumptions'!M72*M6</f>
        <v/>
      </c>
      <c r="N8" s="43">
        <f>'Assumptions'!N72*N6</f>
        <v/>
      </c>
      <c r="O8" s="43">
        <f>'Assumptions'!O72*O6</f>
        <v/>
      </c>
    </row>
    <row r="9">
      <c r="A9" s="5" t="inlineStr">
        <is>
          <t xml:space="preserve">   Trade receivables - non-current</t>
        </is>
      </c>
      <c r="H9" s="46" t="n">
        <v>2426.93</v>
      </c>
      <c r="I9" s="43">
        <f>'Assumptions'!I73*I6</f>
        <v/>
      </c>
      <c r="J9" s="43">
        <f>'Assumptions'!J73*J6</f>
        <v/>
      </c>
      <c r="K9" s="43">
        <f>'Assumptions'!K73*K6</f>
        <v/>
      </c>
      <c r="L9" s="43">
        <f>'Assumptions'!L73*L6</f>
        <v/>
      </c>
      <c r="M9" s="43">
        <f>'Assumptions'!M73*M6</f>
        <v/>
      </c>
      <c r="N9" s="43">
        <f>'Assumptions'!N73*N6</f>
        <v/>
      </c>
      <c r="O9" s="43">
        <f>'Assumptions'!O73*O6</f>
        <v/>
      </c>
    </row>
    <row r="10">
      <c r="A10" s="5" t="inlineStr">
        <is>
          <t xml:space="preserve">   Inventories</t>
        </is>
      </c>
      <c r="H10" s="46" t="n">
        <v>13334.58</v>
      </c>
      <c r="I10" s="43">
        <f>'Assumptions'!I74*I6</f>
        <v/>
      </c>
      <c r="J10" s="43">
        <f>'Assumptions'!J74*J6</f>
        <v/>
      </c>
      <c r="K10" s="43">
        <f>'Assumptions'!K74*K6</f>
        <v/>
      </c>
      <c r="L10" s="43">
        <f>'Assumptions'!L74*L6</f>
        <v/>
      </c>
      <c r="M10" s="43">
        <f>'Assumptions'!M74*M6</f>
        <v/>
      </c>
      <c r="N10" s="43">
        <f>'Assumptions'!N74*N6</f>
        <v/>
      </c>
      <c r="O10" s="43">
        <f>'Assumptions'!O74*O6</f>
        <v/>
      </c>
    </row>
    <row r="11">
      <c r="A11" s="5" t="inlineStr">
        <is>
          <t xml:space="preserve">   Contract assets - current</t>
        </is>
      </c>
      <c r="H11" s="46" t="n">
        <v>15192.89</v>
      </c>
      <c r="I11" s="43">
        <f>'Assumptions'!I75*I6</f>
        <v/>
      </c>
      <c r="J11" s="43">
        <f>'Assumptions'!J75*J6</f>
        <v/>
      </c>
      <c r="K11" s="43">
        <f>'Assumptions'!K75*K6</f>
        <v/>
      </c>
      <c r="L11" s="43">
        <f>'Assumptions'!L75*L6</f>
        <v/>
      </c>
      <c r="M11" s="43">
        <f>'Assumptions'!M75*M6</f>
        <v/>
      </c>
      <c r="N11" s="43">
        <f>'Assumptions'!N75*N6</f>
        <v/>
      </c>
      <c r="O11" s="43">
        <f>'Assumptions'!O75*O6</f>
        <v/>
      </c>
    </row>
    <row r="12">
      <c r="A12" s="5" t="inlineStr">
        <is>
          <t xml:space="preserve">   Contract assets - non-current</t>
        </is>
      </c>
      <c r="H12" s="47" t="n">
        <v>14196.72</v>
      </c>
      <c r="I12" s="45">
        <f>'Assumptions'!I76*I6</f>
        <v/>
      </c>
      <c r="J12" s="45">
        <f>'Assumptions'!J76*J6</f>
        <v/>
      </c>
      <c r="K12" s="45">
        <f>'Assumptions'!K76*K6</f>
        <v/>
      </c>
      <c r="L12" s="45">
        <f>'Assumptions'!L76*L6</f>
        <v/>
      </c>
      <c r="M12" s="45">
        <f>'Assumptions'!M76*M6</f>
        <v/>
      </c>
      <c r="N12" s="45">
        <f>'Assumptions'!N76*N6</f>
        <v/>
      </c>
      <c r="O12" s="45">
        <f>'Assumptions'!O76*O6</f>
        <v/>
      </c>
    </row>
    <row r="13">
      <c r="A13" s="5" t="inlineStr">
        <is>
          <t xml:space="preserve">   Deferred tax assets</t>
        </is>
      </c>
      <c r="H13" s="46" t="n">
        <v>3532.8</v>
      </c>
      <c r="I13" s="30">
        <f>H13</f>
        <v/>
      </c>
      <c r="J13" s="30">
        <f>I13</f>
        <v/>
      </c>
      <c r="K13" s="30">
        <f>J13</f>
        <v/>
      </c>
      <c r="L13" s="30">
        <f>K13</f>
        <v/>
      </c>
      <c r="M13" s="30">
        <f>L13</f>
        <v/>
      </c>
      <c r="N13" s="30">
        <f>M13</f>
        <v/>
      </c>
      <c r="O13" s="30">
        <f>N13</f>
        <v/>
      </c>
    </row>
    <row r="14">
      <c r="A14" s="5" t="inlineStr">
        <is>
          <t xml:space="preserve">   Other current assets (residual)</t>
        </is>
      </c>
      <c r="H14" s="46" t="n">
        <v>4264.99</v>
      </c>
      <c r="I14" s="43">
        <f>'Assumptions'!I78*I6</f>
        <v/>
      </c>
      <c r="J14" s="43">
        <f>'Assumptions'!J78*J6</f>
        <v/>
      </c>
      <c r="K14" s="43">
        <f>'Assumptions'!K78*K6</f>
        <v/>
      </c>
      <c r="L14" s="43">
        <f>'Assumptions'!L78*L6</f>
        <v/>
      </c>
      <c r="M14" s="43">
        <f>'Assumptions'!M78*M6</f>
        <v/>
      </c>
      <c r="N14" s="43">
        <f>'Assumptions'!N78*N6</f>
        <v/>
      </c>
      <c r="O14" s="43">
        <f>'Assumptions'!O78*O6</f>
        <v/>
      </c>
    </row>
    <row r="15">
      <c r="A15" s="5" t="inlineStr">
        <is>
          <t xml:space="preserve">   Other non-current assets (residual)</t>
        </is>
      </c>
      <c r="H15" s="46" t="n">
        <v>778.17</v>
      </c>
      <c r="I15" s="43">
        <f>H15*(1+'Assumptions'!I79)</f>
        <v/>
      </c>
      <c r="J15" s="43">
        <f>I15*(1+'Assumptions'!J79)</f>
        <v/>
      </c>
      <c r="K15" s="43">
        <f>J15*(1+'Assumptions'!K79)</f>
        <v/>
      </c>
      <c r="L15" s="43">
        <f>K15*(1+'Assumptions'!L79)</f>
        <v/>
      </c>
      <c r="M15" s="43">
        <f>L15*(1+'Assumptions'!M79)</f>
        <v/>
      </c>
      <c r="N15" s="43">
        <f>M15*(1+'Assumptions'!N79)</f>
        <v/>
      </c>
      <c r="O15" s="43">
        <f>N15*(1+'Assumptions'!O79)</f>
        <v/>
      </c>
    </row>
    <row r="16">
      <c r="A16" s="76" t="inlineStr">
        <is>
          <t>Total operating assets</t>
        </is>
      </c>
      <c r="H16" s="80">
        <f>SUM(H8:H15)</f>
        <v/>
      </c>
      <c r="I16" s="80">
        <f>SUM(I8:I15)</f>
        <v/>
      </c>
      <c r="J16" s="80">
        <f>SUM(J8:J15)</f>
        <v/>
      </c>
      <c r="K16" s="80">
        <f>SUM(K8:K15)</f>
        <v/>
      </c>
      <c r="L16" s="80">
        <f>SUM(L8:L15)</f>
        <v/>
      </c>
      <c r="M16" s="80">
        <f>SUM(M8:M15)</f>
        <v/>
      </c>
      <c r="N16" s="80">
        <f>SUM(N8:N15)</f>
        <v/>
      </c>
      <c r="O16" s="80">
        <f>SUM(O8:O15)</f>
        <v/>
      </c>
    </row>
    <row r="17">
      <c r="A17" s="5" t="inlineStr">
        <is>
          <t xml:space="preserve">   Trade payables - current</t>
        </is>
      </c>
      <c r="H17" s="81" t="n">
        <v>10491.6</v>
      </c>
      <c r="I17" s="82">
        <f>'Assumptions'!I80*I6</f>
        <v/>
      </c>
      <c r="J17" s="82">
        <f>'Assumptions'!J80*J6</f>
        <v/>
      </c>
      <c r="K17" s="82">
        <f>'Assumptions'!K80*K6</f>
        <v/>
      </c>
      <c r="L17" s="82">
        <f>'Assumptions'!L80*L6</f>
        <v/>
      </c>
      <c r="M17" s="82">
        <f>'Assumptions'!M80*M6</f>
        <v/>
      </c>
      <c r="N17" s="82">
        <f>'Assumptions'!N80*N6</f>
        <v/>
      </c>
      <c r="O17" s="82">
        <f>'Assumptions'!O80*O6</f>
        <v/>
      </c>
    </row>
    <row r="18">
      <c r="A18" s="5" t="inlineStr">
        <is>
          <t xml:space="preserve">   Trade payables - non-current</t>
        </is>
      </c>
      <c r="H18" s="83" t="n">
        <v>1343.44</v>
      </c>
      <c r="I18" s="30">
        <f>H18</f>
        <v/>
      </c>
      <c r="J18" s="30">
        <f>I18</f>
        <v/>
      </c>
      <c r="K18" s="30">
        <f>J18</f>
        <v/>
      </c>
      <c r="L18" s="30">
        <f>K18</f>
        <v/>
      </c>
      <c r="M18" s="30">
        <f>L18</f>
        <v/>
      </c>
      <c r="N18" s="30">
        <f>M18</f>
        <v/>
      </c>
      <c r="O18" s="30">
        <f>N18</f>
        <v/>
      </c>
    </row>
    <row r="19">
      <c r="A19" s="5" t="inlineStr">
        <is>
          <t xml:space="preserve">   Contract liabilities - current</t>
        </is>
      </c>
      <c r="H19" s="46" t="n">
        <v>9110.389999999999</v>
      </c>
      <c r="I19" s="43">
        <f>'Assumptions'!I82*I6</f>
        <v/>
      </c>
      <c r="J19" s="43">
        <f>'Assumptions'!J82*J6</f>
        <v/>
      </c>
      <c r="K19" s="43">
        <f>'Assumptions'!K82*K6</f>
        <v/>
      </c>
      <c r="L19" s="43">
        <f>'Assumptions'!L82*L6</f>
        <v/>
      </c>
      <c r="M19" s="43">
        <f>'Assumptions'!M82*M6</f>
        <v/>
      </c>
      <c r="N19" s="43">
        <f>'Assumptions'!N82*N6</f>
        <v/>
      </c>
      <c r="O19" s="43">
        <f>'Assumptions'!O82*O6</f>
        <v/>
      </c>
    </row>
    <row r="20">
      <c r="A20" s="5" t="inlineStr">
        <is>
          <t xml:space="preserve">   Contract liabilities - non-current</t>
        </is>
      </c>
      <c r="H20" s="83" t="n">
        <v>13413.24</v>
      </c>
      <c r="I20" s="43">
        <f>'Assumptions'!I83*I6</f>
        <v/>
      </c>
      <c r="J20" s="43">
        <f>'Assumptions'!J83*J6</f>
        <v/>
      </c>
      <c r="K20" s="43">
        <f>'Assumptions'!K83*K6</f>
        <v/>
      </c>
      <c r="L20" s="43">
        <f>'Assumptions'!L83*L6</f>
        <v/>
      </c>
      <c r="M20" s="43">
        <f>'Assumptions'!M83*M6</f>
        <v/>
      </c>
      <c r="N20" s="43">
        <f>'Assumptions'!N83*N6</f>
        <v/>
      </c>
      <c r="O20" s="43">
        <f>'Assumptions'!O83*O6</f>
        <v/>
      </c>
    </row>
    <row r="21">
      <c r="A21" s="84" t="inlineStr">
        <is>
          <t xml:space="preserve">   Provisions - current</t>
        </is>
      </c>
      <c r="B21" s="1" t="n"/>
      <c r="C21" s="1" t="n"/>
      <c r="D21" s="1" t="n"/>
      <c r="E21" s="1" t="n"/>
      <c r="F21" s="1" t="n"/>
      <c r="G21" s="1" t="n"/>
      <c r="H21" s="85" t="n">
        <v>1918.91</v>
      </c>
      <c r="I21" s="86">
        <f>'Assumptions'!I84*I6</f>
        <v/>
      </c>
      <c r="J21" s="86">
        <f>'Assumptions'!J84*J6</f>
        <v/>
      </c>
      <c r="K21" s="86">
        <f>'Assumptions'!K84*K6</f>
        <v/>
      </c>
      <c r="L21" s="86">
        <f>'Assumptions'!L84*L6</f>
        <v/>
      </c>
      <c r="M21" s="86">
        <f>'Assumptions'!M84*M6</f>
        <v/>
      </c>
      <c r="N21" s="86">
        <f>'Assumptions'!N84*N6</f>
        <v/>
      </c>
      <c r="O21" s="86">
        <f>'Assumptions'!O84*O6</f>
        <v/>
      </c>
    </row>
    <row r="22">
      <c r="A22" s="5" t="inlineStr">
        <is>
          <t xml:space="preserve">   Long-term provisions</t>
        </is>
      </c>
      <c r="H22" s="83" t="n">
        <v>2354.62</v>
      </c>
      <c r="I22" s="43">
        <f>H22*(1+'Assumptions'!I85)</f>
        <v/>
      </c>
      <c r="J22" s="43">
        <f>I22*(1+'Assumptions'!J85)</f>
        <v/>
      </c>
      <c r="K22" s="43">
        <f>J22*(1+'Assumptions'!K85)</f>
        <v/>
      </c>
      <c r="L22" s="43">
        <f>K22*(1+'Assumptions'!L85)</f>
        <v/>
      </c>
      <c r="M22" s="43">
        <f>L22*(1+'Assumptions'!M85)</f>
        <v/>
      </c>
      <c r="N22" s="43">
        <f>M22*(1+'Assumptions'!N85)</f>
        <v/>
      </c>
      <c r="O22" s="43">
        <f>N22*(1+'Assumptions'!O85)</f>
        <v/>
      </c>
    </row>
    <row r="23">
      <c r="A23" s="5" t="inlineStr">
        <is>
          <t xml:space="preserve">   Other current liabilities (residual)</t>
        </is>
      </c>
      <c r="H23" s="83" t="n">
        <v>2762.51</v>
      </c>
      <c r="I23" s="43">
        <f>'Assumptions'!I86*I6</f>
        <v/>
      </c>
      <c r="J23" s="43">
        <f>'Assumptions'!J86*J6</f>
        <v/>
      </c>
      <c r="K23" s="43">
        <f>'Assumptions'!K86*K6</f>
        <v/>
      </c>
      <c r="L23" s="43">
        <f>'Assumptions'!L86*L6</f>
        <v/>
      </c>
      <c r="M23" s="43">
        <f>'Assumptions'!M86*M6</f>
        <v/>
      </c>
      <c r="N23" s="43">
        <f>'Assumptions'!N86*N6</f>
        <v/>
      </c>
      <c r="O23" s="43">
        <f>'Assumptions'!O86*O6</f>
        <v/>
      </c>
    </row>
    <row r="24">
      <c r="A24" s="5" t="inlineStr">
        <is>
          <t xml:space="preserve">   Other non-current liabilities (residual)</t>
        </is>
      </c>
      <c r="H24" s="83" t="n">
        <v>457.35</v>
      </c>
      <c r="I24" s="43">
        <f>H24*(1+'Assumptions'!I87)</f>
        <v/>
      </c>
      <c r="J24" s="43">
        <f>I24*(1+'Assumptions'!J87)</f>
        <v/>
      </c>
      <c r="K24" s="43">
        <f>J24*(1+'Assumptions'!K87)</f>
        <v/>
      </c>
      <c r="L24" s="43">
        <f>K24*(1+'Assumptions'!L87)</f>
        <v/>
      </c>
      <c r="M24" s="43">
        <f>L24*(1+'Assumptions'!M87)</f>
        <v/>
      </c>
      <c r="N24" s="43">
        <f>M24*(1+'Assumptions'!N87)</f>
        <v/>
      </c>
      <c r="O24" s="43">
        <f>N24*(1+'Assumptions'!O87)</f>
        <v/>
      </c>
    </row>
    <row r="25">
      <c r="A25" s="76" t="inlineStr">
        <is>
          <t>Total operating liabilities</t>
        </is>
      </c>
      <c r="H25" s="87">
        <f>SUM(H17:H24)</f>
        <v/>
      </c>
      <c r="I25" s="88">
        <f>SUM(I17:I24)</f>
        <v/>
      </c>
      <c r="J25" s="88">
        <f>SUM(J17:J24)</f>
        <v/>
      </c>
      <c r="K25" s="88">
        <f>SUM(K17:K24)</f>
        <v/>
      </c>
      <c r="L25" s="88">
        <f>SUM(L17:L24)</f>
        <v/>
      </c>
      <c r="M25" s="88">
        <f>SUM(M17:M24)</f>
        <v/>
      </c>
      <c r="N25" s="88">
        <f>SUM(N17:N24)</f>
        <v/>
      </c>
      <c r="O25" s="88">
        <f>SUM(O17:O24)</f>
        <v/>
      </c>
    </row>
    <row r="26">
      <c r="A26" s="76" t="inlineStr">
        <is>
          <t>Net working capital</t>
        </is>
      </c>
      <c r="H26" s="87">
        <f>H16-H25</f>
        <v/>
      </c>
      <c r="I26" s="88">
        <f>I16-I25</f>
        <v/>
      </c>
      <c r="J26" s="88">
        <f>J16-J25</f>
        <v/>
      </c>
      <c r="K26" s="88">
        <f>K16-K25</f>
        <v/>
      </c>
      <c r="L26" s="88">
        <f>L16-L25</f>
        <v/>
      </c>
      <c r="M26" s="88">
        <f>M16-M25</f>
        <v/>
      </c>
      <c r="N26" s="88">
        <f>N16-N25</f>
        <v/>
      </c>
      <c r="O26" s="88">
        <f>O16-O25</f>
        <v/>
      </c>
    </row>
    <row r="27">
      <c r="A27" t="inlineStr">
        <is>
          <t>(Increase)/decrease in NWC</t>
        </is>
      </c>
      <c r="I27" s="89">
        <f>-(I26-H26)</f>
        <v/>
      </c>
      <c r="J27" s="89">
        <f>-(J26-I26)</f>
        <v/>
      </c>
      <c r="K27" s="89">
        <f>-(K26-J26)</f>
        <v/>
      </c>
      <c r="L27" s="89">
        <f>-(L26-K26)</f>
        <v/>
      </c>
      <c r="M27" s="89">
        <f>-(M26-L26)</f>
        <v/>
      </c>
      <c r="N27" s="89">
        <f>-(N26-M26)</f>
        <v/>
      </c>
      <c r="O27" s="89">
        <f>-(O26-N26)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'Forecast Financial Statements'!H53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'Forecast Financial Statements'!H72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'Forecast Financial Statements'!H29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696.41</v>
      </c>
      <c r="J12" s="33" t="n">
        <v>696.41</v>
      </c>
      <c r="K12" s="33" t="n">
        <v>696.41</v>
      </c>
      <c r="L12" s="33" t="n">
        <v>696.41</v>
      </c>
      <c r="M12" s="33" t="n">
        <v>696.41</v>
      </c>
      <c r="N12" s="33" t="n">
        <v>696.41</v>
      </c>
      <c r="O12" s="33" t="n">
        <v>696.41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- current (memo, from WC)</t>
        </is>
      </c>
      <c r="I8" s="33">
        <f>'Working Capital Schedule'!I11</f>
        <v/>
      </c>
      <c r="J8" s="33">
        <f>'Working Capital Schedule'!J11</f>
        <v/>
      </c>
      <c r="K8" s="33">
        <f>'Working Capital Schedule'!K11</f>
        <v/>
      </c>
      <c r="L8" s="33">
        <f>'Working Capital Schedule'!L11</f>
        <v/>
      </c>
      <c r="M8" s="33">
        <f>'Working Capital Schedule'!M11</f>
        <v/>
      </c>
      <c r="N8" s="33">
        <f>'Working Capital Schedule'!N11</f>
        <v/>
      </c>
      <c r="O8" s="33">
        <f>'Working Capital Schedule'!O11</f>
        <v/>
      </c>
    </row>
    <row r="9">
      <c r="A9" s="5" t="inlineStr">
        <is>
          <t>Other operating assets (memo, from WC)</t>
        </is>
      </c>
      <c r="I9" s="33">
        <f>'Working Capital Schedule'!I14</f>
        <v/>
      </c>
      <c r="J9" s="33">
        <f>'Working Capital Schedule'!J14</f>
        <v/>
      </c>
      <c r="K9" s="33">
        <f>'Working Capital Schedule'!K14</f>
        <v/>
      </c>
      <c r="L9" s="33">
        <f>'Working Capital Schedule'!L14</f>
        <v/>
      </c>
      <c r="M9" s="33">
        <f>'Working Capital Schedule'!M14</f>
        <v/>
      </c>
      <c r="N9" s="33">
        <f>'Working Capital Schedule'!N14</f>
        <v/>
      </c>
      <c r="O9" s="33">
        <f>'Working Capital Schedule'!O14</f>
        <v/>
      </c>
    </row>
    <row r="10">
      <c r="A10" s="5" t="inlineStr">
        <is>
          <t>Contract liabilities - current (memo, from WC)</t>
        </is>
      </c>
      <c r="I10" s="33">
        <f>'Working Capital Schedule'!I19</f>
        <v/>
      </c>
      <c r="J10" s="33">
        <f>'Working Capital Schedule'!J19</f>
        <v/>
      </c>
      <c r="K10" s="33">
        <f>'Working Capital Schedule'!K19</f>
        <v/>
      </c>
      <c r="L10" s="33">
        <f>'Working Capital Schedule'!L19</f>
        <v/>
      </c>
      <c r="M10" s="33">
        <f>'Working Capital Schedule'!M19</f>
        <v/>
      </c>
      <c r="N10" s="33">
        <f>'Working Capital Schedule'!N19</f>
        <v/>
      </c>
      <c r="O10" s="33">
        <f>'Working Capital Schedule'!O19</f>
        <v/>
      </c>
    </row>
    <row r="11">
      <c r="A11" s="5" t="inlineStr">
        <is>
          <t>Provisions &amp; other liabilities (memo, from WC)</t>
        </is>
      </c>
      <c r="I11" s="33">
        <f>'Working Capital Schedule'!I23</f>
        <v/>
      </c>
      <c r="J11" s="33">
        <f>'Working Capital Schedule'!J23</f>
        <v/>
      </c>
      <c r="K11" s="33">
        <f>'Working Capital Schedule'!K23</f>
        <v/>
      </c>
      <c r="L11" s="33">
        <f>'Working Capital Schedule'!L23</f>
        <v/>
      </c>
      <c r="M11" s="33">
        <f>'Working Capital Schedule'!M23</f>
        <v/>
      </c>
      <c r="N11" s="33">
        <f>'Working Capital Schedule'!N23</f>
        <v/>
      </c>
      <c r="O11" s="33">
        <f>'Working Capital Schedule'!O23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Indirect method. FY20-26 reported; FY27-33 = PAT + D&amp;A - increase in NWC; investing &amp; financing from schedules. No plugs.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(Increase)/decrease in working capital</t>
        </is>
      </c>
      <c r="I8" s="33">
        <f>'Working Capital Schedule'!I27</f>
        <v/>
      </c>
      <c r="J8" s="33">
        <f>'Working Capital Schedule'!J27</f>
        <v/>
      </c>
      <c r="K8" s="33">
        <f>'Working Capital Schedule'!K27</f>
        <v/>
      </c>
      <c r="L8" s="33">
        <f>'Working Capital Schedule'!L27</f>
        <v/>
      </c>
      <c r="M8" s="33">
        <f>'Working Capital Schedule'!M27</f>
        <v/>
      </c>
      <c r="N8" s="33">
        <f>'Working Capital Schedule'!N27</f>
        <v/>
      </c>
      <c r="O8" s="33">
        <f>'Working Capital Schedule'!O27</f>
        <v/>
      </c>
    </row>
    <row r="9">
      <c r="A9" s="4" t="inlineStr">
        <is>
          <t>Cash flow from operating activities</t>
        </is>
      </c>
      <c r="B9" s="45">
        <f>'Historical Financial Statements'!B42</f>
        <v/>
      </c>
      <c r="C9" s="45">
        <f>'Historical Financial Statements'!C42</f>
        <v/>
      </c>
      <c r="D9" s="45">
        <f>'Historical Financial Statements'!D42</f>
        <v/>
      </c>
      <c r="E9" s="45">
        <f>'Historical Financial Statements'!E42</f>
        <v/>
      </c>
      <c r="F9" s="45">
        <f>'Historical Financial Statements'!F42</f>
        <v/>
      </c>
      <c r="G9" s="45">
        <f>'Historical Financial Statements'!G42</f>
        <v/>
      </c>
      <c r="H9" s="45">
        <f>'Historical Financial Statements'!H42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I13" s="33">
        <f>-('Assumptions'!I44-'Forecast Financial Statements'!H54)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Change in investments</t>
        </is>
      </c>
      <c r="I14" s="33">
        <f>-('Assumptions'!I45-'Forecast Financial Statements'!H55)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'Historical Financial Statements'!B43</f>
        <v/>
      </c>
      <c r="C15" s="45">
        <f>'Historical Financial Statements'!C43</f>
        <v/>
      </c>
      <c r="D15" s="45">
        <f>'Historical Financial Statements'!D43</f>
        <v/>
      </c>
      <c r="E15" s="45">
        <f>'Historical Financial Statements'!E43</f>
        <v/>
      </c>
      <c r="F15" s="45">
        <f>'Historical Financial Statements'!F43</f>
        <v/>
      </c>
      <c r="G15" s="45">
        <f>'Historical Financial Statements'!G43</f>
        <v/>
      </c>
      <c r="H15" s="45">
        <f>'Historical Financial Statements'!H43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Debt repayment</t>
        </is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'Historical Financial Statements'!B44</f>
        <v/>
      </c>
      <c r="C21" s="45">
        <f>'Historical Financial Statements'!C44</f>
        <v/>
      </c>
      <c r="D21" s="45">
        <f>'Historical Financial Statements'!D44</f>
        <v/>
      </c>
      <c r="E21" s="45">
        <f>'Historical Financial Statements'!E44</f>
        <v/>
      </c>
      <c r="F21" s="45">
        <f>'Historical Financial Statements'!F44</f>
        <v/>
      </c>
      <c r="G21" s="45">
        <f>'Historical Financial Statements'!G44</f>
        <v/>
      </c>
      <c r="H21" s="45">
        <f>'Historical Financial Statements'!H44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</t>
        </is>
      </c>
      <c r="B23" s="43">
        <f>'Historical Financial Statements'!B45</f>
        <v/>
      </c>
      <c r="C23" s="43">
        <f>'Historical Financial Statements'!C45</f>
        <v/>
      </c>
      <c r="D23" s="43">
        <f>'Historical Financial Statements'!D45</f>
        <v/>
      </c>
      <c r="E23" s="43">
        <f>'Historical Financial Statements'!E45</f>
        <v/>
      </c>
      <c r="F23" s="43">
        <f>'Historical Financial Statements'!F45</f>
        <v/>
      </c>
      <c r="G23" s="43">
        <f>'Historical Financial Statements'!G45</f>
        <v/>
      </c>
      <c r="H23" s="43">
        <f>'Historical Financial Statements'!H45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bank</t>
        </is>
      </c>
      <c r="B24" s="30" t="n">
        <v>6353</v>
      </c>
      <c r="C24" s="30" t="n">
        <v>6961</v>
      </c>
      <c r="D24" s="30" t="n">
        <v>7084</v>
      </c>
      <c r="E24" s="30" t="n">
        <v>6297</v>
      </c>
      <c r="F24" s="30" t="n">
        <v>7126</v>
      </c>
      <c r="G24" s="30" t="n">
        <v>7400</v>
      </c>
      <c r="H24" s="30" t="n">
        <v>6004</v>
      </c>
      <c r="I24" s="33">
        <f>'Forecast Financial Statements'!H67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bank</t>
        </is>
      </c>
      <c r="B25" s="47" t="n">
        <v>6961</v>
      </c>
      <c r="C25" s="47" t="n">
        <v>7084</v>
      </c>
      <c r="D25" s="47" t="n">
        <v>6297</v>
      </c>
      <c r="E25" s="47" t="n">
        <v>7126</v>
      </c>
      <c r="F25" s="47" t="n">
        <v>7400</v>
      </c>
      <c r="G25" s="47" t="n">
        <v>6004</v>
      </c>
      <c r="H25" s="47" t="n">
        <v>11866.62</v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6">
      <c r="A26" s="13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75" t="inlineStr">
        <is>
          <t>B.  BALANCE SHEET  (FY2020-26 reported; FY2027-33 forecast)  -  current vs non-current</t>
        </is>
      </c>
    </row>
    <row r="25">
      <c r="A25" s="76" t="inlineStr">
        <is>
          <t>Particulars</t>
        </is>
      </c>
      <c r="B25" s="90" t="inlineStr">
        <is>
          <t>FY2020</t>
        </is>
      </c>
      <c r="C25" s="90" t="inlineStr">
        <is>
          <t>FY2021</t>
        </is>
      </c>
      <c r="D25" s="90" t="inlineStr">
        <is>
          <t>FY2022</t>
        </is>
      </c>
      <c r="E25" s="90" t="inlineStr">
        <is>
          <t>FY2023</t>
        </is>
      </c>
      <c r="F25" s="90" t="inlineStr">
        <is>
          <t>FY2024</t>
        </is>
      </c>
      <c r="G25" s="90" t="inlineStr">
        <is>
          <t>FY2025</t>
        </is>
      </c>
      <c r="H25" s="90" t="inlineStr">
        <is>
          <t>FY2026</t>
        </is>
      </c>
      <c r="I25" s="90" t="inlineStr">
        <is>
          <t>FY2027</t>
        </is>
      </c>
      <c r="J25" s="90" t="inlineStr">
        <is>
          <t>FY2028</t>
        </is>
      </c>
      <c r="K25" s="90" t="inlineStr">
        <is>
          <t>FY2029</t>
        </is>
      </c>
      <c r="L25" s="90" t="inlineStr">
        <is>
          <t>FY2030</t>
        </is>
      </c>
      <c r="M25" s="90" t="inlineStr">
        <is>
          <t>FY2031</t>
        </is>
      </c>
      <c r="N25" s="90" t="inlineStr">
        <is>
          <t>FY2032</t>
        </is>
      </c>
      <c r="O25" s="90" t="inlineStr">
        <is>
          <t>FY2033</t>
        </is>
      </c>
    </row>
    <row r="26">
      <c r="A26" s="91" t="inlineStr">
        <is>
          <t>EQUITY &amp; LIABILITIES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92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76" t="inlineStr">
        <is>
          <t>Total Shareholders' Fund</t>
        </is>
      </c>
      <c r="B30" s="93">
        <f>B28+B29</f>
        <v/>
      </c>
      <c r="C30" s="93">
        <f>C28+C29</f>
        <v/>
      </c>
      <c r="D30" s="93">
        <f>D28+D29</f>
        <v/>
      </c>
      <c r="E30" s="93">
        <f>E28+E29</f>
        <v/>
      </c>
      <c r="F30" s="93">
        <f>F28+F29</f>
        <v/>
      </c>
      <c r="G30" s="93">
        <f>G28+G29</f>
        <v/>
      </c>
      <c r="H30" s="93">
        <f>H28+H29</f>
        <v/>
      </c>
      <c r="I30" s="93">
        <f>I28+I29</f>
        <v/>
      </c>
      <c r="J30" s="93">
        <f>J28+J29</f>
        <v/>
      </c>
      <c r="K30" s="93">
        <f>K28+K29</f>
        <v/>
      </c>
      <c r="L30" s="93">
        <f>L28+L29</f>
        <v/>
      </c>
      <c r="M30" s="93">
        <f>M28+M29</f>
        <v/>
      </c>
      <c r="N30" s="93">
        <f>N28+N29</f>
        <v/>
      </c>
      <c r="O30" s="93">
        <f>O28+O29</f>
        <v/>
      </c>
    </row>
    <row r="32">
      <c r="A32" s="92" t="inlineStr">
        <is>
          <t>Non-Current Liabilities</t>
        </is>
      </c>
    </row>
    <row r="33">
      <c r="A33" s="5" t="inlineStr">
        <is>
          <t xml:space="preserve">   Long-term Borrowings</t>
        </is>
      </c>
      <c r="B33" s="30" t="n">
        <v>75.37</v>
      </c>
      <c r="C33" s="30" t="n">
        <v>53.41</v>
      </c>
      <c r="D33" s="30" t="n">
        <v>35.12</v>
      </c>
      <c r="E33" s="30" t="n">
        <v>33.75</v>
      </c>
      <c r="F33" s="30" t="n">
        <v>23.55</v>
      </c>
      <c r="G33" s="30" t="n">
        <v>162.39</v>
      </c>
      <c r="H33" s="30" t="n">
        <v>168.18</v>
      </c>
      <c r="I33" s="43">
        <f>'Assumptions'!I51*'Debt Schedule'!I9</f>
        <v/>
      </c>
      <c r="J33" s="43">
        <f>'Assumptions'!J51*'Debt Schedule'!J9</f>
        <v/>
      </c>
      <c r="K33" s="43">
        <f>'Assumptions'!K51*'Debt Schedule'!K9</f>
        <v/>
      </c>
      <c r="L33" s="43">
        <f>'Assumptions'!L51*'Debt Schedule'!L9</f>
        <v/>
      </c>
      <c r="M33" s="43">
        <f>'Assumptions'!M51*'Debt Schedule'!M9</f>
        <v/>
      </c>
      <c r="N33" s="43">
        <f>'Assumptions'!N51*'Debt Schedule'!N9</f>
        <v/>
      </c>
      <c r="O33" s="43">
        <f>'Assumptions'!O51*'Debt Schedule'!O9</f>
        <v/>
      </c>
    </row>
    <row r="34">
      <c r="A34" s="5" t="inlineStr">
        <is>
          <t xml:space="preserve">   Trade Payables - non-current</t>
        </is>
      </c>
      <c r="B34" s="30" t="n">
        <v>1076.23</v>
      </c>
      <c r="C34" s="30" t="n">
        <v>1881.08</v>
      </c>
      <c r="D34" s="30" t="n">
        <v>2131.93</v>
      </c>
      <c r="E34" s="30" t="n">
        <v>2194.03</v>
      </c>
      <c r="F34" s="30" t="n">
        <v>2292.76</v>
      </c>
      <c r="G34" s="30" t="n">
        <v>2170.79</v>
      </c>
      <c r="H34" s="30" t="n">
        <v>1343.44</v>
      </c>
      <c r="I34" s="43">
        <f>'Working Capital Schedule'!I18</f>
        <v/>
      </c>
      <c r="J34" s="43">
        <f>'Working Capital Schedule'!J18</f>
        <v/>
      </c>
      <c r="K34" s="43">
        <f>'Working Capital Schedule'!K18</f>
        <v/>
      </c>
      <c r="L34" s="43">
        <f>'Working Capital Schedule'!L18</f>
        <v/>
      </c>
      <c r="M34" s="43">
        <f>'Working Capital Schedule'!M18</f>
        <v/>
      </c>
      <c r="N34" s="43">
        <f>'Working Capital Schedule'!N18</f>
        <v/>
      </c>
      <c r="O34" s="43">
        <f>'Working Capital Schedule'!O18</f>
        <v/>
      </c>
    </row>
    <row r="35">
      <c r="A35" s="5" t="inlineStr">
        <is>
          <t xml:space="preserve">   Contract Liabilities - non-current</t>
        </is>
      </c>
      <c r="B35" s="94" t="n">
        <v>2942.47</v>
      </c>
      <c r="C35" s="94" t="n">
        <v>2821.78</v>
      </c>
      <c r="D35" s="94" t="n">
        <v>2205.02</v>
      </c>
      <c r="E35" s="94" t="n">
        <v>2596.83</v>
      </c>
      <c r="F35" s="94" t="n">
        <v>4088.63</v>
      </c>
      <c r="G35" s="94" t="n">
        <v>9760.139999999999</v>
      </c>
      <c r="H35" s="94" t="n">
        <v>13413.24</v>
      </c>
      <c r="I35" s="43">
        <f>'Working Capital Schedule'!I20</f>
        <v/>
      </c>
      <c r="J35" s="43">
        <f>'Working Capital Schedule'!J20</f>
        <v/>
      </c>
      <c r="K35" s="43">
        <f>'Working Capital Schedule'!K20</f>
        <v/>
      </c>
      <c r="L35" s="43">
        <f>'Working Capital Schedule'!L20</f>
        <v/>
      </c>
      <c r="M35" s="43">
        <f>'Working Capital Schedule'!M20</f>
        <v/>
      </c>
      <c r="N35" s="43">
        <f>'Working Capital Schedule'!N20</f>
        <v/>
      </c>
      <c r="O35" s="43">
        <f>'Working Capital Schedule'!O20</f>
        <v/>
      </c>
    </row>
    <row r="36">
      <c r="A36" s="5" t="inlineStr">
        <is>
          <t xml:space="preserve">   Long-term Provisions</t>
        </is>
      </c>
      <c r="B36" s="95" t="n">
        <v>4225.16</v>
      </c>
      <c r="C36" s="95" t="n">
        <v>3925.56</v>
      </c>
      <c r="D36" s="95" t="n">
        <v>3771.21</v>
      </c>
      <c r="E36" s="95" t="n">
        <v>4101.02</v>
      </c>
      <c r="F36" s="95" t="n">
        <v>2489.08</v>
      </c>
      <c r="G36" s="95" t="n">
        <v>2585.56</v>
      </c>
      <c r="H36" s="95" t="n">
        <v>2354.62</v>
      </c>
      <c r="I36" s="96">
        <f>'Working Capital Schedule'!I22</f>
        <v/>
      </c>
      <c r="J36" s="96">
        <f>'Working Capital Schedule'!J22</f>
        <v/>
      </c>
      <c r="K36" s="96">
        <f>'Working Capital Schedule'!K22</f>
        <v/>
      </c>
      <c r="L36" s="96">
        <f>'Working Capital Schedule'!L22</f>
        <v/>
      </c>
      <c r="M36" s="96">
        <f>'Working Capital Schedule'!M22</f>
        <v/>
      </c>
      <c r="N36" s="96">
        <f>'Working Capital Schedule'!N22</f>
        <v/>
      </c>
      <c r="O36" s="96">
        <f>'Working Capital Schedule'!O22</f>
        <v/>
      </c>
    </row>
    <row r="37">
      <c r="A37" s="5" t="inlineStr">
        <is>
          <t xml:space="preserve">   Other Non-Current Liabilities</t>
        </is>
      </c>
      <c r="B37" s="30" t="n">
        <v>169.2</v>
      </c>
      <c r="C37" s="30" t="n">
        <v>226.48</v>
      </c>
      <c r="D37" s="30" t="n">
        <v>222.73</v>
      </c>
      <c r="E37" s="30" t="n">
        <v>264.68</v>
      </c>
      <c r="F37" s="30" t="n">
        <v>422.01</v>
      </c>
      <c r="G37" s="30" t="n">
        <v>456.55</v>
      </c>
      <c r="H37" s="30" t="n">
        <v>457.35</v>
      </c>
      <c r="I37" s="43">
        <f>'Working Capital Schedule'!I24</f>
        <v/>
      </c>
      <c r="J37" s="43">
        <f>'Working Capital Schedule'!J24</f>
        <v/>
      </c>
      <c r="K37" s="43">
        <f>'Working Capital Schedule'!K24</f>
        <v/>
      </c>
      <c r="L37" s="43">
        <f>'Working Capital Schedule'!L24</f>
        <v/>
      </c>
      <c r="M37" s="43">
        <f>'Working Capital Schedule'!M24</f>
        <v/>
      </c>
      <c r="N37" s="43">
        <f>'Working Capital Schedule'!N24</f>
        <v/>
      </c>
      <c r="O37" s="43">
        <f>'Working Capital Schedule'!O24</f>
        <v/>
      </c>
    </row>
    <row r="38">
      <c r="A38" s="76" t="inlineStr">
        <is>
          <t>Total Non-Current Liabilities</t>
        </is>
      </c>
      <c r="B38" s="97">
        <f>SUM(B33:B37)</f>
        <v/>
      </c>
      <c r="C38" s="97">
        <f>SUM(C33:C37)</f>
        <v/>
      </c>
      <c r="D38" s="97">
        <f>SUM(D33:D37)</f>
        <v/>
      </c>
      <c r="E38" s="97">
        <f>SUM(E33:E37)</f>
        <v/>
      </c>
      <c r="F38" s="97">
        <f>SUM(F33:F37)</f>
        <v/>
      </c>
      <c r="G38" s="97">
        <f>SUM(G33:G37)</f>
        <v/>
      </c>
      <c r="H38" s="97">
        <f>SUM(H33:H37)</f>
        <v/>
      </c>
      <c r="I38" s="97">
        <f>SUM(I33:I37)</f>
        <v/>
      </c>
      <c r="J38" s="97">
        <f>SUM(J33:J37)</f>
        <v/>
      </c>
      <c r="K38" s="97">
        <f>SUM(K33:K37)</f>
        <v/>
      </c>
      <c r="L38" s="97">
        <f>SUM(L33:L37)</f>
        <v/>
      </c>
      <c r="M38" s="97">
        <f>SUM(M33:M37)</f>
        <v/>
      </c>
      <c r="N38" s="97">
        <f>SUM(N33:N37)</f>
        <v/>
      </c>
      <c r="O38" s="97">
        <f>SUM(O33:O37)</f>
        <v/>
      </c>
    </row>
    <row r="39">
      <c r="A39" s="5" t="n"/>
      <c r="B39" s="30" t="n"/>
      <c r="C39" s="30" t="n"/>
      <c r="D39" s="30" t="n"/>
      <c r="E39" s="30" t="n"/>
      <c r="F39" s="30" t="n"/>
      <c r="G39" s="30" t="n"/>
      <c r="H39" s="30" t="n"/>
      <c r="I39" s="43" t="n"/>
      <c r="J39" s="43" t="n"/>
      <c r="K39" s="43" t="n"/>
      <c r="L39" s="43" t="n"/>
      <c r="M39" s="43" t="n"/>
      <c r="N39" s="43" t="n"/>
      <c r="O39" s="43" t="n"/>
    </row>
    <row r="40">
      <c r="A40" s="92" t="inlineStr">
        <is>
          <t>Current Liabilities</t>
        </is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</row>
    <row r="41">
      <c r="A41" s="5" t="inlineStr">
        <is>
          <t xml:space="preserve">   Short-term Borrowings</t>
        </is>
      </c>
      <c r="B41" s="30" t="n">
        <v>5004.59</v>
      </c>
      <c r="C41" s="30" t="n">
        <v>4897.48</v>
      </c>
      <c r="D41" s="30" t="n">
        <v>4794.81</v>
      </c>
      <c r="E41" s="30" t="n">
        <v>5419.76</v>
      </c>
      <c r="F41" s="30" t="n">
        <v>8832.91</v>
      </c>
      <c r="G41" s="30" t="n">
        <v>8852.209999999999</v>
      </c>
      <c r="H41" s="30" t="n">
        <v>8018.77</v>
      </c>
      <c r="I41" s="43">
        <f>'Debt Schedule'!I9-I33</f>
        <v/>
      </c>
      <c r="J41" s="43">
        <f>'Debt Schedule'!J9-J33</f>
        <v/>
      </c>
      <c r="K41" s="43">
        <f>'Debt Schedule'!K9-K33</f>
        <v/>
      </c>
      <c r="L41" s="43">
        <f>'Debt Schedule'!L9-L33</f>
        <v/>
      </c>
      <c r="M41" s="43">
        <f>'Debt Schedule'!M9-M33</f>
        <v/>
      </c>
      <c r="N41" s="43">
        <f>'Debt Schedule'!N9-N33</f>
        <v/>
      </c>
      <c r="O41" s="43">
        <f>'Debt Schedule'!O9-O33</f>
        <v/>
      </c>
    </row>
    <row r="42">
      <c r="A42" s="5" t="inlineStr">
        <is>
          <t xml:space="preserve">   Trade Payables - current</t>
        </is>
      </c>
      <c r="B42" s="98" t="n">
        <v>8829.16</v>
      </c>
      <c r="C42" s="98" t="n">
        <v>6683.51</v>
      </c>
      <c r="D42" s="98" t="n">
        <v>7749.59</v>
      </c>
      <c r="E42" s="98" t="n">
        <v>9895.83</v>
      </c>
      <c r="F42" s="98" t="n">
        <v>8539.379999999999</v>
      </c>
      <c r="G42" s="98" t="n">
        <v>9540.92</v>
      </c>
      <c r="H42" s="98" t="n">
        <v>10491.6</v>
      </c>
      <c r="I42" s="99">
        <f>'Working Capital Schedule'!I17</f>
        <v/>
      </c>
      <c r="J42" s="99">
        <f>'Working Capital Schedule'!J17</f>
        <v/>
      </c>
      <c r="K42" s="99">
        <f>'Working Capital Schedule'!K17</f>
        <v/>
      </c>
      <c r="L42" s="99">
        <f>'Working Capital Schedule'!L17</f>
        <v/>
      </c>
      <c r="M42" s="99">
        <f>'Working Capital Schedule'!M17</f>
        <v/>
      </c>
      <c r="N42" s="99">
        <f>'Working Capital Schedule'!N17</f>
        <v/>
      </c>
      <c r="O42" s="99">
        <f>'Working Capital Schedule'!O17</f>
        <v/>
      </c>
    </row>
    <row r="43">
      <c r="A43" s="5" t="inlineStr">
        <is>
          <t xml:space="preserve">   Contract Liabilities - current</t>
        </is>
      </c>
      <c r="B43" s="94" t="n">
        <v>3673.93</v>
      </c>
      <c r="C43" s="94" t="n">
        <v>4038.4</v>
      </c>
      <c r="D43" s="94" t="n">
        <v>3999.72</v>
      </c>
      <c r="E43" s="94" t="n">
        <v>3418.5</v>
      </c>
      <c r="F43" s="94" t="n">
        <v>3505.7</v>
      </c>
      <c r="G43" s="94" t="n">
        <v>5846.6</v>
      </c>
      <c r="H43" s="94" t="n">
        <v>9110.389999999999</v>
      </c>
      <c r="I43" s="43">
        <f>'Working Capital Schedule'!I19</f>
        <v/>
      </c>
      <c r="J43" s="43">
        <f>'Working Capital Schedule'!J19</f>
        <v/>
      </c>
      <c r="K43" s="43">
        <f>'Working Capital Schedule'!K19</f>
        <v/>
      </c>
      <c r="L43" s="43">
        <f>'Working Capital Schedule'!L19</f>
        <v/>
      </c>
      <c r="M43" s="43">
        <f>'Working Capital Schedule'!M19</f>
        <v/>
      </c>
      <c r="N43" s="43">
        <f>'Working Capital Schedule'!N19</f>
        <v/>
      </c>
      <c r="O43" s="43">
        <f>'Working Capital Schedule'!O19</f>
        <v/>
      </c>
    </row>
    <row r="44">
      <c r="A44" s="5" t="inlineStr">
        <is>
          <t xml:space="preserve">   Provisions - current</t>
        </is>
      </c>
      <c r="B44" s="30" t="n">
        <v>3085.76</v>
      </c>
      <c r="C44" s="30" t="n">
        <v>3168.52</v>
      </c>
      <c r="D44" s="30" t="n">
        <v>3066.7</v>
      </c>
      <c r="E44" s="30" t="n">
        <v>2796.63</v>
      </c>
      <c r="F44" s="30" t="n">
        <v>2318.27</v>
      </c>
      <c r="G44" s="30" t="n">
        <v>1815.31</v>
      </c>
      <c r="H44" s="30" t="n">
        <v>1918.91</v>
      </c>
      <c r="I44" s="43">
        <f>'Working Capital Schedule'!I21</f>
        <v/>
      </c>
      <c r="J44" s="43">
        <f>'Working Capital Schedule'!J21</f>
        <v/>
      </c>
      <c r="K44" s="43">
        <f>'Working Capital Schedule'!K21</f>
        <v/>
      </c>
      <c r="L44" s="43">
        <f>'Working Capital Schedule'!L21</f>
        <v/>
      </c>
      <c r="M44" s="43">
        <f>'Working Capital Schedule'!M21</f>
        <v/>
      </c>
      <c r="N44" s="43">
        <f>'Working Capital Schedule'!N21</f>
        <v/>
      </c>
      <c r="O44" s="43">
        <f>'Working Capital Schedule'!O21</f>
        <v/>
      </c>
    </row>
    <row r="45">
      <c r="A45" s="5" t="inlineStr">
        <is>
          <t xml:space="preserve">   Other Current Liabilities</t>
        </is>
      </c>
      <c r="B45" s="30" t="n">
        <v>2015.04</v>
      </c>
      <c r="C45" s="30" t="n">
        <v>1571.98</v>
      </c>
      <c r="D45" s="30" t="n">
        <v>1760.33</v>
      </c>
      <c r="E45" s="30" t="n">
        <v>1820.72</v>
      </c>
      <c r="F45" s="30" t="n">
        <v>2050.98</v>
      </c>
      <c r="G45" s="30" t="n">
        <v>2170.55</v>
      </c>
      <c r="H45" s="30" t="n">
        <v>2762.51</v>
      </c>
      <c r="I45" s="43">
        <f>'Working Capital Schedule'!I23</f>
        <v/>
      </c>
      <c r="J45" s="43">
        <f>'Working Capital Schedule'!J23</f>
        <v/>
      </c>
      <c r="K45" s="43">
        <f>'Working Capital Schedule'!K23</f>
        <v/>
      </c>
      <c r="L45" s="43">
        <f>'Working Capital Schedule'!L23</f>
        <v/>
      </c>
      <c r="M45" s="43">
        <f>'Working Capital Schedule'!M23</f>
        <v/>
      </c>
      <c r="N45" s="43">
        <f>'Working Capital Schedule'!N23</f>
        <v/>
      </c>
      <c r="O45" s="43">
        <f>'Working Capital Schedule'!O23</f>
        <v/>
      </c>
    </row>
    <row r="46">
      <c r="A46" s="76" t="inlineStr">
        <is>
          <t>Total Current Liabilities</t>
        </is>
      </c>
      <c r="B46" s="97">
        <f>SUM(B41:B45)</f>
        <v/>
      </c>
      <c r="C46" s="97">
        <f>SUM(C41:C45)</f>
        <v/>
      </c>
      <c r="D46" s="97">
        <f>SUM(D41:D45)</f>
        <v/>
      </c>
      <c r="E46" s="97">
        <f>SUM(E41:E45)</f>
        <v/>
      </c>
      <c r="F46" s="97">
        <f>SUM(F41:F45)</f>
        <v/>
      </c>
      <c r="G46" s="97">
        <f>SUM(G41:G45)</f>
        <v/>
      </c>
      <c r="H46" s="97">
        <f>SUM(H41:H45)</f>
        <v/>
      </c>
      <c r="I46" s="97">
        <f>SUM(I41:I45)</f>
        <v/>
      </c>
      <c r="J46" s="97">
        <f>SUM(J41:J45)</f>
        <v/>
      </c>
      <c r="K46" s="97">
        <f>SUM(K41:K45)</f>
        <v/>
      </c>
      <c r="L46" s="97">
        <f>SUM(L41:L45)</f>
        <v/>
      </c>
      <c r="M46" s="97">
        <f>SUM(M41:M45)</f>
        <v/>
      </c>
      <c r="N46" s="97">
        <f>SUM(N41:N45)</f>
        <v/>
      </c>
      <c r="O46" s="97">
        <f>SUM(O41:O45)</f>
        <v/>
      </c>
    </row>
    <row r="47">
      <c r="A47" s="76" t="inlineStr">
        <is>
          <t>Total Liabilities</t>
        </is>
      </c>
      <c r="B47" s="97">
        <f>B38+B46</f>
        <v/>
      </c>
      <c r="C47" s="97">
        <f>C38+C46</f>
        <v/>
      </c>
      <c r="D47" s="97">
        <f>D38+D46</f>
        <v/>
      </c>
      <c r="E47" s="97">
        <f>E38+E46</f>
        <v/>
      </c>
      <c r="F47" s="97">
        <f>F38+F46</f>
        <v/>
      </c>
      <c r="G47" s="97">
        <f>G38+G46</f>
        <v/>
      </c>
      <c r="H47" s="97">
        <f>H38+H46</f>
        <v/>
      </c>
      <c r="I47" s="97">
        <f>I38+I46</f>
        <v/>
      </c>
      <c r="J47" s="97">
        <f>J38+J46</f>
        <v/>
      </c>
      <c r="K47" s="97">
        <f>K38+K46</f>
        <v/>
      </c>
      <c r="L47" s="97">
        <f>L38+L46</f>
        <v/>
      </c>
      <c r="M47" s="97">
        <f>M38+M46</f>
        <v/>
      </c>
      <c r="N47" s="97">
        <f>N38+N46</f>
        <v/>
      </c>
      <c r="O47" s="97">
        <f>O38+O46</f>
        <v/>
      </c>
    </row>
    <row r="48">
      <c r="A48" s="5" t="n"/>
      <c r="B48" s="30" t="n"/>
      <c r="C48" s="30" t="n"/>
      <c r="D48" s="30" t="n"/>
      <c r="E48" s="30" t="n"/>
      <c r="F48" s="30" t="n"/>
      <c r="G48" s="30" t="n"/>
      <c r="H48" s="30" t="n"/>
      <c r="I48" s="43" t="n"/>
      <c r="J48" s="43" t="n"/>
      <c r="K48" s="43" t="n"/>
      <c r="L48" s="43" t="n"/>
      <c r="M48" s="43" t="n"/>
      <c r="N48" s="43" t="n"/>
      <c r="O48" s="43" t="n"/>
    </row>
    <row r="49">
      <c r="A49" s="76" t="inlineStr">
        <is>
          <t>TOTAL EQUITY &amp; LIABILITIES</t>
        </is>
      </c>
      <c r="B49" s="97">
        <f>B30+B47</f>
        <v/>
      </c>
      <c r="C49" s="97">
        <f>C30+C47</f>
        <v/>
      </c>
      <c r="D49" s="97">
        <f>D30+D47</f>
        <v/>
      </c>
      <c r="E49" s="97">
        <f>E30+E47</f>
        <v/>
      </c>
      <c r="F49" s="97">
        <f>F30+F47</f>
        <v/>
      </c>
      <c r="G49" s="97">
        <f>G30+G47</f>
        <v/>
      </c>
      <c r="H49" s="97">
        <f>H30+H47</f>
        <v/>
      </c>
      <c r="I49" s="97">
        <f>I30+I47</f>
        <v/>
      </c>
      <c r="J49" s="97">
        <f>J30+J47</f>
        <v/>
      </c>
      <c r="K49" s="97">
        <f>K30+K47</f>
        <v/>
      </c>
      <c r="L49" s="97">
        <f>L30+L47</f>
        <v/>
      </c>
      <c r="M49" s="97">
        <f>M30+M47</f>
        <v/>
      </c>
      <c r="N49" s="97">
        <f>N30+N47</f>
        <v/>
      </c>
      <c r="O49" s="97">
        <f>O30+O47</f>
        <v/>
      </c>
    </row>
    <row r="50">
      <c r="A50" s="4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</row>
    <row r="51">
      <c r="A51" s="91" t="inlineStr">
        <is>
          <t>ASSETS</t>
        </is>
      </c>
      <c r="B51" s="100" t="n"/>
      <c r="C51" s="100" t="n"/>
      <c r="D51" s="100" t="n"/>
      <c r="E51" s="100" t="n"/>
      <c r="F51" s="100" t="n"/>
      <c r="G51" s="100" t="n"/>
      <c r="H51" s="100" t="n"/>
      <c r="I51" s="86" t="n"/>
      <c r="J51" s="86" t="n"/>
      <c r="K51" s="86" t="n"/>
      <c r="L51" s="86" t="n"/>
      <c r="M51" s="86" t="n"/>
      <c r="N51" s="86" t="n"/>
      <c r="O51" s="86" t="n"/>
    </row>
    <row r="52">
      <c r="A52" s="92" t="inlineStr">
        <is>
          <t>Non-Current Assets</t>
        </is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</row>
    <row r="53">
      <c r="A53" s="5" t="inlineStr">
        <is>
          <t xml:space="preserve">   Property, Plant &amp; Equipment (incl. intangibles)</t>
        </is>
      </c>
      <c r="B53" s="30" t="n">
        <v>2824.38</v>
      </c>
      <c r="C53" s="30" t="n">
        <v>2507.49</v>
      </c>
      <c r="D53" s="30" t="n">
        <v>2407.12</v>
      </c>
      <c r="E53" s="30" t="n">
        <v>2485.24</v>
      </c>
      <c r="F53" s="30" t="n">
        <v>2600.08</v>
      </c>
      <c r="G53" s="30" t="n">
        <v>2980.91</v>
      </c>
      <c r="H53" s="30" t="n">
        <v>3094.38</v>
      </c>
      <c r="I53" s="43">
        <f>'Fixed Asset Schedule'!I10</f>
        <v/>
      </c>
      <c r="J53" s="43">
        <f>'Fixed Asset Schedule'!J10</f>
        <v/>
      </c>
      <c r="K53" s="43">
        <f>'Fixed Asset Schedule'!K10</f>
        <v/>
      </c>
      <c r="L53" s="43">
        <f>'Fixed Asset Schedule'!L10</f>
        <v/>
      </c>
      <c r="M53" s="43">
        <f>'Fixed Asset Schedule'!M10</f>
        <v/>
      </c>
      <c r="N53" s="43">
        <f>'Fixed Asset Schedule'!N10</f>
        <v/>
      </c>
      <c r="O53" s="43">
        <f>'Fixed Asset Schedule'!O10</f>
        <v/>
      </c>
    </row>
    <row r="54">
      <c r="A54" s="5" t="inlineStr">
        <is>
          <t xml:space="preserve">   Capital Work in Progress</t>
        </is>
      </c>
      <c r="B54" s="30" t="n">
        <v>306.74</v>
      </c>
      <c r="C54" s="30" t="n">
        <v>403.21</v>
      </c>
      <c r="D54" s="30" t="n">
        <v>422.32</v>
      </c>
      <c r="E54" s="30" t="n">
        <v>344.59</v>
      </c>
      <c r="F54" s="30" t="n">
        <v>282.32</v>
      </c>
      <c r="G54" s="30" t="n">
        <v>161.7</v>
      </c>
      <c r="H54" s="30" t="n">
        <v>399.2</v>
      </c>
      <c r="I54" s="43">
        <f>'Assumptions'!I44</f>
        <v/>
      </c>
      <c r="J54" s="43">
        <f>'Assumptions'!J44</f>
        <v/>
      </c>
      <c r="K54" s="43">
        <f>'Assumptions'!K44</f>
        <v/>
      </c>
      <c r="L54" s="43">
        <f>'Assumptions'!L44</f>
        <v/>
      </c>
      <c r="M54" s="43">
        <f>'Assumptions'!M44</f>
        <v/>
      </c>
      <c r="N54" s="43">
        <f>'Assumptions'!N44</f>
        <v/>
      </c>
      <c r="O54" s="43">
        <f>'Assumptions'!O44</f>
        <v/>
      </c>
    </row>
    <row r="55">
      <c r="A55" s="5" t="inlineStr">
        <is>
          <t xml:space="preserve">   Investments</t>
        </is>
      </c>
      <c r="B55" s="30" t="n">
        <v>162.06</v>
      </c>
      <c r="C55" s="30" t="n">
        <v>185.34</v>
      </c>
      <c r="D55" s="30" t="n">
        <v>205.15</v>
      </c>
      <c r="E55" s="30" t="n">
        <v>235.42</v>
      </c>
      <c r="F55" s="30" t="n">
        <v>255.67</v>
      </c>
      <c r="G55" s="30" t="n">
        <v>275.57</v>
      </c>
      <c r="H55" s="30" t="n">
        <v>302.06</v>
      </c>
      <c r="I55" s="43">
        <f>'Assumptions'!I45</f>
        <v/>
      </c>
      <c r="J55" s="43">
        <f>'Assumptions'!J45</f>
        <v/>
      </c>
      <c r="K55" s="43">
        <f>'Assumptions'!K45</f>
        <v/>
      </c>
      <c r="L55" s="43">
        <f>'Assumptions'!L45</f>
        <v/>
      </c>
      <c r="M55" s="43">
        <f>'Assumptions'!M45</f>
        <v/>
      </c>
      <c r="N55" s="43">
        <f>'Assumptions'!N45</f>
        <v/>
      </c>
      <c r="O55" s="43">
        <f>'Assumptions'!O45</f>
        <v/>
      </c>
    </row>
    <row r="56">
      <c r="A56" s="5" t="inlineStr">
        <is>
          <t xml:space="preserve">   Trade Receivables - non-current</t>
        </is>
      </c>
      <c r="B56" s="30" t="n">
        <v>4533.5</v>
      </c>
      <c r="C56" s="30" t="n">
        <v>3179.74</v>
      </c>
      <c r="D56" s="30" t="n">
        <v>3203.84</v>
      </c>
      <c r="E56" s="30" t="n">
        <v>3415.54</v>
      </c>
      <c r="F56" s="30" t="n">
        <v>3224.69</v>
      </c>
      <c r="G56" s="30" t="n">
        <v>3046.58</v>
      </c>
      <c r="H56" s="30" t="n">
        <v>2426.93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Contract Assets - non-current</t>
        </is>
      </c>
      <c r="B57" s="94" t="n">
        <v>15784.19</v>
      </c>
      <c r="C57" s="94" t="n">
        <v>16257.65</v>
      </c>
      <c r="D57" s="94" t="n">
        <v>17872.66</v>
      </c>
      <c r="E57" s="94" t="n">
        <v>18618.96</v>
      </c>
      <c r="F57" s="94" t="n">
        <v>13206.53</v>
      </c>
      <c r="G57" s="94" t="n">
        <v>13578.22</v>
      </c>
      <c r="H57" s="94" t="n">
        <v>14196.72</v>
      </c>
      <c r="I57" s="43">
        <f>'Working Capital Schedule'!I12</f>
        <v/>
      </c>
      <c r="J57" s="43">
        <f>'Working Capital Schedule'!J12</f>
        <v/>
      </c>
      <c r="K57" s="43">
        <f>'Working Capital Schedule'!K12</f>
        <v/>
      </c>
      <c r="L57" s="43">
        <f>'Working Capital Schedule'!L12</f>
        <v/>
      </c>
      <c r="M57" s="43">
        <f>'Working Capital Schedule'!M12</f>
        <v/>
      </c>
      <c r="N57" s="43">
        <f>'Working Capital Schedule'!N12</f>
        <v/>
      </c>
      <c r="O57" s="43">
        <f>'Working Capital Schedule'!O12</f>
        <v/>
      </c>
    </row>
    <row r="58">
      <c r="A58" s="5" t="inlineStr">
        <is>
          <t xml:space="preserve">   Deferred Tax Assets</t>
        </is>
      </c>
      <c r="B58" s="30" t="n">
        <v>2765.87</v>
      </c>
      <c r="C58" s="30" t="n">
        <v>3671.24</v>
      </c>
      <c r="D58" s="30" t="n">
        <v>3530.08</v>
      </c>
      <c r="E58" s="30" t="n">
        <v>3422.62</v>
      </c>
      <c r="F58" s="30" t="n">
        <v>4201.26</v>
      </c>
      <c r="G58" s="30" t="n">
        <v>4067.72</v>
      </c>
      <c r="H58" s="30" t="n">
        <v>3532.8</v>
      </c>
      <c r="I58" s="43">
        <f>'Working Capital Schedule'!I13</f>
        <v/>
      </c>
      <c r="J58" s="43">
        <f>'Working Capital Schedule'!J13</f>
        <v/>
      </c>
      <c r="K58" s="43">
        <f>'Working Capital Schedule'!K13</f>
        <v/>
      </c>
      <c r="L58" s="43">
        <f>'Working Capital Schedule'!L13</f>
        <v/>
      </c>
      <c r="M58" s="43">
        <f>'Working Capital Schedule'!M13</f>
        <v/>
      </c>
      <c r="N58" s="43">
        <f>'Working Capital Schedule'!N13</f>
        <v/>
      </c>
      <c r="O58" s="43">
        <f>'Working Capital Schedule'!O13</f>
        <v/>
      </c>
    </row>
    <row r="59">
      <c r="A59" s="5" t="inlineStr">
        <is>
          <t xml:space="preserve">   Other Non-Current Assets</t>
        </is>
      </c>
      <c r="B59" s="95" t="n">
        <v>660.64</v>
      </c>
      <c r="C59" s="95" t="n">
        <v>692.1799999999999</v>
      </c>
      <c r="D59" s="95" t="n">
        <v>740.61</v>
      </c>
      <c r="E59" s="95" t="n">
        <v>765.14</v>
      </c>
      <c r="F59" s="95" t="n">
        <v>689.26</v>
      </c>
      <c r="G59" s="95" t="n">
        <v>1212.71</v>
      </c>
      <c r="H59" s="95" t="n">
        <v>778.17</v>
      </c>
      <c r="I59" s="96">
        <f>'Working Capital Schedule'!I15</f>
        <v/>
      </c>
      <c r="J59" s="96">
        <f>'Working Capital Schedule'!J15</f>
        <v/>
      </c>
      <c r="K59" s="96">
        <f>'Working Capital Schedule'!K15</f>
        <v/>
      </c>
      <c r="L59" s="96">
        <f>'Working Capital Schedule'!L15</f>
        <v/>
      </c>
      <c r="M59" s="96">
        <f>'Working Capital Schedule'!M15</f>
        <v/>
      </c>
      <c r="N59" s="96">
        <f>'Working Capital Schedule'!N15</f>
        <v/>
      </c>
      <c r="O59" s="96">
        <f>'Working Capital Schedule'!O15</f>
        <v/>
      </c>
    </row>
    <row r="60">
      <c r="A60" s="76" t="inlineStr">
        <is>
          <t>Total Non-Current Assets</t>
        </is>
      </c>
      <c r="B60" s="97">
        <f>SUM(B53:B59)</f>
        <v/>
      </c>
      <c r="C60" s="97">
        <f>SUM(C53:C59)</f>
        <v/>
      </c>
      <c r="D60" s="97">
        <f>SUM(D53:D59)</f>
        <v/>
      </c>
      <c r="E60" s="97">
        <f>SUM(E53:E59)</f>
        <v/>
      </c>
      <c r="F60" s="97">
        <f>SUM(F53:F59)</f>
        <v/>
      </c>
      <c r="G60" s="97">
        <f>SUM(G53:G59)</f>
        <v/>
      </c>
      <c r="H60" s="97">
        <f>SUM(H53:H59)</f>
        <v/>
      </c>
      <c r="I60" s="97">
        <f>SUM(I53:I59)</f>
        <v/>
      </c>
      <c r="J60" s="97">
        <f>SUM(J53:J59)</f>
        <v/>
      </c>
      <c r="K60" s="97">
        <f>SUM(K53:K59)</f>
        <v/>
      </c>
      <c r="L60" s="97">
        <f>SUM(L53:L59)</f>
        <v/>
      </c>
      <c r="M60" s="97">
        <f>SUM(M53:M59)</f>
        <v/>
      </c>
      <c r="N60" s="97">
        <f>SUM(N53:N59)</f>
        <v/>
      </c>
      <c r="O60" s="97">
        <f>SUM(O53:O59)</f>
        <v/>
      </c>
    </row>
    <row r="61">
      <c r="A61" s="4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</row>
    <row r="62">
      <c r="A62" s="92" t="inlineStr">
        <is>
          <t>Current Assets</t>
        </is>
      </c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</row>
    <row r="63">
      <c r="A63" s="5" t="inlineStr">
        <is>
          <t xml:space="preserve">   Trade Receivables - current</t>
        </is>
      </c>
      <c r="B63" s="30" t="n">
        <v>7108.6</v>
      </c>
      <c r="C63" s="30" t="n">
        <v>4035.07</v>
      </c>
      <c r="D63" s="30" t="n">
        <v>3024.75</v>
      </c>
      <c r="E63" s="30" t="n">
        <v>3128.35</v>
      </c>
      <c r="F63" s="30" t="n">
        <v>4785.38</v>
      </c>
      <c r="G63" s="30" t="n">
        <v>5884.35</v>
      </c>
      <c r="H63" s="30" t="n">
        <v>6796.27</v>
      </c>
      <c r="I63" s="43">
        <f>'Working Capital Schedule'!I8</f>
        <v/>
      </c>
      <c r="J63" s="43">
        <f>'Working Capital Schedule'!J8</f>
        <v/>
      </c>
      <c r="K63" s="43">
        <f>'Working Capital Schedule'!K8</f>
        <v/>
      </c>
      <c r="L63" s="43">
        <f>'Working Capital Schedule'!L8</f>
        <v/>
      </c>
      <c r="M63" s="43">
        <f>'Working Capital Schedule'!M8</f>
        <v/>
      </c>
      <c r="N63" s="43">
        <f>'Working Capital Schedule'!N8</f>
        <v/>
      </c>
      <c r="O63" s="43">
        <f>'Working Capital Schedule'!O8</f>
        <v/>
      </c>
    </row>
    <row r="64">
      <c r="A64" s="5" t="inlineStr">
        <is>
          <t xml:space="preserve">   Inventories</t>
        </is>
      </c>
      <c r="B64" s="30" t="n">
        <v>8908.23</v>
      </c>
      <c r="C64" s="30" t="n">
        <v>7194.45</v>
      </c>
      <c r="D64" s="30" t="n">
        <v>6560.21</v>
      </c>
      <c r="E64" s="30" t="n">
        <v>6755.9</v>
      </c>
      <c r="F64" s="30" t="n">
        <v>7220.57</v>
      </c>
      <c r="G64" s="30" t="n">
        <v>9869.49</v>
      </c>
      <c r="H64" s="30" t="n">
        <v>13334.58</v>
      </c>
      <c r="I64" s="43">
        <f>'Working Capital Schedule'!I10</f>
        <v/>
      </c>
      <c r="J64" s="43">
        <f>'Working Capital Schedule'!J10</f>
        <v/>
      </c>
      <c r="K64" s="43">
        <f>'Working Capital Schedule'!K10</f>
        <v/>
      </c>
      <c r="L64" s="43">
        <f>'Working Capital Schedule'!L10</f>
        <v/>
      </c>
      <c r="M64" s="43">
        <f>'Working Capital Schedule'!M10</f>
        <v/>
      </c>
      <c r="N64" s="43">
        <f>'Working Capital Schedule'!N10</f>
        <v/>
      </c>
      <c r="O64" s="43">
        <f>'Working Capital Schedule'!O10</f>
        <v/>
      </c>
    </row>
    <row r="65">
      <c r="A65" s="5" t="inlineStr">
        <is>
          <t xml:space="preserve">   Contract Assets - current</t>
        </is>
      </c>
      <c r="B65" s="94" t="n">
        <v>7855.32</v>
      </c>
      <c r="C65" s="94" t="n">
        <v>7849.05</v>
      </c>
      <c r="D65" s="94" t="n">
        <v>8665.09</v>
      </c>
      <c r="E65" s="94" t="n">
        <v>10478.24</v>
      </c>
      <c r="F65" s="94" t="n">
        <v>12773.63</v>
      </c>
      <c r="G65" s="94" t="n">
        <v>15218.87</v>
      </c>
      <c r="H65" s="94" t="n">
        <v>15192.89</v>
      </c>
      <c r="I65" s="43">
        <f>'Working Capital Schedule'!I11</f>
        <v/>
      </c>
      <c r="J65" s="43">
        <f>'Working Capital Schedule'!J11</f>
        <v/>
      </c>
      <c r="K65" s="43">
        <f>'Working Capital Schedule'!K11</f>
        <v/>
      </c>
      <c r="L65" s="43">
        <f>'Working Capital Schedule'!L11</f>
        <v/>
      </c>
      <c r="M65" s="43">
        <f>'Working Capital Schedule'!M11</f>
        <v/>
      </c>
      <c r="N65" s="43">
        <f>'Working Capital Schedule'!N11</f>
        <v/>
      </c>
      <c r="O65" s="43">
        <f>'Working Capital Schedule'!O11</f>
        <v/>
      </c>
    </row>
    <row r="66">
      <c r="A66" s="5" t="inlineStr">
        <is>
          <t xml:space="preserve">   Other Current Assets</t>
        </is>
      </c>
      <c r="B66" s="30" t="n">
        <v>2420.44</v>
      </c>
      <c r="C66" s="30" t="n">
        <v>2563.33</v>
      </c>
      <c r="D66" s="30" t="n">
        <v>2458.24</v>
      </c>
      <c r="E66" s="30" t="n">
        <v>3077.2</v>
      </c>
      <c r="F66" s="30" t="n">
        <v>3605.06</v>
      </c>
      <c r="G66" s="30" t="n">
        <v>4174.65</v>
      </c>
      <c r="H66" s="30" t="n">
        <v>4264.99</v>
      </c>
      <c r="I66" s="43">
        <f>'Working Capital Schedule'!I14</f>
        <v/>
      </c>
      <c r="J66" s="43">
        <f>'Working Capital Schedule'!J14</f>
        <v/>
      </c>
      <c r="K66" s="43">
        <f>'Working Capital Schedule'!K14</f>
        <v/>
      </c>
      <c r="L66" s="43">
        <f>'Working Capital Schedule'!L14</f>
        <v/>
      </c>
      <c r="M66" s="43">
        <f>'Working Capital Schedule'!M14</f>
        <v/>
      </c>
      <c r="N66" s="43">
        <f>'Working Capital Schedule'!N14</f>
        <v/>
      </c>
      <c r="O66" s="43">
        <f>'Working Capital Schedule'!O14</f>
        <v/>
      </c>
    </row>
    <row r="67">
      <c r="A67" s="5" t="inlineStr">
        <is>
          <t xml:space="preserve">   Cash &amp; Bank Balances</t>
        </is>
      </c>
      <c r="B67" s="30" t="n">
        <v>6418.59</v>
      </c>
      <c r="C67" s="30" t="n">
        <v>6701.45</v>
      </c>
      <c r="D67" s="30" t="n">
        <v>7153.69</v>
      </c>
      <c r="E67" s="30" t="n">
        <v>6642.58</v>
      </c>
      <c r="F67" s="30" t="n">
        <v>6157.47</v>
      </c>
      <c r="G67" s="30" t="n">
        <v>7612.41</v>
      </c>
      <c r="H67" s="30" t="n">
        <v>11866.62</v>
      </c>
      <c r="I67" s="43">
        <f>'Cash Flow Statement'!I25</f>
        <v/>
      </c>
      <c r="J67" s="43">
        <f>'Cash Flow Statement'!J25</f>
        <v/>
      </c>
      <c r="K67" s="43">
        <f>'Cash Flow Statement'!K25</f>
        <v/>
      </c>
      <c r="L67" s="43">
        <f>'Cash Flow Statement'!L25</f>
        <v/>
      </c>
      <c r="M67" s="43">
        <f>'Cash Flow Statement'!M25</f>
        <v/>
      </c>
      <c r="N67" s="43">
        <f>'Cash Flow Statement'!N25</f>
        <v/>
      </c>
      <c r="O67" s="43">
        <f>'Cash Flow Statement'!O25</f>
        <v/>
      </c>
    </row>
    <row r="68">
      <c r="A68" s="76" t="inlineStr">
        <is>
          <t>Total Current Assets</t>
        </is>
      </c>
      <c r="B68" s="97">
        <f>SUM(B63:B67)</f>
        <v/>
      </c>
      <c r="C68" s="97">
        <f>SUM(C63:C67)</f>
        <v/>
      </c>
      <c r="D68" s="97">
        <f>SUM(D63:D67)</f>
        <v/>
      </c>
      <c r="E68" s="97">
        <f>SUM(E63:E67)</f>
        <v/>
      </c>
      <c r="F68" s="97">
        <f>SUM(F63:F67)</f>
        <v/>
      </c>
      <c r="G68" s="97">
        <f>SUM(G63:G67)</f>
        <v/>
      </c>
      <c r="H68" s="97">
        <f>SUM(H63:H67)</f>
        <v/>
      </c>
      <c r="I68" s="97">
        <f>SUM(I63:I67)</f>
        <v/>
      </c>
      <c r="J68" s="97">
        <f>SUM(J63:J67)</f>
        <v/>
      </c>
      <c r="K68" s="97">
        <f>SUM(K63:K67)</f>
        <v/>
      </c>
      <c r="L68" s="97">
        <f>SUM(L63:L67)</f>
        <v/>
      </c>
      <c r="M68" s="97">
        <f>SUM(M63:M67)</f>
        <v/>
      </c>
      <c r="N68" s="97">
        <f>SUM(N63:N67)</f>
        <v/>
      </c>
      <c r="O68" s="97">
        <f>SUM(O63:O67)</f>
        <v/>
      </c>
    </row>
    <row r="69">
      <c r="A69" s="4" t="n"/>
    </row>
    <row r="70">
      <c r="A70" s="76" t="inlineStr">
        <is>
          <t>TOTAL ASSETS</t>
        </is>
      </c>
      <c r="B70" s="97">
        <f>B60+B68</f>
        <v/>
      </c>
      <c r="C70" s="97">
        <f>C60+C68</f>
        <v/>
      </c>
      <c r="D70" s="97">
        <f>D60+D68</f>
        <v/>
      </c>
      <c r="E70" s="97">
        <f>E60+E68</f>
        <v/>
      </c>
      <c r="F70" s="97">
        <f>F60+F68</f>
        <v/>
      </c>
      <c r="G70" s="97">
        <f>G60+G68</f>
        <v/>
      </c>
      <c r="H70" s="97">
        <f>H60+H68</f>
        <v/>
      </c>
      <c r="I70" s="97">
        <f>I60+I68</f>
        <v/>
      </c>
      <c r="J70" s="97">
        <f>J60+J68</f>
        <v/>
      </c>
      <c r="K70" s="97">
        <f>K60+K68</f>
        <v/>
      </c>
      <c r="L70" s="97">
        <f>L60+L68</f>
        <v/>
      </c>
      <c r="M70" s="97">
        <f>M60+M68</f>
        <v/>
      </c>
      <c r="N70" s="97">
        <f>N60+N68</f>
        <v/>
      </c>
      <c r="O70" s="97">
        <f>O60+O68</f>
        <v/>
      </c>
    </row>
    <row r="71">
      <c r="A71" s="5" t="inlineStr">
        <is>
          <t>Balance check (TA - TE&amp;L)</t>
        </is>
      </c>
      <c r="B71" s="102">
        <f>B70-B49</f>
        <v/>
      </c>
      <c r="C71" s="102">
        <f>C70-C49</f>
        <v/>
      </c>
      <c r="D71" s="102">
        <f>D70-D49</f>
        <v/>
      </c>
      <c r="E71" s="102">
        <f>E70-E49</f>
        <v/>
      </c>
      <c r="F71" s="102">
        <f>F70-F49</f>
        <v/>
      </c>
      <c r="G71" s="102">
        <f>G70-G49</f>
        <v/>
      </c>
      <c r="H71" s="102">
        <f>H70-H49</f>
        <v/>
      </c>
      <c r="I71" s="102">
        <f>I70-I49</f>
        <v/>
      </c>
      <c r="J71" s="102">
        <f>J70-J49</f>
        <v/>
      </c>
      <c r="K71" s="102">
        <f>K70-K49</f>
        <v/>
      </c>
      <c r="L71" s="102">
        <f>L70-L49</f>
        <v/>
      </c>
      <c r="M71" s="102">
        <f>M70-M49</f>
        <v/>
      </c>
      <c r="N71" s="102">
        <f>N70-N49</f>
        <v/>
      </c>
      <c r="O71" s="102">
        <f>O70-O49</f>
        <v/>
      </c>
    </row>
    <row r="72">
      <c r="A72" s="5" t="inlineStr">
        <is>
          <t>Memo: total borrowings (LT+ST)</t>
        </is>
      </c>
      <c r="B72" s="103">
        <f>B33+B41</f>
        <v/>
      </c>
      <c r="C72" s="103">
        <f>C33+C41</f>
        <v/>
      </c>
      <c r="D72" s="103">
        <f>D33+D41</f>
        <v/>
      </c>
      <c r="E72" s="103">
        <f>E33+E41</f>
        <v/>
      </c>
      <c r="F72" s="103">
        <f>F33+F41</f>
        <v/>
      </c>
      <c r="G72" s="103">
        <f>G33+G41</f>
        <v/>
      </c>
      <c r="H72" s="103">
        <f>H33+H41</f>
        <v/>
      </c>
      <c r="I72" s="103">
        <f>I33+I41</f>
        <v/>
      </c>
      <c r="J72" s="103">
        <f>J33+J41</f>
        <v/>
      </c>
      <c r="K72" s="103">
        <f>K33+K41</f>
        <v/>
      </c>
      <c r="L72" s="103">
        <f>L33+L41</f>
        <v/>
      </c>
      <c r="M72" s="103">
        <f>M33+M41</f>
        <v/>
      </c>
      <c r="N72" s="103">
        <f>N33+N41</f>
        <v/>
      </c>
      <c r="O72" s="103">
        <f>O33+O41</f>
        <v/>
      </c>
    </row>
    <row r="73">
      <c r="A73" s="104" t="inlineStr">
        <is>
          <t>Note: Balance sheet FY2020-FY2026 from BHEL audited consolidated annual reports (FY2021/2023/2025) + FY2026 filing. All line items audited; only the contract asset/liability split (orange) for FY2020-25 is derived from the FY2026 audited composition. Section totals are audited and the BS ties every year.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Statements'!H72)</f>
        <v/>
      </c>
      <c r="I14" s="36">
        <f>'Forecast Financial Statements'!I14/(('Forecast Financial Statements'!I28+'Forecast Financial Statements'!I29)+'Forecast Financial Statements'!I72)</f>
        <v/>
      </c>
      <c r="J14" s="36">
        <f>'Forecast Financial Statements'!J14/(('Forecast Financial Statements'!J28+'Forecast Financial Statements'!J29)+'Forecast Financial Statements'!J72)</f>
        <v/>
      </c>
      <c r="K14" s="36">
        <f>'Forecast Financial Statements'!K14/(('Forecast Financial Statements'!K28+'Forecast Financial Statements'!K29)+'Forecast Financial Statements'!K72)</f>
        <v/>
      </c>
      <c r="L14" s="36">
        <f>'Forecast Financial Statements'!L14/(('Forecast Financial Statements'!L28+'Forecast Financial Statements'!L29)+'Forecast Financial Statements'!L72)</f>
        <v/>
      </c>
      <c r="M14" s="36">
        <f>'Forecast Financial Statements'!M14/(('Forecast Financial Statements'!M28+'Forecast Financial Statements'!M29)+'Forecast Financial Statements'!M72)</f>
        <v/>
      </c>
      <c r="N14" s="36">
        <f>'Forecast Financial Statements'!N14/(('Forecast Financial Statements'!N28+'Forecast Financial Statements'!N29)+'Forecast Financial Statements'!N72)</f>
        <v/>
      </c>
      <c r="O14" s="36">
        <f>'Forecast Financial Statements'!O14/(('Forecast Financial Statements'!O28+'Forecast Financial Statements'!O29)+'Forecast Financial Statements'!O72)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Statements'!H70</f>
        <v/>
      </c>
      <c r="I15" s="36">
        <f>'Forecast Financial Statements'!I20/'Forecast Financial Statements'!I70</f>
        <v/>
      </c>
      <c r="J15" s="36">
        <f>'Forecast Financial Statements'!J20/'Forecast Financial Statements'!J70</f>
        <v/>
      </c>
      <c r="K15" s="36">
        <f>'Forecast Financial Statements'!K20/'Forecast Financial Statements'!K70</f>
        <v/>
      </c>
      <c r="L15" s="36">
        <f>'Forecast Financial Statements'!L20/'Forecast Financial Statements'!L70</f>
        <v/>
      </c>
      <c r="M15" s="36">
        <f>'Forecast Financial Statements'!M20/'Forecast Financial Statements'!M70</f>
        <v/>
      </c>
      <c r="N15" s="36">
        <f>'Forecast Financial Statements'!N20/'Forecast Financial Statements'!N70</f>
        <v/>
      </c>
      <c r="O15" s="36">
        <f>'Forecast Financial Statements'!O20/'Forecast Financial Statements'!O70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Statements'!H70</f>
        <v/>
      </c>
      <c r="I16" s="37">
        <f>'Forecast Financial Statements'!I5/'Forecast Financial Statements'!I70</f>
        <v/>
      </c>
      <c r="J16" s="37">
        <f>'Forecast Financial Statements'!J5/'Forecast Financial Statements'!J70</f>
        <v/>
      </c>
      <c r="K16" s="37">
        <f>'Forecast Financial Statements'!K5/'Forecast Financial Statements'!K70</f>
        <v/>
      </c>
      <c r="L16" s="37">
        <f>'Forecast Financial Statements'!L5/'Forecast Financial Statements'!L70</f>
        <v/>
      </c>
      <c r="M16" s="37">
        <f>'Forecast Financial Statements'!M5/'Forecast Financial Statements'!M70</f>
        <v/>
      </c>
      <c r="N16" s="37">
        <f>'Forecast Financial Statements'!N5/'Forecast Financial Statements'!N70</f>
        <v/>
      </c>
      <c r="O16" s="37">
        <f>'Forecast Financial Statements'!O5/'Forecast Financial Statements'!O70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Statements'!H72/('Forecast Financial Statements'!H28+'Forecast Financial Statements'!H29)</f>
        <v/>
      </c>
      <c r="I19" s="37">
        <f>'Forecast Financial Statements'!I72/('Forecast Financial Statements'!I28+'Forecast Financial Statements'!I29)</f>
        <v/>
      </c>
      <c r="J19" s="37">
        <f>'Forecast Financial Statements'!J72/('Forecast Financial Statements'!J28+'Forecast Financial Statements'!J29)</f>
        <v/>
      </c>
      <c r="K19" s="37">
        <f>'Forecast Financial Statements'!K72/('Forecast Financial Statements'!K28+'Forecast Financial Statements'!K29)</f>
        <v/>
      </c>
      <c r="L19" s="37">
        <f>'Forecast Financial Statements'!L72/('Forecast Financial Statements'!L28+'Forecast Financial Statements'!L29)</f>
        <v/>
      </c>
      <c r="M19" s="37">
        <f>'Forecast Financial Statements'!M72/('Forecast Financial Statements'!M28+'Forecast Financial Statements'!M29)</f>
        <v/>
      </c>
      <c r="N19" s="37">
        <f>'Forecast Financial Statements'!N72/('Forecast Financial Statements'!N28+'Forecast Financial Statements'!N29)</f>
        <v/>
      </c>
      <c r="O19" s="37">
        <f>'Forecast Financial Statements'!O72/('Forecast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Statements'!H72-'Forecast Financial Statements'!H67)/'Forecast Financial Statements'!H12</f>
        <v/>
      </c>
      <c r="I21" s="37">
        <f>('Forecast Financial Statements'!I72-'Forecast Financial Statements'!I67)/'Forecast Financial Statements'!I12</f>
        <v/>
      </c>
      <c r="J21" s="37">
        <f>('Forecast Financial Statements'!J72-'Forecast Financial Statements'!J67)/'Forecast Financial Statements'!J12</f>
        <v/>
      </c>
      <c r="K21" s="37">
        <f>('Forecast Financial Statements'!K72-'Forecast Financial Statements'!K67)/'Forecast Financial Statements'!K12</f>
        <v/>
      </c>
      <c r="L21" s="37">
        <f>('Forecast Financial Statements'!L72-'Forecast Financial Statements'!L67)/'Forecast Financial Statements'!L12</f>
        <v/>
      </c>
      <c r="M21" s="37">
        <f>('Forecast Financial Statements'!M72-'Forecast Financial Statements'!M67)/'Forecast Financial Statements'!M12</f>
        <v/>
      </c>
      <c r="N21" s="37">
        <f>('Forecast Financial Statements'!N72-'Forecast Financial Statements'!N67)/'Forecast Financial Statements'!N12</f>
        <v/>
      </c>
      <c r="O21" s="37">
        <f>('Forecast Financial Statements'!O72-'Forecast Financial Statements'!O67)/'Forecast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50">
        <f>'Historical Financial Statements'!B21</f>
        <v/>
      </c>
      <c r="C24" s="50">
        <f>'Historical Financial Statements'!C21</f>
        <v/>
      </c>
      <c r="D24" s="50">
        <f>'Historical Financial Statements'!D21</f>
        <v/>
      </c>
      <c r="E24" s="50">
        <f>'Historical Financial Statements'!E21</f>
        <v/>
      </c>
      <c r="F24" s="50">
        <f>'Historical Financial Statements'!F21</f>
        <v/>
      </c>
      <c r="G24" s="50">
        <f>'Historical Financial Statements'!G21</f>
        <v/>
      </c>
      <c r="H24" s="50">
        <f>'Forecast Financial Statements'!H21</f>
        <v/>
      </c>
      <c r="I24" s="50">
        <f>'Forecast Financial Statements'!I21</f>
        <v/>
      </c>
      <c r="J24" s="50">
        <f>'Forecast Financial Statements'!J21</f>
        <v/>
      </c>
      <c r="K24" s="50">
        <f>'Forecast Financial Statements'!K21</f>
        <v/>
      </c>
      <c r="L24" s="50">
        <f>'Forecast Financial Statements'!L21</f>
        <v/>
      </c>
      <c r="M24" s="50">
        <f>'Forecast Financial Statements'!M21</f>
        <v/>
      </c>
      <c r="N24" s="50">
        <f>'Forecast Financial Statements'!N21</f>
        <v/>
      </c>
      <c r="O24" s="50">
        <f>'Forecast Financial Statements'!O21</f>
        <v/>
      </c>
    </row>
    <row r="25">
      <c r="A25" s="5" t="inlineStr">
        <is>
          <t>DPS (INR)</t>
        </is>
      </c>
      <c r="B25" s="50">
        <f>'Historical Financial Statements'!B22/'Assumptions'!C66</f>
        <v/>
      </c>
      <c r="C25" s="50">
        <f>'Historical Financial Statements'!C22/'Assumptions'!C66</f>
        <v/>
      </c>
      <c r="D25" s="50">
        <f>'Historical Financial Statements'!D22/'Assumptions'!C66</f>
        <v/>
      </c>
      <c r="E25" s="50">
        <f>'Historical Financial Statements'!E22/'Assumptions'!C66</f>
        <v/>
      </c>
      <c r="F25" s="50">
        <f>'Historical Financial Statements'!F22/'Assumptions'!C66</f>
        <v/>
      </c>
      <c r="G25" s="50">
        <f>'Historical Financial Statements'!G22/'Assumptions'!C66</f>
        <v/>
      </c>
      <c r="H25" s="50">
        <f>'Forecast Financial Statements'!H22/'Assumptions'!C66</f>
        <v/>
      </c>
      <c r="I25" s="50">
        <f>'Forecast Financial Statements'!I22/'Assumptions'!C66</f>
        <v/>
      </c>
      <c r="J25" s="50">
        <f>'Forecast Financial Statements'!J22/'Assumptions'!C66</f>
        <v/>
      </c>
      <c r="K25" s="50">
        <f>'Forecast Financial Statements'!K22/'Assumptions'!C66</f>
        <v/>
      </c>
      <c r="L25" s="50">
        <f>'Forecast Financial Statements'!L22/'Assumptions'!C66</f>
        <v/>
      </c>
      <c r="M25" s="50">
        <f>'Forecast Financial Statements'!M22/'Assumptions'!C66</f>
        <v/>
      </c>
      <c r="N25" s="50">
        <f>'Forecast Financial Statements'!N22/'Assumptions'!C66</f>
        <v/>
      </c>
      <c r="O25" s="50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50">
        <f>('Historical Financial Statements'!B33+'Historical Financial Statements'!B34)/'Assumptions'!C66</f>
        <v/>
      </c>
      <c r="C27" s="50">
        <f>('Historical Financial Statements'!C33+'Historical Financial Statements'!C34)/'Assumptions'!C66</f>
        <v/>
      </c>
      <c r="D27" s="50">
        <f>('Historical Financial Statements'!D33+'Historical Financial Statements'!D34)/'Assumptions'!C66</f>
        <v/>
      </c>
      <c r="E27" s="50">
        <f>('Historical Financial Statements'!E33+'Historical Financial Statements'!E34)/'Assumptions'!C66</f>
        <v/>
      </c>
      <c r="F27" s="50">
        <f>('Historical Financial Statements'!F33+'Historical Financial Statements'!F34)/'Assumptions'!C66</f>
        <v/>
      </c>
      <c r="G27" s="50">
        <f>('Historical Financial Statements'!G33+'Historical Financial Statements'!G34)/'Assumptions'!C66</f>
        <v/>
      </c>
      <c r="H27" s="50">
        <f>('Forecast Financial Statements'!H28+'Forecast Financial Statements'!H29)/'Assumptions'!C66</f>
        <v/>
      </c>
      <c r="I27" s="50">
        <f>('Forecast Financial Statements'!I28+'Forecast Financial Statements'!I29)/'Assumptions'!C66</f>
        <v/>
      </c>
      <c r="J27" s="50">
        <f>('Forecast Financial Statements'!J28+'Forecast Financial Statements'!J29)/'Assumptions'!C66</f>
        <v/>
      </c>
      <c r="K27" s="50">
        <f>('Forecast Financial Statements'!K28+'Forecast Financial Statements'!K29)/'Assumptions'!C66</f>
        <v/>
      </c>
      <c r="L27" s="50">
        <f>('Forecast Financial Statements'!L28+'Forecast Financial Statements'!L29)/'Assumptions'!C66</f>
        <v/>
      </c>
      <c r="M27" s="50">
        <f>('Forecast Financial Statements'!M28+'Forecast Financial Statements'!M29)/'Assumptions'!C66</f>
        <v/>
      </c>
      <c r="N27" s="50">
        <f>('Forecast Financial Statements'!N28+'Forecast Financial Statements'!N29)/'Assumptions'!C66</f>
        <v/>
      </c>
      <c r="O27" s="50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1">
        <f>'Forecast Financial Statements'!H63/'Forecast Financial Statements'!H5*365</f>
        <v/>
      </c>
      <c r="I30" s="51">
        <f>'Forecast Financial Statements'!I63/'Forecast Financial Statements'!I5*365</f>
        <v/>
      </c>
      <c r="J30" s="51">
        <f>'Forecast Financial Statements'!J63/'Forecast Financial Statements'!J5*365</f>
        <v/>
      </c>
      <c r="K30" s="51">
        <f>'Forecast Financial Statements'!K63/'Forecast Financial Statements'!K5*365</f>
        <v/>
      </c>
      <c r="L30" s="51">
        <f>'Forecast Financial Statements'!L63/'Forecast Financial Statements'!L5*365</f>
        <v/>
      </c>
      <c r="M30" s="51">
        <f>'Forecast Financial Statements'!M63/'Forecast Financial Statements'!M5*365</f>
        <v/>
      </c>
      <c r="N30" s="51">
        <f>'Forecast Financial Statements'!N63/'Forecast Financial Statements'!N5*365</f>
        <v/>
      </c>
      <c r="O30" s="51">
        <f>'Forecast Financial Statements'!O63/'Forecast Financial Statements'!O5*365</f>
        <v/>
      </c>
    </row>
    <row r="31">
      <c r="A31" s="5" t="inlineStr">
        <is>
          <t>Inventory days</t>
        </is>
      </c>
      <c r="I31" s="51">
        <f>'Forecast Financial Statements'!I64/'Cost Forecast'!I24*365</f>
        <v/>
      </c>
      <c r="J31" s="51">
        <f>'Forecast Financial Statements'!J64/'Cost Forecast'!J24*365</f>
        <v/>
      </c>
      <c r="K31" s="51">
        <f>'Forecast Financial Statements'!K64/'Cost Forecast'!K24*365</f>
        <v/>
      </c>
      <c r="L31" s="51">
        <f>'Forecast Financial Statements'!L64/'Cost Forecast'!L24*365</f>
        <v/>
      </c>
      <c r="M31" s="51">
        <f>'Forecast Financial Statements'!M64/'Cost Forecast'!M24*365</f>
        <v/>
      </c>
      <c r="N31" s="51">
        <f>'Forecast Financial Statements'!N64/'Cost Forecast'!N24*365</f>
        <v/>
      </c>
      <c r="O31" s="51">
        <f>'Forecast Financial Statements'!O64/'Cost Forecast'!O24*365</f>
        <v/>
      </c>
    </row>
    <row r="32">
      <c r="A32" s="5" t="inlineStr">
        <is>
          <t>Payable days</t>
        </is>
      </c>
      <c r="I32" s="51">
        <f>'Forecast Financial Statements'!I42/'Cost Forecast'!I24*365</f>
        <v/>
      </c>
      <c r="J32" s="51">
        <f>'Forecast Financial Statements'!J42/'Cost Forecast'!J24*365</f>
        <v/>
      </c>
      <c r="K32" s="51">
        <f>'Forecast Financial Statements'!K42/'Cost Forecast'!K24*365</f>
        <v/>
      </c>
      <c r="L32" s="51">
        <f>'Forecast Financial Statements'!L42/'Cost Forecast'!L24*365</f>
        <v/>
      </c>
      <c r="M32" s="51">
        <f>'Forecast Financial Statements'!M42/'Cost Forecast'!M24*365</f>
        <v/>
      </c>
      <c r="N32" s="51">
        <f>'Forecast Financial Statements'!N42/'Cost Forecast'!N24*365</f>
        <v/>
      </c>
      <c r="O32" s="51">
        <f>'Forecast Financial Statements'!O42/'Cost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2" t="n">
        <v>1</v>
      </c>
      <c r="J13" s="52" t="n">
        <v>2</v>
      </c>
      <c r="K13" s="52" t="n">
        <v>3</v>
      </c>
      <c r="L13" s="52" t="n">
        <v>4</v>
      </c>
      <c r="M13" s="52" t="n">
        <v>5</v>
      </c>
      <c r="N13" s="52" t="n">
        <v>6</v>
      </c>
      <c r="O13" s="52" t="n">
        <v>7</v>
      </c>
    </row>
    <row r="14">
      <c r="A14" s="5" t="inlineStr">
        <is>
          <t>Discount factor @ WACC</t>
        </is>
      </c>
      <c r="I14" s="53">
        <f>1/(1+'Assumptions'!C65)^I13</f>
        <v/>
      </c>
      <c r="J14" s="53">
        <f>1/(1+'Assumptions'!C65)^J13</f>
        <v/>
      </c>
      <c r="K14" s="53">
        <f>1/(1+'Assumptions'!C65)^K13</f>
        <v/>
      </c>
      <c r="L14" s="53">
        <f>1/(1+'Assumptions'!C65)^L13</f>
        <v/>
      </c>
      <c r="M14" s="53">
        <f>1/(1+'Assumptions'!C65)^M13</f>
        <v/>
      </c>
      <c r="N14" s="53">
        <f>1/(1+'Assumptions'!C65)^N13</f>
        <v/>
      </c>
      <c r="O14" s="53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4">
        <f>SUM(I15:O15)</f>
        <v/>
      </c>
    </row>
    <row r="19">
      <c r="A19" s="5" t="inlineStr">
        <is>
          <t>WACC</t>
        </is>
      </c>
      <c r="C19" s="55">
        <f>'Assumptions'!C65</f>
        <v/>
      </c>
    </row>
    <row r="20">
      <c r="A20" s="5" t="inlineStr">
        <is>
          <t>Terminal growth rate (g)</t>
        </is>
      </c>
      <c r="C20" s="55">
        <f>'Assumptions'!C63</f>
        <v/>
      </c>
    </row>
    <row r="21">
      <c r="A21" s="5" t="inlineStr">
        <is>
          <t>Terminal value (Gordon growth)</t>
        </is>
      </c>
      <c r="C21" s="54">
        <f>O12*(1+C20)/(C19-C20)</f>
        <v/>
      </c>
    </row>
    <row r="22">
      <c r="A22" s="5" t="inlineStr">
        <is>
          <t>PV of terminal value</t>
        </is>
      </c>
      <c r="C22" s="54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6">
        <f>-('Forecast Financial Statements'!H72-'Forecast Financial Statements'!H67)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7">
        <f>'Assumptions'!C66</f>
        <v/>
      </c>
    </row>
    <row r="27">
      <c r="A27" s="4" t="inlineStr">
        <is>
          <t>Intrinsic value per share (INR)</t>
        </is>
      </c>
      <c r="C27" s="58">
        <f>C25/C26</f>
        <v/>
      </c>
    </row>
    <row r="28">
      <c r="A28" s="5" t="inlineStr">
        <is>
          <t>Current market price (INR)</t>
        </is>
      </c>
      <c r="C28" s="59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60" t="n">
        <v>5.5</v>
      </c>
      <c r="C6" s="60" t="n">
        <v>42</v>
      </c>
      <c r="D6" s="60" t="n">
        <v>60</v>
      </c>
      <c r="E6" s="60" t="n">
        <v>9</v>
      </c>
      <c r="F6" s="61" t="n">
        <v>0.4</v>
      </c>
    </row>
    <row r="7">
      <c r="A7" s="5" t="inlineStr">
        <is>
          <t>ABB India</t>
        </is>
      </c>
      <c r="B7" s="60" t="n">
        <v>7</v>
      </c>
      <c r="C7" s="60" t="n">
        <v>50</v>
      </c>
      <c r="D7" s="60" t="n">
        <v>68</v>
      </c>
      <c r="E7" s="60" t="n">
        <v>14</v>
      </c>
      <c r="F7" s="61" t="n">
        <v>0.4</v>
      </c>
    </row>
    <row r="8">
      <c r="A8" s="5" t="inlineStr">
        <is>
          <t>CG Power &amp; Ind.</t>
        </is>
      </c>
      <c r="B8" s="60" t="n">
        <v>6.5</v>
      </c>
      <c r="C8" s="60" t="n">
        <v>45</v>
      </c>
      <c r="D8" s="60" t="n">
        <v>62</v>
      </c>
      <c r="E8" s="60" t="n">
        <v>18</v>
      </c>
      <c r="F8" s="61" t="n">
        <v>0.2</v>
      </c>
    </row>
    <row r="9">
      <c r="A9" s="5" t="inlineStr">
        <is>
          <t>GE Vernova T&amp;D India</t>
        </is>
      </c>
      <c r="B9" s="60" t="n">
        <v>8</v>
      </c>
      <c r="C9" s="60" t="n">
        <v>48</v>
      </c>
      <c r="D9" s="60" t="n">
        <v>65</v>
      </c>
      <c r="E9" s="60" t="n">
        <v>20</v>
      </c>
      <c r="F9" s="61" t="n">
        <v>0.1</v>
      </c>
    </row>
    <row r="10">
      <c r="A10" s="5" t="inlineStr">
        <is>
          <t>Thermax</t>
        </is>
      </c>
      <c r="B10" s="60" t="n">
        <v>4</v>
      </c>
      <c r="C10" s="60" t="n">
        <v>38</v>
      </c>
      <c r="D10" s="60" t="n">
        <v>55</v>
      </c>
      <c r="E10" s="60" t="n">
        <v>8</v>
      </c>
      <c r="F10" s="61" t="n">
        <v>0.3</v>
      </c>
    </row>
    <row r="11">
      <c r="A11" s="5" t="inlineStr">
        <is>
          <t>Triveni Turbine</t>
        </is>
      </c>
      <c r="B11" s="60" t="n">
        <v>7.5</v>
      </c>
      <c r="C11" s="60" t="n">
        <v>40</v>
      </c>
      <c r="D11" s="60" t="n">
        <v>52</v>
      </c>
      <c r="E11" s="60" t="n">
        <v>16</v>
      </c>
      <c r="F11" s="61" t="n">
        <v>0.5</v>
      </c>
    </row>
    <row r="12">
      <c r="A12" s="5" t="inlineStr">
        <is>
          <t>Larsen &amp; Toubro</t>
        </is>
      </c>
      <c r="B12" s="60" t="n">
        <v>2</v>
      </c>
      <c r="C12" s="60" t="n">
        <v>22</v>
      </c>
      <c r="D12" s="60" t="n">
        <v>32</v>
      </c>
      <c r="E12" s="60" t="n">
        <v>5</v>
      </c>
      <c r="F12" s="61" t="n">
        <v>0.7</v>
      </c>
    </row>
    <row r="13">
      <c r="A13" s="5" t="inlineStr">
        <is>
          <t>Kalpataru Projects</t>
        </is>
      </c>
      <c r="B13" s="60" t="n">
        <v>0.9</v>
      </c>
      <c r="C13" s="60" t="n">
        <v>12</v>
      </c>
      <c r="D13" s="60" t="n">
        <v>22</v>
      </c>
      <c r="E13" s="60" t="n">
        <v>3</v>
      </c>
      <c r="F13" s="61" t="n">
        <v>0.4</v>
      </c>
    </row>
    <row r="14">
      <c r="A14" s="62" t="inlineStr">
        <is>
          <t>Median</t>
        </is>
      </c>
      <c r="B14" s="63">
        <f>MEDIAN(B6:B13)</f>
        <v/>
      </c>
      <c r="C14" s="63">
        <f>MEDIAN(C6:C13)</f>
        <v/>
      </c>
      <c r="D14" s="63">
        <f>MEDIAN(D6:D13)</f>
        <v/>
      </c>
      <c r="E14" s="63">
        <f>MEDIAN(E6:E13)</f>
        <v/>
      </c>
      <c r="F14" s="64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6">
        <f>'Forecast Financial Statements'!I5</f>
        <v/>
      </c>
    </row>
    <row r="18">
      <c r="A18" s="5" t="inlineStr">
        <is>
          <t>BHEL FY2027E EBITDA</t>
        </is>
      </c>
      <c r="C18" s="56">
        <f>'Forecast Financial Statements'!I12</f>
        <v/>
      </c>
    </row>
    <row r="19">
      <c r="A19" s="5" t="inlineStr">
        <is>
          <t>BHEL FY2027E EPS (INR)</t>
        </is>
      </c>
      <c r="C19" s="59">
        <f>'Forecast Financial Statements'!I21</f>
        <v/>
      </c>
    </row>
    <row r="20">
      <c r="A20" s="5" t="inlineStr">
        <is>
          <t>Net debt (FY26)</t>
        </is>
      </c>
      <c r="C20" s="56">
        <f>'Forecast Financial Statements'!H72-'Forecast Financial Statements'!H67</f>
        <v/>
      </c>
    </row>
    <row r="22">
      <c r="A22" s="5" t="inlineStr">
        <is>
          <t>Implied EV (EV/EBITDA method)</t>
        </is>
      </c>
      <c r="C22" s="54">
        <f>C18*C14</f>
        <v/>
      </c>
    </row>
    <row r="23">
      <c r="A23" s="5" t="inlineStr">
        <is>
          <t>Implied equity value (EV/EBITDA)</t>
        </is>
      </c>
      <c r="C23" s="54">
        <f>C22-C20</f>
        <v/>
      </c>
    </row>
    <row r="24">
      <c r="A24" s="4" t="inlineStr">
        <is>
          <t>Implied price - EV/EBITDA (INR)</t>
        </is>
      </c>
      <c r="C24" s="58">
        <f>C23/'Assumptions'!C66</f>
        <v/>
      </c>
    </row>
    <row r="25">
      <c r="A25" s="4" t="inlineStr">
        <is>
          <t>Implied price - P/E method (INR)</t>
        </is>
      </c>
      <c r="C25" s="58">
        <f>C19*D14</f>
        <v/>
      </c>
    </row>
    <row r="26">
      <c r="A26" s="5" t="inlineStr">
        <is>
          <t>Implied EV (EV/Revenue method)</t>
        </is>
      </c>
      <c r="C26" s="54">
        <f>C17*B14</f>
        <v/>
      </c>
    </row>
    <row r="27">
      <c r="A27" s="4" t="inlineStr">
        <is>
          <t>Implied price - EV/Revenue (INR)</t>
        </is>
      </c>
      <c r="C27" s="58">
        <f>(C26-C20)/'Assumptions'!C66</f>
        <v/>
      </c>
    </row>
    <row r="29">
      <c r="A29" s="4" t="inlineStr">
        <is>
          <t>Average implied target price (INR)</t>
        </is>
      </c>
      <c r="C29" s="65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6">
        <f>'Assumptions'!C63+-0.015</f>
        <v/>
      </c>
      <c r="D5" s="66">
        <f>'Assumptions'!C63+-0.0075</f>
        <v/>
      </c>
      <c r="E5" s="66">
        <f>'Assumptions'!C63+0.0</f>
        <v/>
      </c>
      <c r="F5" s="66">
        <f>'Assumptions'!C63+0.0075</f>
        <v/>
      </c>
      <c r="G5" s="66">
        <f>'Assumptions'!C63+0.015</f>
        <v/>
      </c>
    </row>
    <row r="6">
      <c r="B6" s="66">
        <f>'Assumptions'!C65+0.02</f>
        <v/>
      </c>
      <c r="C6" s="67">
        <f>(SUMPRODUCT('DCF Valuation'!$I$12:$O$12,(1+$B6)^(-'DCF Valuation'!$I$13:$O$13))+('DCF Valuation'!$O$12*(1+C$5)/($B6-C$5))*(1+$B6)^(-7)+'DCF Valuation'!$C$24)/'DCF Valuation'!$C$26</f>
        <v/>
      </c>
      <c r="D6" s="67">
        <f>(SUMPRODUCT('DCF Valuation'!$I$12:$O$12,(1+$B6)^(-'DCF Valuation'!$I$13:$O$13))+('DCF Valuation'!$O$12*(1+D$5)/($B6-D$5))*(1+$B6)^(-7)+'DCF Valuation'!$C$24)/'DCF Valuation'!$C$26</f>
        <v/>
      </c>
      <c r="E6" s="67">
        <f>(SUMPRODUCT('DCF Valuation'!$I$12:$O$12,(1+$B6)^(-'DCF Valuation'!$I$13:$O$13))+('DCF Valuation'!$O$12*(1+E$5)/($B6-E$5))*(1+$B6)^(-7)+'DCF Valuation'!$C$24)/'DCF Valuation'!$C$26</f>
        <v/>
      </c>
      <c r="F6" s="67">
        <f>(SUMPRODUCT('DCF Valuation'!$I$12:$O$12,(1+$B6)^(-'DCF Valuation'!$I$13:$O$13))+('DCF Valuation'!$O$12*(1+F$5)/($B6-F$5))*(1+$B6)^(-7)+'DCF Valuation'!$C$24)/'DCF Valuation'!$C$26</f>
        <v/>
      </c>
      <c r="G6" s="67">
        <f>(SUMPRODUCT('DCF Valuation'!$I$12:$O$12,(1+$B6)^(-'DCF Valuation'!$I$13:$O$13))+('DCF Valuation'!$O$12*(1+G$5)/($B6-G$5))*(1+$B6)^(-7)+'DCF Valuation'!$C$24)/'DCF Valuation'!$C$26</f>
        <v/>
      </c>
    </row>
    <row r="7">
      <c r="B7" s="66">
        <f>'Assumptions'!C65+0.01</f>
        <v/>
      </c>
      <c r="C7" s="67">
        <f>(SUMPRODUCT('DCF Valuation'!$I$12:$O$12,(1+$B7)^(-'DCF Valuation'!$I$13:$O$13))+('DCF Valuation'!$O$12*(1+C$5)/($B7-C$5))*(1+$B7)^(-7)+'DCF Valuation'!$C$24)/'DCF Valuation'!$C$26</f>
        <v/>
      </c>
      <c r="D7" s="67">
        <f>(SUMPRODUCT('DCF Valuation'!$I$12:$O$12,(1+$B7)^(-'DCF Valuation'!$I$13:$O$13))+('DCF Valuation'!$O$12*(1+D$5)/($B7-D$5))*(1+$B7)^(-7)+'DCF Valuation'!$C$24)/'DCF Valuation'!$C$26</f>
        <v/>
      </c>
      <c r="E7" s="67">
        <f>(SUMPRODUCT('DCF Valuation'!$I$12:$O$12,(1+$B7)^(-'DCF Valuation'!$I$13:$O$13))+('DCF Valuation'!$O$12*(1+E$5)/($B7-E$5))*(1+$B7)^(-7)+'DCF Valuation'!$C$24)/'DCF Valuation'!$C$26</f>
        <v/>
      </c>
      <c r="F7" s="67">
        <f>(SUMPRODUCT('DCF Valuation'!$I$12:$O$12,(1+$B7)^(-'DCF Valuation'!$I$13:$O$13))+('DCF Valuation'!$O$12*(1+F$5)/($B7-F$5))*(1+$B7)^(-7)+'DCF Valuation'!$C$24)/'DCF Valuation'!$C$26</f>
        <v/>
      </c>
      <c r="G7" s="67">
        <f>(SUMPRODUCT('DCF Valuation'!$I$12:$O$12,(1+$B7)^(-'DCF Valuation'!$I$13:$O$13))+('DCF Valuation'!$O$12*(1+G$5)/($B7-G$5))*(1+$B7)^(-7)+'DCF Valuation'!$C$24)/'DCF Valuation'!$C$26</f>
        <v/>
      </c>
    </row>
    <row r="8">
      <c r="B8" s="66">
        <f>'Assumptions'!C65+0.0</f>
        <v/>
      </c>
      <c r="C8" s="67">
        <f>(SUMPRODUCT('DCF Valuation'!$I$12:$O$12,(1+$B8)^(-'DCF Valuation'!$I$13:$O$13))+('DCF Valuation'!$O$12*(1+C$5)/($B8-C$5))*(1+$B8)^(-7)+'DCF Valuation'!$C$24)/'DCF Valuation'!$C$26</f>
        <v/>
      </c>
      <c r="D8" s="67">
        <f>(SUMPRODUCT('DCF Valuation'!$I$12:$O$12,(1+$B8)^(-'DCF Valuation'!$I$13:$O$13))+('DCF Valuation'!$O$12*(1+D$5)/($B8-D$5))*(1+$B8)^(-7)+'DCF Valuation'!$C$24)/'DCF Valuation'!$C$26</f>
        <v/>
      </c>
      <c r="E8" s="58">
        <f>(SUMPRODUCT('DCF Valuation'!$I$12:$O$12,(1+$B8)^(-'DCF Valuation'!$I$13:$O$13))+('DCF Valuation'!$O$12*(1+E$5)/($B8-E$5))*(1+$B8)^(-7)+'DCF Valuation'!$C$24)/'DCF Valuation'!$C$26</f>
        <v/>
      </c>
      <c r="F8" s="67">
        <f>(SUMPRODUCT('DCF Valuation'!$I$12:$O$12,(1+$B8)^(-'DCF Valuation'!$I$13:$O$13))+('DCF Valuation'!$O$12*(1+F$5)/($B8-F$5))*(1+$B8)^(-7)+'DCF Valuation'!$C$24)/'DCF Valuation'!$C$26</f>
        <v/>
      </c>
      <c r="G8" s="67">
        <f>(SUMPRODUCT('DCF Valuation'!$I$12:$O$12,(1+$B8)^(-'DCF Valuation'!$I$13:$O$13))+('DCF Valuation'!$O$12*(1+G$5)/($B8-G$5))*(1+$B8)^(-7)+'DCF Valuation'!$C$24)/'DCF Valuation'!$C$26</f>
        <v/>
      </c>
    </row>
    <row r="9">
      <c r="B9" s="66">
        <f>'Assumptions'!C65+-0.01</f>
        <v/>
      </c>
      <c r="C9" s="67">
        <f>(SUMPRODUCT('DCF Valuation'!$I$12:$O$12,(1+$B9)^(-'DCF Valuation'!$I$13:$O$13))+('DCF Valuation'!$O$12*(1+C$5)/($B9-C$5))*(1+$B9)^(-7)+'DCF Valuation'!$C$24)/'DCF Valuation'!$C$26</f>
        <v/>
      </c>
      <c r="D9" s="67">
        <f>(SUMPRODUCT('DCF Valuation'!$I$12:$O$12,(1+$B9)^(-'DCF Valuation'!$I$13:$O$13))+('DCF Valuation'!$O$12*(1+D$5)/($B9-D$5))*(1+$B9)^(-7)+'DCF Valuation'!$C$24)/'DCF Valuation'!$C$26</f>
        <v/>
      </c>
      <c r="E9" s="67">
        <f>(SUMPRODUCT('DCF Valuation'!$I$12:$O$12,(1+$B9)^(-'DCF Valuation'!$I$13:$O$13))+('DCF Valuation'!$O$12*(1+E$5)/($B9-E$5))*(1+$B9)^(-7)+'DCF Valuation'!$C$24)/'DCF Valuation'!$C$26</f>
        <v/>
      </c>
      <c r="F9" s="67">
        <f>(SUMPRODUCT('DCF Valuation'!$I$12:$O$12,(1+$B9)^(-'DCF Valuation'!$I$13:$O$13))+('DCF Valuation'!$O$12*(1+F$5)/($B9-F$5))*(1+$B9)^(-7)+'DCF Valuation'!$C$24)/'DCF Valuation'!$C$26</f>
        <v/>
      </c>
      <c r="G9" s="67">
        <f>(SUMPRODUCT('DCF Valuation'!$I$12:$O$12,(1+$B9)^(-'DCF Valuation'!$I$13:$O$13))+('DCF Valuation'!$O$12*(1+G$5)/($B9-G$5))*(1+$B9)^(-7)+'DCF Valuation'!$C$24)/'DCF Valuation'!$C$26</f>
        <v/>
      </c>
    </row>
    <row r="10">
      <c r="B10" s="66">
        <f>'Assumptions'!C65+-0.02</f>
        <v/>
      </c>
      <c r="C10" s="67">
        <f>(SUMPRODUCT('DCF Valuation'!$I$12:$O$12,(1+$B10)^(-'DCF Valuation'!$I$13:$O$13))+('DCF Valuation'!$O$12*(1+C$5)/($B10-C$5))*(1+$B10)^(-7)+'DCF Valuation'!$C$24)/'DCF Valuation'!$C$26</f>
        <v/>
      </c>
      <c r="D10" s="67">
        <f>(SUMPRODUCT('DCF Valuation'!$I$12:$O$12,(1+$B10)^(-'DCF Valuation'!$I$13:$O$13))+('DCF Valuation'!$O$12*(1+D$5)/($B10-D$5))*(1+$B10)^(-7)+'DCF Valuation'!$C$24)/'DCF Valuation'!$C$26</f>
        <v/>
      </c>
      <c r="E10" s="67">
        <f>(SUMPRODUCT('DCF Valuation'!$I$12:$O$12,(1+$B10)^(-'DCF Valuation'!$I$13:$O$13))+('DCF Valuation'!$O$12*(1+E$5)/($B10-E$5))*(1+$B10)^(-7)+'DCF Valuation'!$C$24)/'DCF Valuation'!$C$26</f>
        <v/>
      </c>
      <c r="F10" s="67">
        <f>(SUMPRODUCT('DCF Valuation'!$I$12:$O$12,(1+$B10)^(-'DCF Valuation'!$I$13:$O$13))+('DCF Valuation'!$O$12*(1+F$5)/($B10-F$5))*(1+$B10)^(-7)+'DCF Valuation'!$C$24)/'DCF Valuation'!$C$26</f>
        <v/>
      </c>
      <c r="G10" s="67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6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5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60" t="n">
        <v>14</v>
      </c>
      <c r="C7" s="60" t="n">
        <v>18</v>
      </c>
      <c r="D7" s="60" t="n">
        <v>24</v>
      </c>
    </row>
    <row r="8">
      <c r="A8" s="5" t="inlineStr">
        <is>
          <t>WACC</t>
        </is>
      </c>
      <c r="B8" s="19" t="n">
        <v>0.155</v>
      </c>
      <c r="C8" s="55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4">
        <f>B5*B6</f>
        <v/>
      </c>
      <c r="C9" s="54">
        <f>C5*C6</f>
        <v/>
      </c>
      <c r="D9" s="54">
        <f>D5*D6</f>
        <v/>
      </c>
    </row>
    <row r="10">
      <c r="A10" s="5" t="inlineStr">
        <is>
          <t>Terminal EV (INR Cr)</t>
        </is>
      </c>
      <c r="B10" s="54">
        <f>B9*B7</f>
        <v/>
      </c>
      <c r="C10" s="54">
        <f>C9*C7</f>
        <v/>
      </c>
      <c r="D10" s="54">
        <f>D9*D7</f>
        <v/>
      </c>
    </row>
    <row r="11">
      <c r="A11" s="5" t="inlineStr">
        <is>
          <t>PV of EV (discounted 7y)</t>
        </is>
      </c>
      <c r="B11" s="54">
        <f>B10/(1+B8)^7</f>
        <v/>
      </c>
      <c r="C11" s="54">
        <f>C10/(1+C8)^7</f>
        <v/>
      </c>
      <c r="D11" s="54">
        <f>D10/(1+D8)^7</f>
        <v/>
      </c>
    </row>
    <row r="12">
      <c r="A12" s="5" t="inlineStr">
        <is>
          <t>Less: net debt (FY26)</t>
        </is>
      </c>
      <c r="B12" s="56">
        <f>'Forecast Financial Statements'!H72-'Forecast Financial Statements'!H67</f>
        <v/>
      </c>
      <c r="C12" s="56">
        <f>'Forecast Financial Statements'!H72-'Forecast Financial Statements'!H67</f>
        <v/>
      </c>
      <c r="D12" s="56">
        <f>'Forecast Financial Statements'!H72-'Forecast Financial Statements'!H67</f>
        <v/>
      </c>
    </row>
    <row r="13">
      <c r="A13" s="5" t="inlineStr">
        <is>
          <t>Equity value (INR Cr)</t>
        </is>
      </c>
      <c r="B13" s="54">
        <f>B11-B12</f>
        <v/>
      </c>
      <c r="C13" s="54">
        <f>C11-C12</f>
        <v/>
      </c>
      <c r="D13" s="54">
        <f>D11-D12</f>
        <v/>
      </c>
    </row>
    <row r="14">
      <c r="A14" s="4" t="inlineStr">
        <is>
          <t>Target price (INR)</t>
        </is>
      </c>
      <c r="B14" s="58">
        <f>B13/'Assumptions'!C66</f>
        <v/>
      </c>
      <c r="C14" s="58">
        <f>C13/'Assumptions'!C66</f>
        <v/>
      </c>
      <c r="D14" s="58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5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Valuation'!C29</f>
        <v/>
      </c>
      <c r="H4" s="69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6">
        <f>'DCF Valuation'!C18</f>
        <v/>
      </c>
    </row>
    <row r="11">
      <c r="A11" s="71" t="inlineStr">
        <is>
          <t>PV of terminal value</t>
        </is>
      </c>
      <c r="B11" s="56">
        <f>'DCF Valuation'!C22</f>
        <v/>
      </c>
    </row>
    <row r="12">
      <c r="A12" s="71" t="inlineStr">
        <is>
          <t>Enterprise value</t>
        </is>
      </c>
      <c r="B12" s="56">
        <f>'DCF Valuation'!C23</f>
        <v/>
      </c>
    </row>
    <row r="13">
      <c r="A13" s="71" t="inlineStr">
        <is>
          <t>Less: net debt</t>
        </is>
      </c>
      <c r="B13" s="56">
        <f>'DCF Valuation'!C24</f>
        <v/>
      </c>
    </row>
    <row r="14">
      <c r="A14" s="71" t="inlineStr">
        <is>
          <t>Equity value</t>
        </is>
      </c>
      <c r="B14" s="56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Statements'!B70-'Forecast Financial Statements'!B49)&lt;0.5,"OK","REVIEW")</f>
        <v/>
      </c>
      <c r="C5" s="72">
        <f>IF(ABS('Forecast Financial Statements'!C70-'Forecast Financial Statements'!C49)&lt;0.5,"OK","REVIEW")</f>
        <v/>
      </c>
      <c r="D5" s="72">
        <f>IF(ABS('Forecast Financial Statements'!D70-'Forecast Financial Statements'!D49)&lt;0.5,"OK","REVIEW")</f>
        <v/>
      </c>
      <c r="E5" s="72">
        <f>IF(ABS('Forecast Financial Statements'!E70-'Forecast Financial Statements'!E49)&lt;0.5,"OK","REVIEW")</f>
        <v/>
      </c>
      <c r="F5" s="72">
        <f>IF(ABS('Forecast Financial Statements'!F70-'Forecast Financial Statements'!F49)&lt;0.5,"OK","REVIEW")</f>
        <v/>
      </c>
      <c r="G5" s="72">
        <f>IF(ABS('Forecast Financial Statements'!G70-'Forecast Financial Statements'!G49)&lt;0.5,"OK","REVIEW")</f>
        <v/>
      </c>
      <c r="H5" s="72">
        <f>IF(ABS('Forecast Financial Statements'!H70-'Forecast Financial Statements'!H49)&lt;0.5,"OK","REVIEW")</f>
        <v/>
      </c>
      <c r="I5" s="72">
        <f>IF(ABS('Forecast Financial Statements'!I70-'Forecast Financial Statements'!I49)&lt;0.5,"OK","REVIEW")</f>
        <v/>
      </c>
      <c r="J5" s="72">
        <f>IF(ABS('Forecast Financial Statements'!J70-'Forecast Financial Statements'!J49)&lt;0.5,"OK","REVIEW")</f>
        <v/>
      </c>
      <c r="K5" s="72">
        <f>IF(ABS('Forecast Financial Statements'!K70-'Forecast Financial Statements'!K49)&lt;0.5,"OK","REVIEW")</f>
        <v/>
      </c>
      <c r="L5" s="72">
        <f>IF(ABS('Forecast Financial Statements'!L70-'Forecast Financial Statements'!L49)&lt;0.5,"OK","REVIEW")</f>
        <v/>
      </c>
      <c r="M5" s="72">
        <f>IF(ABS('Forecast Financial Statements'!M70-'Forecast Financial Statements'!M49)&lt;0.5,"OK","REVIEW")</f>
        <v/>
      </c>
      <c r="N5" s="72">
        <f>IF(ABS('Forecast Financial Statements'!N70-'Forecast Financial Statements'!N49)&lt;0.5,"OK","REVIEW")</f>
        <v/>
      </c>
      <c r="O5" s="72">
        <f>IF(ABS('Forecast Financial Statements'!O70-'Forecast Financial Statements'!O49)&lt;0.5,"OK","REVIEW")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Statements'!I67-'Cash Flow Statement'!I25)&lt;0.5,"OK","REVIEW")</f>
        <v/>
      </c>
      <c r="J6" s="72">
        <f>IF(ABS('Forecast Financial Statements'!J67-'Cash Flow Statement'!J25)&lt;0.5,"OK","REVIEW")</f>
        <v/>
      </c>
      <c r="K6" s="72">
        <f>IF(ABS('Forecast Financial Statements'!K67-'Cash Flow Statement'!K25)&lt;0.5,"OK","REVIEW")</f>
        <v/>
      </c>
      <c r="L6" s="72">
        <f>IF(ABS('Forecast Financial Statements'!L67-'Cash Flow Statement'!L25)&lt;0.5,"OK","REVIEW")</f>
        <v/>
      </c>
      <c r="M6" s="72">
        <f>IF(ABS('Forecast Financial Statements'!M67-'Cash Flow Statement'!M25)&lt;0.5,"OK","REVIEW")</f>
        <v/>
      </c>
      <c r="N6" s="72">
        <f>IF(ABS('Forecast Financial Statements'!N67-'Cash Flow Statement'!N25)&lt;0.5,"OK","REVIEW")</f>
        <v/>
      </c>
      <c r="O6" s="72">
        <f>IF(ABS('Forecast Financial Statements'!O67-'Cash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Statements'!I72-'Debt Schedule'!I9)&lt;0.5,"OK","REVIEW")</f>
        <v/>
      </c>
      <c r="J8" s="72">
        <f>IF(ABS('Forecast Financial Statements'!J72-'Debt Schedule'!J9)&lt;0.5,"OK","REVIEW")</f>
        <v/>
      </c>
      <c r="K8" s="72">
        <f>IF(ABS('Forecast Financial Statements'!K72-'Debt Schedule'!K9)&lt;0.5,"OK","REVIEW")</f>
        <v/>
      </c>
      <c r="L8" s="72">
        <f>IF(ABS('Forecast Financial Statements'!L72-'Debt Schedule'!L9)&lt;0.5,"OK","REVIEW")</f>
        <v/>
      </c>
      <c r="M8" s="72">
        <f>IF(ABS('Forecast Financial Statements'!M72-'Debt Schedule'!M9)&lt;0.5,"OK","REVIEW")</f>
        <v/>
      </c>
      <c r="N8" s="72">
        <f>IF(ABS('Forecast Financial Statements'!N72-'Debt Schedule'!N9)&lt;0.5,"OK","REVIEW")</f>
        <v/>
      </c>
      <c r="O8" s="72">
        <f>IF(ABS('Forecast Financial Statements'!O72-'Debt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Statements'!I53-'Fixed Asset Schedule'!I10)&lt;0.5,"OK","REVIEW")</f>
        <v/>
      </c>
      <c r="J11" s="72">
        <f>IF(ABS('Forecast Financial Statements'!J53-'Fixed Asset Schedule'!J10)&lt;0.5,"OK","REVIEW")</f>
        <v/>
      </c>
      <c r="K11" s="72">
        <f>IF(ABS('Forecast Financial Statements'!K53-'Fixed Asset Schedule'!K10)&lt;0.5,"OK","REVIEW")</f>
        <v/>
      </c>
      <c r="L11" s="72">
        <f>IF(ABS('Forecast Financial Statements'!L53-'Fixed Asset Schedule'!L10)&lt;0.5,"OK","REVIEW")</f>
        <v/>
      </c>
      <c r="M11" s="72">
        <f>IF(ABS('Forecast Financial Statements'!M53-'Fixed Asset Schedule'!M10)&lt;0.5,"OK","REVIEW")</f>
        <v/>
      </c>
      <c r="N11" s="72">
        <f>IF(ABS('Forecast Financial Statements'!N53-'Fixed Asset Schedule'!N10)&lt;0.5,"OK","REVIEW")</f>
        <v/>
      </c>
      <c r="O11" s="72">
        <f>IF(ABS('Forecast Financial Statements'!O53-'Fixed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Statements'!I71),ABS('Forecast Financial Statements'!J71),ABS('Forecast Financial Statements'!K71),ABS('Forecast Financial Statements'!L71),ABS('Forecast Financial Statements'!M71),ABS('Forecast Financial Statements'!N71),ABS('Forecast Financial Statements'!O71))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2026-06-29T09:53:45Z</dcterms:created>
  <dcterms:modified xsi:type="dcterms:W3CDTF">2026-06-30T12:38:23Z</dcterms:modified>
</cp:coreProperties>
</file>