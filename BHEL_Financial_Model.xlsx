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1.xml" ContentType="application/vnd.openxmlformats-officedocument.drawing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0" autoFilterDateGrouping="1"/>
  </bookViews>
  <sheets>
    <sheet name="Cover Page" sheetId="1" state="visible" r:id="rId1"/>
    <sheet name="Assumptions" sheetId="2" state="visible" r:id="rId2"/>
    <sheet name="Historical Financial Statements" sheetId="3" state="visible" r:id="rId3"/>
    <sheet name="Historical Ratio Analysis" sheetId="4" state="visible" r:id="rId4"/>
    <sheet name="Operational Drivers" sheetId="5" state="visible" r:id="rId5"/>
    <sheet name="Revenue Build-up" sheetId="6" state="visible" r:id="rId6"/>
    <sheet name="Cost Forecast" sheetId="7" state="visible" r:id="rId7"/>
    <sheet name="Working Capital Schedule" sheetId="8" state="visible" r:id="rId8"/>
    <sheet name="Fixed Asset Schedule" sheetId="9" state="visible" r:id="rId9"/>
    <sheet name="Depreciation Schedule" sheetId="10" state="visible" r:id="rId10"/>
    <sheet name="Debt Schedule" sheetId="11" state="visible" r:id="rId11"/>
    <sheet name="Equity Schedule" sheetId="12" state="visible" r:id="rId12"/>
    <sheet name="Other Assets &amp; Liabilities" sheetId="13" state="visible" r:id="rId13"/>
    <sheet name="Cash Flow Statement" sheetId="14" state="visible" r:id="rId14"/>
    <sheet name="Forecast Financial Statements" sheetId="15" state="visible" r:id="rId15"/>
    <sheet name="Ratio Analysis" sheetId="16" state="visible" r:id="rId16"/>
    <sheet name="DCF Valuation" sheetId="17" state="visible" r:id="rId17"/>
    <sheet name="Relative Valuation" sheetId="18" state="visible" r:id="rId18"/>
    <sheet name="Sensitivity Analysis" sheetId="19" state="visible" r:id="rId19"/>
    <sheet name="Scenario Analysis" sheetId="20" state="visible" r:id="rId20"/>
    <sheet name="Dashboard" sheetId="21" state="visible" r:id="rId21"/>
    <sheet name="Error Check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#,##0.0;(#,##0.0)"/>
    <numFmt numFmtId="167" formatCode="0.0&quot;x&quot;"/>
    <numFmt numFmtId="168" formatCode="0.000"/>
    <numFmt numFmtId="169" formatCode="0.0&quot;%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1F3864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color rgb="000000CC"/>
      <sz val="10"/>
    </font>
    <font>
      <name val="Calibri"/>
      <color rgb="00008000"/>
      <sz val="10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i val="1"/>
      <color rgb="00808080"/>
      <sz val="8"/>
    </font>
    <font>
      <name val="Calibri"/>
      <b val="1"/>
      <color rgb="000000CC"/>
      <sz val="10"/>
    </font>
    <font>
      <name val="Calibri"/>
      <b val="1"/>
      <color rgb="00008000"/>
      <sz val="10"/>
    </font>
    <font>
      <name val="Calibri"/>
      <b val="1"/>
      <color rgb="001F3864"/>
      <sz val="1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5" fillId="3" borderId="0" pivotButton="0" quotePrefix="0" xfId="0"/>
    <xf numFmtId="0" fontId="8" fillId="0" borderId="0" pivotButton="0" quotePrefix="0" xfId="0"/>
    <xf numFmtId="0" fontId="9" fillId="2" borderId="0" pivotButton="0" quotePrefix="0" xfId="0"/>
    <xf numFmtId="0" fontId="8" fillId="4" borderId="0" pivotButton="0" quotePrefix="0" xfId="0"/>
    <xf numFmtId="0" fontId="4" fillId="4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1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65" fontId="6" fillId="5" borderId="2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5" fontId="6" fillId="0" borderId="2" applyAlignment="1" pivotButton="0" quotePrefix="0" xfId="0">
      <alignment horizontal="right"/>
    </xf>
    <xf numFmtId="165" fontId="6" fillId="5" borderId="3" applyAlignment="1" pivotButton="0" quotePrefix="0" xfId="0">
      <alignment horizontal="right"/>
    </xf>
    <xf numFmtId="2" fontId="6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" fontId="5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3" fontId="5" fillId="0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165" fontId="7" fillId="5" borderId="0" applyAlignment="1" pivotButton="0" quotePrefix="0" xfId="0">
      <alignment horizontal="right"/>
    </xf>
    <xf numFmtId="165" fontId="6" fillId="5" borderId="0" applyAlignment="1" pivotButton="0" quotePrefix="0" xfId="0">
      <alignment horizontal="right"/>
    </xf>
    <xf numFmtId="165" fontId="5" fillId="3" borderId="0" applyAlignment="1" pivotButton="0" quotePrefix="0" xfId="0">
      <alignment horizontal="right"/>
    </xf>
    <xf numFmtId="0" fontId="10" fillId="4" borderId="0" pivotButton="0" quotePrefix="0" xfId="0"/>
    <xf numFmtId="2" fontId="7" fillId="0" borderId="0" applyAlignment="1" pivotButton="0" quotePrefix="0" xfId="0">
      <alignment horizontal="right"/>
    </xf>
    <xf numFmtId="1" fontId="7" fillId="0" borderId="0" applyAlignment="1" pivotButton="0" quotePrefix="0" xfId="0">
      <alignment horizontal="right"/>
    </xf>
    <xf numFmtId="1" fontId="5" fillId="3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6" fillId="5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2" fontId="6" fillId="6" borderId="1" applyAlignment="1" pivotButton="0" quotePrefix="0" xfId="0">
      <alignment horizontal="right"/>
    </xf>
    <xf numFmtId="2" fontId="7" fillId="0" borderId="1" applyAlignment="1" pivotButton="0" quotePrefix="0" xfId="0">
      <alignment horizontal="right"/>
    </xf>
    <xf numFmtId="167" fontId="5" fillId="3" borderId="1" applyAlignment="1" pivotButton="0" quotePrefix="0" xfId="0">
      <alignment horizontal="right"/>
    </xf>
    <xf numFmtId="169" fontId="5" fillId="3" borderId="1" applyAlignment="1" pivotButton="0" quotePrefix="0" xfId="0">
      <alignment horizontal="right"/>
    </xf>
    <xf numFmtId="0" fontId="4" fillId="5" borderId="0" pivotButton="0" quotePrefix="0" xfId="0"/>
    <xf numFmtId="167" fontId="6" fillId="5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2" fontId="6" fillId="5" borderId="1" applyAlignment="1" pivotButton="0" quotePrefix="0" xfId="0">
      <alignment horizontal="right"/>
    </xf>
    <xf numFmtId="164" fontId="5" fillId="4" borderId="1" applyAlignment="1" pivotButton="0" quotePrefix="0" xfId="0">
      <alignment horizontal="center" vertical="center"/>
    </xf>
    <xf numFmtId="2" fontId="6" fillId="0" borderId="1" applyAlignment="1" pivotButton="0" quotePrefix="0" xfId="0">
      <alignment horizontal="right"/>
    </xf>
    <xf numFmtId="0" fontId="4" fillId="4" borderId="1" pivotButton="0" quotePrefix="0" xfId="0"/>
    <xf numFmtId="2" fontId="13" fillId="5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applyAlignment="1" pivotButton="0" quotePrefix="0" xfId="0">
      <alignment horizontal="center" vertical="center"/>
    </xf>
    <xf numFmtId="166" fontId="6" fillId="0" borderId="1" applyAlignment="1" pivotButton="0" quotePrefix="0" xfId="0">
      <alignment horizontal="right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&amp; EBITDA (INR Cr)</a:t>
            </a:r>
          </a:p>
        </rich>
      </tx>
    </title>
    <plotArea>
      <lineChart>
        <grouping val="standard"/>
        <ser>
          <idx val="0"/>
          <order val="0"/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Statements'!$B$5:$O$5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Statements'!$B$8:$O$8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PAT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'Forecast Financial Statements'!$B$4:$O$4</f>
            </numRef>
          </cat>
          <val>
            <numRef>
              <f>'Forecast Financial Statements'!$B$14:$O$14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Closing order book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Build-up'!$B$4:$O$4</f>
            </numRef>
          </cat>
          <val>
            <numRef>
              <f>'Revenue Build-up'!$B$9:$O$9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FCFF (INR Cr, FY27-33)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 Valuation'!$I$4:$O$4</f>
            </numRef>
          </cat>
          <val>
            <numRef>
              <f>'DCF Valuation'!$I$12:$O$12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32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G4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4" customWidth="1" min="3" max="3"/>
    <col width="24" customWidth="1" min="4" max="4"/>
    <col width="24" customWidth="1" min="5" max="5"/>
    <col width="22" customWidth="1" min="6" max="6"/>
    <col width="20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BHARAT HEAVY ELECTRICALS LIMITED (BHEL)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Integrated Financial Model &amp; Equity Valuation  |  NSE: BHEL  |  BSE: 500103</t>
        </is>
      </c>
      <c r="C3" s="1" t="n"/>
      <c r="D3" s="1" t="n"/>
      <c r="E3" s="1" t="n"/>
      <c r="F3" s="1" t="n"/>
      <c r="G3" s="1" t="n"/>
    </row>
    <row r="5">
      <c r="B5" s="4" t="inlineStr">
        <is>
          <t>Prepared on the basis of:</t>
        </is>
      </c>
    </row>
    <row r="6">
      <c r="B6" s="5" t="inlineStr">
        <is>
          <t>Company</t>
        </is>
      </c>
      <c r="C6" s="6" t="inlineStr">
        <is>
          <t>Bharat Heavy Electricals Ltd (Maharatna CPSE, Govt. of India)</t>
        </is>
      </c>
    </row>
    <row r="7">
      <c r="B7" s="5" t="inlineStr">
        <is>
          <t>Sector</t>
        </is>
      </c>
      <c r="C7" s="6" t="inlineStr">
        <is>
          <t>Capital Goods / Heavy Electrical Equipment</t>
        </is>
      </c>
    </row>
    <row r="8">
      <c r="B8" s="5" t="inlineStr">
        <is>
          <t>Reporting basis</t>
        </is>
      </c>
      <c r="C8" s="6" t="inlineStr">
        <is>
          <t>Consolidated, Indian Accounting Standards (Ind-AS)</t>
        </is>
      </c>
    </row>
    <row r="9">
      <c r="B9" s="5" t="inlineStr">
        <is>
          <t>Currency / Units</t>
        </is>
      </c>
      <c r="C9" s="6" t="inlineStr">
        <is>
          <t>INR Crore (per-share in INR)</t>
        </is>
      </c>
    </row>
    <row r="10">
      <c r="B10" s="5" t="inlineStr">
        <is>
          <t>Historical period</t>
        </is>
      </c>
      <c r="C10" s="6" t="inlineStr">
        <is>
          <t>FY2020 - FY2026 (7 years, audited / reported)</t>
        </is>
      </c>
    </row>
    <row r="11">
      <c r="B11" s="5" t="inlineStr">
        <is>
          <t>Forecast period</t>
        </is>
      </c>
      <c r="C11" s="6" t="inlineStr">
        <is>
          <t>FY2027 - FY2033 (7 years, analyst projections)</t>
        </is>
      </c>
    </row>
    <row r="12">
      <c r="B12" s="5" t="inlineStr">
        <is>
          <t>Valuation date</t>
        </is>
      </c>
      <c r="C12" s="6" t="inlineStr">
        <is>
          <t>27-Jun-2026</t>
        </is>
      </c>
    </row>
    <row r="13">
      <c r="B13" s="5" t="inlineStr">
        <is>
          <t>Last traded price</t>
        </is>
      </c>
      <c r="C13" s="6" t="inlineStr">
        <is>
          <t>INR 403 (25-Jun-2026)</t>
        </is>
      </c>
    </row>
    <row r="14">
      <c r="B14" s="5" t="inlineStr">
        <is>
          <t>Shares outstanding</t>
        </is>
      </c>
      <c r="C14" s="6" t="inlineStr">
        <is>
          <t>~348.0 crore (Face value INR 2)</t>
        </is>
      </c>
    </row>
    <row r="15">
      <c r="B15" s="5" t="inlineStr">
        <is>
          <t>Promoter (Govt. of India)</t>
        </is>
      </c>
      <c r="C15" s="6" t="inlineStr">
        <is>
          <t>58.17%</t>
        </is>
      </c>
    </row>
    <row r="17">
      <c r="B17" s="4" t="inlineStr">
        <is>
          <t>Workbook contents</t>
        </is>
      </c>
    </row>
    <row r="18">
      <c r="B18" s="6" t="inlineStr">
        <is>
          <t>1  Cover Page</t>
        </is>
      </c>
      <c r="C18" s="6" t="inlineStr">
        <is>
          <t>12 Equity Schedule</t>
        </is>
      </c>
    </row>
    <row r="19">
      <c r="B19" s="6" t="inlineStr">
        <is>
          <t>2  Assumptions</t>
        </is>
      </c>
      <c r="C19" s="6" t="inlineStr">
        <is>
          <t>13 Other Assets &amp; Liabilities</t>
        </is>
      </c>
    </row>
    <row r="20">
      <c r="B20" s="6" t="inlineStr">
        <is>
          <t>3  Historical Financial Statements</t>
        </is>
      </c>
      <c r="C20" s="6" t="inlineStr">
        <is>
          <t>14 Cash Flow Statement</t>
        </is>
      </c>
    </row>
    <row r="21">
      <c r="B21" s="6" t="inlineStr">
        <is>
          <t>4  Historical Ratio Analysis</t>
        </is>
      </c>
      <c r="C21" s="6" t="inlineStr">
        <is>
          <t>15 Forecast Financial Statements</t>
        </is>
      </c>
    </row>
    <row r="22">
      <c r="B22" s="6" t="inlineStr">
        <is>
          <t>5  Operational Drivers</t>
        </is>
      </c>
      <c r="C22" s="6" t="inlineStr">
        <is>
          <t>16 Ratio Analysis</t>
        </is>
      </c>
    </row>
    <row r="23">
      <c r="B23" s="6" t="inlineStr">
        <is>
          <t>6  Revenue Build-up</t>
        </is>
      </c>
      <c r="C23" s="6" t="inlineStr">
        <is>
          <t>17 DCF Valuation</t>
        </is>
      </c>
    </row>
    <row r="24">
      <c r="B24" s="6" t="inlineStr">
        <is>
          <t>7  Cost Forecast</t>
        </is>
      </c>
      <c r="C24" s="6" t="inlineStr">
        <is>
          <t>18 Relative Valuation</t>
        </is>
      </c>
    </row>
    <row r="25">
      <c r="B25" s="6" t="inlineStr">
        <is>
          <t>8  Working Capital Schedule</t>
        </is>
      </c>
      <c r="C25" s="6" t="inlineStr">
        <is>
          <t>19 Sensitivity Analysis</t>
        </is>
      </c>
    </row>
    <row r="26">
      <c r="B26" s="6" t="inlineStr">
        <is>
          <t>9  Fixed Asset Schedule</t>
        </is>
      </c>
      <c r="C26" s="6" t="inlineStr">
        <is>
          <t>20 Scenario Analysis</t>
        </is>
      </c>
    </row>
    <row r="27">
      <c r="B27" s="6" t="inlineStr">
        <is>
          <t>10 Depreciation Schedule</t>
        </is>
      </c>
      <c r="C27" s="6" t="inlineStr">
        <is>
          <t>21 Dashboard</t>
        </is>
      </c>
    </row>
    <row r="28">
      <c r="B28" s="6" t="inlineStr">
        <is>
          <t>11 Debt Schedule</t>
        </is>
      </c>
      <c r="C28" s="6" t="inlineStr">
        <is>
          <t>22 Error Checks</t>
        </is>
      </c>
    </row>
    <row r="31">
      <c r="B31" s="4" t="inlineStr">
        <is>
          <t>Formatting legend</t>
        </is>
      </c>
    </row>
    <row r="32">
      <c r="B32" s="6" t="inlineStr">
        <is>
          <t>Black</t>
        </is>
      </c>
      <c r="C32" s="6" t="inlineStr">
        <is>
          <t>Hardcoded input / actual reported data</t>
        </is>
      </c>
    </row>
    <row r="33">
      <c r="B33" s="7" t="inlineStr">
        <is>
          <t>Blue</t>
        </is>
      </c>
      <c r="C33" s="6" t="inlineStr">
        <is>
          <t>In-sheet calculation (formula)</t>
        </is>
      </c>
    </row>
    <row r="34">
      <c r="B34" s="8" t="inlineStr">
        <is>
          <t>Green</t>
        </is>
      </c>
      <c r="C34" s="6" t="inlineStr">
        <is>
          <t>Link to another worksheet</t>
        </is>
      </c>
    </row>
    <row r="35">
      <c r="B35" s="9" t="inlineStr">
        <is>
          <t>Gold fill</t>
        </is>
      </c>
      <c r="C35" s="6" t="inlineStr">
        <is>
          <t>Editable assumption / input cell</t>
        </is>
      </c>
    </row>
    <row r="37">
      <c r="B37" s="4" t="inlineStr">
        <is>
          <t>Data sources &amp; provenance</t>
        </is>
      </c>
    </row>
    <row r="38">
      <c r="B38" s="10" t="inlineStr">
        <is>
          <t>Primary headline financials (P&amp;L, Balance Sheet, Cash Flow FY20-FY26): BHEL filings to BSE/NSE, aggregated via Screener.in.</t>
        </is>
      </c>
    </row>
    <row r="39">
      <c r="B39" s="10" t="inlineStr">
        <is>
          <t>Order book, order inflow &amp; segment data: BHEL results press releases, Directors' Report and exchange filings (standalone basis).</t>
        </is>
      </c>
    </row>
    <row r="40">
      <c r="B40" s="10" t="inlineStr">
        <is>
          <t>Market data (price, shares, promoter holding): exchange data as of 25-Jun-2026.</t>
        </is>
      </c>
    </row>
    <row r="41">
      <c r="B41" s="10" t="inlineStr">
        <is>
          <t>CAVEAT: Detailed expense split (raw material / employee / subcontracting) and detailed balance-sheet sub-lines</t>
        </is>
      </c>
    </row>
    <row r="42">
      <c r="B42" s="10" t="inlineStr">
        <is>
          <t>(inventory, receivables, payables, cash, contract assets/liabilities) are NOT separately disclosed in the aggregated</t>
        </is>
      </c>
    </row>
    <row r="43">
      <c r="B43" s="10" t="inlineStr">
        <is>
          <t>sources used. These are shown as clearly-flagged analytical estimates anchored to the audited reported TOTALS.</t>
        </is>
      </c>
    </row>
    <row r="44">
      <c r="B44" s="10" t="inlineStr">
        <is>
          <t>Verify against the company's audited Annual Report notes before any transactional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/>
  </sheetPr>
  <dimension ref="A1:O4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KEY MODELLING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4" t="inlineStr">
        <is>
          <t>Operating &amp; financial drivers</t>
        </is>
      </c>
    </row>
    <row r="4">
      <c r="A4" s="12" t="inlineStr">
        <is>
          <t>INR Crore / ratios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6" t="inlineStr">
        <is>
          <t>Execution rate (revenue / opening order book)</t>
        </is>
      </c>
      <c r="I5" s="14" t="n">
        <v>0.165</v>
      </c>
      <c r="J5" s="14" t="n">
        <v>0.17</v>
      </c>
      <c r="K5" s="14" t="n">
        <v>0.175</v>
      </c>
      <c r="L5" s="14" t="n">
        <v>0.18</v>
      </c>
      <c r="M5" s="14" t="n">
        <v>0.185</v>
      </c>
      <c r="N5" s="14" t="n">
        <v>0.19</v>
      </c>
      <c r="O5" s="14" t="n">
        <v>0.195</v>
      </c>
    </row>
    <row r="6">
      <c r="A6" s="6" t="inlineStr">
        <is>
          <t>New order inflow</t>
        </is>
      </c>
      <c r="I6" s="15" t="n">
        <v>78000</v>
      </c>
      <c r="J6" s="15" t="n">
        <v>82000</v>
      </c>
      <c r="K6" s="15" t="n">
        <v>86000</v>
      </c>
      <c r="L6" s="15" t="n">
        <v>90000</v>
      </c>
      <c r="M6" s="15" t="n">
        <v>92000</v>
      </c>
      <c r="N6" s="15" t="n">
        <v>94000</v>
      </c>
      <c r="O6" s="15" t="n">
        <v>96000</v>
      </c>
    </row>
    <row r="7">
      <c r="A7" s="6" t="inlineStr">
        <is>
          <t>EBITDA margin (% revenue)</t>
        </is>
      </c>
      <c r="I7" s="14" t="n">
        <v>0.075</v>
      </c>
      <c r="J7" s="14" t="n">
        <v>0.08500000000000001</v>
      </c>
      <c r="K7" s="14" t="n">
        <v>0.095</v>
      </c>
      <c r="L7" s="14" t="n">
        <v>0.105</v>
      </c>
      <c r="M7" s="14" t="n">
        <v>0.11</v>
      </c>
      <c r="N7" s="14" t="n">
        <v>0.115</v>
      </c>
      <c r="O7" s="14" t="n">
        <v>0.12</v>
      </c>
    </row>
    <row r="8">
      <c r="A8" s="6" t="inlineStr">
        <is>
          <t>Other income (% revenue)</t>
        </is>
      </c>
      <c r="I8" s="14" t="n">
        <v>0.018</v>
      </c>
      <c r="J8" s="14" t="n">
        <v>0.018</v>
      </c>
      <c r="K8" s="14" t="n">
        <v>0.018</v>
      </c>
      <c r="L8" s="14" t="n">
        <v>0.018</v>
      </c>
      <c r="M8" s="14" t="n">
        <v>0.018</v>
      </c>
      <c r="N8" s="14" t="n">
        <v>0.018</v>
      </c>
      <c r="O8" s="14" t="n">
        <v>0.018</v>
      </c>
    </row>
    <row r="9">
      <c r="A9" s="6" t="inlineStr">
        <is>
          <t>Employee benefits expense (% revenue)</t>
        </is>
      </c>
      <c r="I9" s="14" t="n">
        <v>0.135</v>
      </c>
      <c r="J9" s="14" t="n">
        <v>0.128</v>
      </c>
      <c r="K9" s="14" t="n">
        <v>0.122</v>
      </c>
      <c r="L9" s="14" t="n">
        <v>0.116</v>
      </c>
      <c r="M9" s="14" t="n">
        <v>0.112</v>
      </c>
      <c r="N9" s="14" t="n">
        <v>0.108</v>
      </c>
      <c r="O9" s="14" t="n">
        <v>0.105</v>
      </c>
    </row>
    <row r="10">
      <c r="A10" s="6" t="inlineStr">
        <is>
          <t>Subcontracting &amp; erection (% revenue)</t>
        </is>
      </c>
      <c r="I10" s="14" t="n">
        <v>0.08500000000000001</v>
      </c>
      <c r="J10" s="14" t="n">
        <v>0.08500000000000001</v>
      </c>
      <c r="K10" s="14" t="n">
        <v>0.08500000000000001</v>
      </c>
      <c r="L10" s="14" t="n">
        <v>0.08500000000000001</v>
      </c>
      <c r="M10" s="14" t="n">
        <v>0.08500000000000001</v>
      </c>
      <c r="N10" s="14" t="n">
        <v>0.08500000000000001</v>
      </c>
      <c r="O10" s="14" t="n">
        <v>0.08500000000000001</v>
      </c>
    </row>
    <row r="11">
      <c r="A11" s="6" t="inlineStr">
        <is>
          <t>Other operating expenses (% revenue)</t>
        </is>
      </c>
      <c r="I11" s="14" t="n">
        <v>0.075</v>
      </c>
      <c r="J11" s="14" t="n">
        <v>0.075</v>
      </c>
      <c r="K11" s="14" t="n">
        <v>0.075</v>
      </c>
      <c r="L11" s="14" t="n">
        <v>0.075</v>
      </c>
      <c r="M11" s="14" t="n">
        <v>0.075</v>
      </c>
      <c r="N11" s="14" t="n">
        <v>0.075</v>
      </c>
      <c r="O11" s="14" t="n">
        <v>0.075</v>
      </c>
    </row>
    <row r="12">
      <c r="A12" s="6" t="inlineStr">
        <is>
          <t>Capital expenditure</t>
        </is>
      </c>
      <c r="I12" s="15" t="n">
        <v>600</v>
      </c>
      <c r="J12" s="15" t="n">
        <v>700</v>
      </c>
      <c r="K12" s="15" t="n">
        <v>750</v>
      </c>
      <c r="L12" s="15" t="n">
        <v>800</v>
      </c>
      <c r="M12" s="15" t="n">
        <v>850</v>
      </c>
      <c r="N12" s="15" t="n">
        <v>900</v>
      </c>
      <c r="O12" s="15" t="n">
        <v>950</v>
      </c>
    </row>
    <row r="13">
      <c r="A13" s="6" t="inlineStr">
        <is>
          <t>Depreciation rate (% opening net block)</t>
        </is>
      </c>
      <c r="I13" s="14" t="n">
        <v>0.095</v>
      </c>
      <c r="J13" s="14" t="n">
        <v>0.095</v>
      </c>
      <c r="K13" s="14" t="n">
        <v>0.095</v>
      </c>
      <c r="L13" s="14" t="n">
        <v>0.095</v>
      </c>
      <c r="M13" s="14" t="n">
        <v>0.095</v>
      </c>
      <c r="N13" s="14" t="n">
        <v>0.095</v>
      </c>
      <c r="O13" s="14" t="n">
        <v>0.095</v>
      </c>
    </row>
    <row r="14">
      <c r="A14" s="6" t="inlineStr">
        <is>
          <t>Trade receivable days</t>
        </is>
      </c>
      <c r="I14" s="16" t="n">
        <v>75</v>
      </c>
      <c r="J14" s="16" t="n">
        <v>75</v>
      </c>
      <c r="K14" s="16" t="n">
        <v>75</v>
      </c>
      <c r="L14" s="16" t="n">
        <v>75</v>
      </c>
      <c r="M14" s="16" t="n">
        <v>75</v>
      </c>
      <c r="N14" s="16" t="n">
        <v>75</v>
      </c>
      <c r="O14" s="16" t="n">
        <v>75</v>
      </c>
    </row>
    <row r="15">
      <c r="A15" s="6" t="inlineStr">
        <is>
          <t>Inventory days</t>
        </is>
      </c>
      <c r="I15" s="16" t="n">
        <v>210</v>
      </c>
      <c r="J15" s="16" t="n">
        <v>205</v>
      </c>
      <c r="K15" s="16" t="n">
        <v>200</v>
      </c>
      <c r="L15" s="16" t="n">
        <v>200</v>
      </c>
      <c r="M15" s="16" t="n">
        <v>195</v>
      </c>
      <c r="N15" s="16" t="n">
        <v>195</v>
      </c>
      <c r="O15" s="16" t="n">
        <v>190</v>
      </c>
    </row>
    <row r="16">
      <c r="A16" s="6" t="inlineStr">
        <is>
          <t>Trade payable days</t>
        </is>
      </c>
      <c r="I16" s="16" t="n">
        <v>175</v>
      </c>
      <c r="J16" s="16" t="n">
        <v>175</v>
      </c>
      <c r="K16" s="16" t="n">
        <v>175</v>
      </c>
      <c r="L16" s="16" t="n">
        <v>175</v>
      </c>
      <c r="M16" s="16" t="n">
        <v>175</v>
      </c>
      <c r="N16" s="16" t="n">
        <v>175</v>
      </c>
      <c r="O16" s="16" t="n">
        <v>175</v>
      </c>
    </row>
    <row r="17">
      <c r="A17" s="6" t="inlineStr">
        <is>
          <t>Contract assets (% revenue)</t>
        </is>
      </c>
      <c r="I17" s="14" t="n">
        <v>0.235</v>
      </c>
      <c r="J17" s="14" t="n">
        <v>0.235</v>
      </c>
      <c r="K17" s="14" t="n">
        <v>0.235</v>
      </c>
      <c r="L17" s="14" t="n">
        <v>0.235</v>
      </c>
      <c r="M17" s="14" t="n">
        <v>0.235</v>
      </c>
      <c r="N17" s="14" t="n">
        <v>0.235</v>
      </c>
      <c r="O17" s="14" t="n">
        <v>0.235</v>
      </c>
    </row>
    <row r="18">
      <c r="A18" s="6" t="inlineStr">
        <is>
          <t>Contract liabilities / advances (% revenue)</t>
        </is>
      </c>
      <c r="I18" s="14" t="n">
        <v>0.355</v>
      </c>
      <c r="J18" s="14" t="n">
        <v>0.355</v>
      </c>
      <c r="K18" s="14" t="n">
        <v>0.355</v>
      </c>
      <c r="L18" s="14" t="n">
        <v>0.355</v>
      </c>
      <c r="M18" s="14" t="n">
        <v>0.355</v>
      </c>
      <c r="N18" s="14" t="n">
        <v>0.355</v>
      </c>
      <c r="O18" s="14" t="n">
        <v>0.355</v>
      </c>
    </row>
    <row r="19">
      <c r="A19" s="6" t="inlineStr">
        <is>
          <t>Other current/non-curr assets growth %</t>
        </is>
      </c>
      <c r="I19" s="14" t="n">
        <v>0.03</v>
      </c>
      <c r="J19" s="14" t="n">
        <v>0.03</v>
      </c>
      <c r="K19" s="14" t="n">
        <v>0.03</v>
      </c>
      <c r="L19" s="14" t="n">
        <v>0.03</v>
      </c>
      <c r="M19" s="14" t="n">
        <v>0.03</v>
      </c>
      <c r="N19" s="14" t="n">
        <v>0.03</v>
      </c>
      <c r="O19" s="14" t="n">
        <v>0.03</v>
      </c>
    </row>
    <row r="20">
      <c r="A20" s="6" t="inlineStr">
        <is>
          <t>Provisions &amp; other liabilities growth %</t>
        </is>
      </c>
      <c r="I20" s="14" t="n">
        <v>0.03</v>
      </c>
      <c r="J20" s="14" t="n">
        <v>0.03</v>
      </c>
      <c r="K20" s="14" t="n">
        <v>0.03</v>
      </c>
      <c r="L20" s="14" t="n">
        <v>0.03</v>
      </c>
      <c r="M20" s="14" t="n">
        <v>0.03</v>
      </c>
      <c r="N20" s="14" t="n">
        <v>0.03</v>
      </c>
      <c r="O20" s="14" t="n">
        <v>0.03</v>
      </c>
    </row>
    <row r="21">
      <c r="A21" s="6" t="inlineStr">
        <is>
          <t>Capital work-in-progress (closing)</t>
        </is>
      </c>
      <c r="I21" s="15" t="n">
        <v>400</v>
      </c>
      <c r="J21" s="15" t="n">
        <v>400</v>
      </c>
      <c r="K21" s="15" t="n">
        <v>400</v>
      </c>
      <c r="L21" s="15" t="n">
        <v>400</v>
      </c>
      <c r="M21" s="15" t="n">
        <v>400</v>
      </c>
      <c r="N21" s="15" t="n">
        <v>400</v>
      </c>
      <c r="O21" s="15" t="n">
        <v>400</v>
      </c>
    </row>
    <row r="22">
      <c r="A22" s="6" t="inlineStr">
        <is>
          <t>Investments (closing)</t>
        </is>
      </c>
      <c r="I22" s="15" t="n">
        <v>310</v>
      </c>
      <c r="J22" s="15" t="n">
        <v>320</v>
      </c>
      <c r="K22" s="15" t="n">
        <v>330</v>
      </c>
      <c r="L22" s="15" t="n">
        <v>340</v>
      </c>
      <c r="M22" s="15" t="n">
        <v>350</v>
      </c>
      <c r="N22" s="15" t="n">
        <v>360</v>
      </c>
      <c r="O22" s="15" t="n">
        <v>370</v>
      </c>
    </row>
    <row r="23">
      <c r="A23" s="6" t="inlineStr">
        <is>
          <t>Effective tax rate</t>
        </is>
      </c>
      <c r="I23" s="14" t="n">
        <v>0.25</v>
      </c>
      <c r="J23" s="14" t="n">
        <v>0.25</v>
      </c>
      <c r="K23" s="14" t="n">
        <v>0.25</v>
      </c>
      <c r="L23" s="14" t="n">
        <v>0.25</v>
      </c>
      <c r="M23" s="14" t="n">
        <v>0.25</v>
      </c>
      <c r="N23" s="14" t="n">
        <v>0.25</v>
      </c>
      <c r="O23" s="14" t="n">
        <v>0.25</v>
      </c>
    </row>
    <row r="24">
      <c r="A24" s="6" t="inlineStr">
        <is>
          <t>Dividend payout (% PAT)</t>
        </is>
      </c>
      <c r="I24" s="14" t="n">
        <v>0.3</v>
      </c>
      <c r="J24" s="14" t="n">
        <v>0.3</v>
      </c>
      <c r="K24" s="14" t="n">
        <v>0.3</v>
      </c>
      <c r="L24" s="14" t="n">
        <v>0.3</v>
      </c>
      <c r="M24" s="14" t="n">
        <v>0.3</v>
      </c>
      <c r="N24" s="14" t="n">
        <v>0.3</v>
      </c>
      <c r="O24" s="14" t="n">
        <v>0.3</v>
      </c>
    </row>
    <row r="25">
      <c r="A25" s="6" t="inlineStr">
        <is>
          <t>New borrowings drawn</t>
        </is>
      </c>
      <c r="I25" s="15" t="n">
        <v>0</v>
      </c>
      <c r="J25" s="15" t="n">
        <v>0</v>
      </c>
      <c r="K25" s="15" t="n">
        <v>0</v>
      </c>
      <c r="L25" s="15" t="n">
        <v>0</v>
      </c>
      <c r="M25" s="15" t="n">
        <v>0</v>
      </c>
      <c r="N25" s="15" t="n">
        <v>0</v>
      </c>
      <c r="O25" s="15" t="n">
        <v>0</v>
      </c>
    </row>
    <row r="26">
      <c r="A26" s="6" t="inlineStr">
        <is>
          <t>Debt repayment</t>
        </is>
      </c>
      <c r="I26" s="15" t="n">
        <v>1000</v>
      </c>
      <c r="J26" s="15" t="n">
        <v>1000</v>
      </c>
      <c r="K26" s="15" t="n">
        <v>1000</v>
      </c>
      <c r="L26" s="15" t="n">
        <v>1000</v>
      </c>
      <c r="M26" s="15" t="n">
        <v>1000</v>
      </c>
      <c r="N26" s="15" t="n">
        <v>1000</v>
      </c>
      <c r="O26" s="15" t="n">
        <v>1000</v>
      </c>
    </row>
    <row r="27">
      <c r="A27" s="6" t="inlineStr">
        <is>
          <t>Interest rate on opening debt</t>
        </is>
      </c>
      <c r="I27" s="14" t="n">
        <v>0.08500000000000001</v>
      </c>
      <c r="J27" s="14" t="n">
        <v>0.08500000000000001</v>
      </c>
      <c r="K27" s="14" t="n">
        <v>0.08500000000000001</v>
      </c>
      <c r="L27" s="14" t="n">
        <v>0.08500000000000001</v>
      </c>
      <c r="M27" s="14" t="n">
        <v>0.08500000000000001</v>
      </c>
      <c r="N27" s="14" t="n">
        <v>0.08500000000000001</v>
      </c>
      <c r="O27" s="14" t="n">
        <v>0.08500000000000001</v>
      </c>
    </row>
    <row r="29">
      <c r="A29" s="4" t="inlineStr">
        <is>
          <t>WACC &amp; valuation inputs</t>
        </is>
      </c>
    </row>
    <row r="30">
      <c r="A30" s="6" t="inlineStr">
        <is>
          <t>Risk-free rate (10Y India G-Sec)</t>
        </is>
      </c>
      <c r="C30" s="14" t="n">
        <v>0.068</v>
      </c>
    </row>
    <row r="31">
      <c r="A31" s="6" t="inlineStr">
        <is>
          <t>Levered beta</t>
        </is>
      </c>
      <c r="C31" s="17" t="n">
        <v>1.25</v>
      </c>
    </row>
    <row r="32">
      <c r="A32" s="6" t="inlineStr">
        <is>
          <t>Equity risk premium</t>
        </is>
      </c>
      <c r="C32" s="14" t="n">
        <v>0.065</v>
      </c>
    </row>
    <row r="33">
      <c r="A33" s="6" t="inlineStr">
        <is>
          <t>Pre-tax cost of debt</t>
        </is>
      </c>
      <c r="C33" s="14" t="n">
        <v>0.08500000000000001</v>
      </c>
    </row>
    <row r="34">
      <c r="A34" s="6" t="inlineStr">
        <is>
          <t>Marginal tax rate (WACC)</t>
        </is>
      </c>
      <c r="C34" s="14" t="n">
        <v>0.25</v>
      </c>
    </row>
    <row r="35">
      <c r="A35" s="6" t="inlineStr">
        <is>
          <t>Target weight of debt</t>
        </is>
      </c>
      <c r="C35" s="14" t="n">
        <v>0.15</v>
      </c>
    </row>
    <row r="36">
      <c r="A36" s="6" t="inlineStr">
        <is>
          <t>Target weight of equity</t>
        </is>
      </c>
      <c r="C36" s="14" t="n">
        <v>0.85</v>
      </c>
    </row>
    <row r="37">
      <c r="A37" s="6" t="inlineStr">
        <is>
          <t>Terminal growth rate</t>
        </is>
      </c>
      <c r="C37" s="14" t="n">
        <v>0.045</v>
      </c>
    </row>
    <row r="38">
      <c r="A38" s="5" t="inlineStr">
        <is>
          <t>Cost of equity  (Ke = Rf + B x ERP)</t>
        </is>
      </c>
      <c r="C38" s="18">
        <f>'Assumptions'!C30+'Assumptions'!C31*'Assumptions'!C32</f>
        <v/>
      </c>
    </row>
    <row r="39">
      <c r="A39" s="5" t="inlineStr">
        <is>
          <t>WACC  (We x Ke + Wd x Kd x (1-t))</t>
        </is>
      </c>
      <c r="C39" s="19">
        <f>'Assumptions'!C36*'Assumptions'!C38+'Assumptions'!C35*'Assumptions'!C33*(1-'Assumptions'!C34)</f>
        <v/>
      </c>
    </row>
    <row r="40">
      <c r="A40" s="6" t="inlineStr">
        <is>
          <t>Shares outstanding (crore)</t>
        </is>
      </c>
      <c r="C40" s="20" t="n">
        <v>348.05</v>
      </c>
    </row>
    <row r="41">
      <c r="A41" s="6" t="inlineStr">
        <is>
          <t>Current market price (INR)</t>
        </is>
      </c>
      <c r="C41" s="17" t="n">
        <v>403</v>
      </c>
    </row>
    <row r="42">
      <c r="A42" s="6" t="inlineStr">
        <is>
          <t>Face value (INR)</t>
        </is>
      </c>
      <c r="C42" s="17" t="n">
        <v>2</v>
      </c>
    </row>
    <row r="44">
      <c r="A44" s="10" t="inlineStr">
        <is>
          <t>Note: Forecast drivers are analyst base-case assumptions. Rationale is documented on the "Operational Drivers" and "Revenue Build-up" sheets and in the delivery notes.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FINANCIAL STATEMENTS  (Consolidated, INR Crore)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</row>
    <row r="5">
      <c r="A5" s="5" t="inlineStr">
        <is>
          <t>Revenue from operations</t>
        </is>
      </c>
      <c r="B5" s="21" t="n">
        <v>21463</v>
      </c>
      <c r="C5" s="21" t="n">
        <v>17309</v>
      </c>
      <c r="D5" s="21" t="n">
        <v>21211</v>
      </c>
      <c r="E5" s="21" t="n">
        <v>23365</v>
      </c>
      <c r="F5" s="21" t="n">
        <v>23893</v>
      </c>
      <c r="G5" s="21" t="n">
        <v>28339</v>
      </c>
      <c r="H5" s="21" t="n">
        <v>33782</v>
      </c>
    </row>
    <row r="6">
      <c r="A6" s="6" t="inlineStr">
        <is>
          <t>Other income</t>
        </is>
      </c>
      <c r="B6" s="21" t="n">
        <v>590</v>
      </c>
      <c r="C6" s="21" t="n">
        <v>393</v>
      </c>
      <c r="D6" s="21" t="n">
        <v>405</v>
      </c>
      <c r="E6" s="21" t="n">
        <v>544</v>
      </c>
      <c r="F6" s="21" t="n">
        <v>608</v>
      </c>
      <c r="G6" s="21" t="n">
        <v>524</v>
      </c>
      <c r="H6" s="21" t="n">
        <v>869</v>
      </c>
    </row>
    <row r="7">
      <c r="A7" s="6" t="inlineStr">
        <is>
          <t>Total operating expenditure</t>
        </is>
      </c>
      <c r="B7" s="21" t="n">
        <v>21596</v>
      </c>
      <c r="C7" s="21" t="n">
        <v>20357</v>
      </c>
      <c r="D7" s="21" t="n">
        <v>20383</v>
      </c>
      <c r="E7" s="21" t="n">
        <v>22321</v>
      </c>
      <c r="F7" s="21" t="n">
        <v>23182</v>
      </c>
      <c r="G7" s="21" t="n">
        <v>26940</v>
      </c>
      <c r="H7" s="21" t="n">
        <v>31440</v>
      </c>
    </row>
    <row r="8">
      <c r="A8" s="5" t="inlineStr">
        <is>
          <t>EBITDA</t>
        </is>
      </c>
      <c r="B8" s="22">
        <f>B5-B7</f>
        <v/>
      </c>
      <c r="C8" s="22">
        <f>C5-C7</f>
        <v/>
      </c>
      <c r="D8" s="22">
        <f>D5-D7</f>
        <v/>
      </c>
      <c r="E8" s="22">
        <f>E5-E7</f>
        <v/>
      </c>
      <c r="F8" s="22">
        <f>F5-F7</f>
        <v/>
      </c>
      <c r="G8" s="22">
        <f>G5-G7</f>
        <v/>
      </c>
      <c r="H8" s="22">
        <f>H5-H7</f>
        <v/>
      </c>
    </row>
    <row r="9">
      <c r="A9" s="6" t="inlineStr">
        <is>
          <t>Depreciation &amp; amortisation</t>
        </is>
      </c>
      <c r="B9" s="21" t="n">
        <v>503</v>
      </c>
      <c r="C9" s="21" t="n">
        <v>473</v>
      </c>
      <c r="D9" s="21" t="n">
        <v>314</v>
      </c>
      <c r="E9" s="21" t="n">
        <v>260</v>
      </c>
      <c r="F9" s="21" t="n">
        <v>249</v>
      </c>
      <c r="G9" s="21" t="n">
        <v>272</v>
      </c>
      <c r="H9" s="21" t="n">
        <v>316</v>
      </c>
    </row>
    <row r="10">
      <c r="A10" s="5" t="inlineStr">
        <is>
          <t>EBIT</t>
        </is>
      </c>
      <c r="B10" s="23">
        <f>B8-B9</f>
        <v/>
      </c>
      <c r="C10" s="23">
        <f>C8-C9</f>
        <v/>
      </c>
      <c r="D10" s="23">
        <f>D8-D9</f>
        <v/>
      </c>
      <c r="E10" s="23">
        <f>E8-E9</f>
        <v/>
      </c>
      <c r="F10" s="23">
        <f>F8-F9</f>
        <v/>
      </c>
      <c r="G10" s="23">
        <f>G8-G9</f>
        <v/>
      </c>
      <c r="H10" s="23">
        <f>H8-H9</f>
        <v/>
      </c>
    </row>
    <row r="11">
      <c r="A11" s="6" t="inlineStr">
        <is>
          <t>Finance costs</t>
        </is>
      </c>
      <c r="B11" s="21" t="n">
        <v>613</v>
      </c>
      <c r="C11" s="21" t="n">
        <v>467</v>
      </c>
      <c r="D11" s="21" t="n">
        <v>448</v>
      </c>
      <c r="E11" s="21" t="n">
        <v>612</v>
      </c>
      <c r="F11" s="21" t="n">
        <v>828</v>
      </c>
      <c r="G11" s="21" t="n">
        <v>906</v>
      </c>
      <c r="H11" s="21" t="n">
        <v>756</v>
      </c>
    </row>
    <row r="12">
      <c r="A12" s="5" t="inlineStr">
        <is>
          <t>Profit before tax</t>
        </is>
      </c>
      <c r="B12" s="24">
        <f>B10+B6-B11</f>
        <v/>
      </c>
      <c r="C12" s="24">
        <f>C10+C6-C11</f>
        <v/>
      </c>
      <c r="D12" s="24">
        <f>D10+D6-D11</f>
        <v/>
      </c>
      <c r="E12" s="24">
        <f>E10+E6-E11</f>
        <v/>
      </c>
      <c r="F12" s="24">
        <f>F10+F6-F11</f>
        <v/>
      </c>
      <c r="G12" s="24">
        <f>G10+G6-G11</f>
        <v/>
      </c>
      <c r="H12" s="24">
        <f>H10+H6-H11</f>
        <v/>
      </c>
    </row>
    <row r="13">
      <c r="A13" s="6" t="inlineStr">
        <is>
          <t>Tax expense</t>
        </is>
      </c>
      <c r="B13" s="21" t="n">
        <v>809</v>
      </c>
      <c r="C13" s="21" t="n">
        <v>-896</v>
      </c>
      <c r="D13" s="21" t="n">
        <v>25</v>
      </c>
      <c r="E13" s="21" t="n">
        <v>62</v>
      </c>
      <c r="F13" s="21" t="n">
        <v>-39</v>
      </c>
      <c r="G13" s="21" t="n">
        <v>212</v>
      </c>
      <c r="H13" s="21" t="n">
        <v>539</v>
      </c>
    </row>
    <row r="14">
      <c r="A14" s="5" t="inlineStr">
        <is>
          <t>Profit after tax (PAT)</t>
        </is>
      </c>
      <c r="B14" s="25">
        <f>B12-B13</f>
        <v/>
      </c>
      <c r="C14" s="25">
        <f>C12-C13</f>
        <v/>
      </c>
      <c r="D14" s="25">
        <f>D12-D13</f>
        <v/>
      </c>
      <c r="E14" s="25">
        <f>E12-E13</f>
        <v/>
      </c>
      <c r="F14" s="25">
        <f>F12-F13</f>
        <v/>
      </c>
      <c r="G14" s="25">
        <f>G12-G13</f>
        <v/>
      </c>
      <c r="H14" s="25">
        <f>H12-H13</f>
        <v/>
      </c>
    </row>
    <row r="15">
      <c r="A15" s="6" t="inlineStr">
        <is>
          <t>EPS (INR)</t>
        </is>
      </c>
      <c r="B15" s="26">
        <f>B14/'Assumptions'!C40</f>
        <v/>
      </c>
      <c r="C15" s="26">
        <f>C14/'Assumptions'!C40</f>
        <v/>
      </c>
      <c r="D15" s="26">
        <f>D14/'Assumptions'!C40</f>
        <v/>
      </c>
      <c r="E15" s="26">
        <f>E14/'Assumptions'!C40</f>
        <v/>
      </c>
      <c r="F15" s="26">
        <f>F14/'Assumptions'!C40</f>
        <v/>
      </c>
      <c r="G15" s="26">
        <f>G14/'Assumptions'!C40</f>
        <v/>
      </c>
      <c r="H15" s="26">
        <f>H14/'Assumptions'!C40</f>
        <v/>
      </c>
    </row>
    <row r="16">
      <c r="A16" s="6" t="inlineStr">
        <is>
          <t>Dividend (paid on PAT)</t>
        </is>
      </c>
      <c r="B16" s="21" t="n">
        <v>0</v>
      </c>
      <c r="C16" s="21" t="n">
        <v>0</v>
      </c>
      <c r="D16" s="21" t="n">
        <v>138</v>
      </c>
      <c r="E16" s="21" t="n">
        <v>137</v>
      </c>
      <c r="F16" s="21" t="n">
        <v>87</v>
      </c>
      <c r="G16" s="21" t="n">
        <v>176</v>
      </c>
      <c r="H16" s="21" t="n">
        <v>487</v>
      </c>
    </row>
    <row r="17">
      <c r="A17" s="27" t="inlineStr">
        <is>
          <t>Source: BHEL BSE/NSE filings (consolidated). EBITDA = Revenue less total operating expenditure (excl. other income).</t>
        </is>
      </c>
    </row>
    <row r="19">
      <c r="A19" s="11" t="inlineStr">
        <is>
          <t>B.  BALANCE SHEET</t>
        </is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</row>
    <row r="20">
      <c r="A20" s="12" t="inlineStr">
        <is>
          <t>INR Crore</t>
        </is>
      </c>
      <c r="B20" s="13" t="inlineStr">
        <is>
          <t>FY2020</t>
        </is>
      </c>
      <c r="C20" s="13" t="inlineStr">
        <is>
          <t>FY2021</t>
        </is>
      </c>
      <c r="D20" s="13" t="inlineStr">
        <is>
          <t>FY2022</t>
        </is>
      </c>
      <c r="E20" s="13" t="inlineStr">
        <is>
          <t>FY2023</t>
        </is>
      </c>
      <c r="F20" s="13" t="inlineStr">
        <is>
          <t>FY2024</t>
        </is>
      </c>
      <c r="G20" s="13" t="inlineStr">
        <is>
          <t>FY2025</t>
        </is>
      </c>
      <c r="H20" s="13" t="inlineStr">
        <is>
          <t>FY2026</t>
        </is>
      </c>
    </row>
    <row r="21">
      <c r="A21" s="6" t="inlineStr">
        <is>
          <t>Net property, plant &amp; equipment</t>
        </is>
      </c>
      <c r="B21" s="21" t="n">
        <v>2817</v>
      </c>
      <c r="C21" s="21" t="n">
        <v>2491</v>
      </c>
      <c r="D21" s="21" t="n">
        <v>2398</v>
      </c>
      <c r="E21" s="21" t="n">
        <v>2476</v>
      </c>
      <c r="F21" s="21" t="n">
        <v>2574</v>
      </c>
      <c r="G21" s="21" t="n">
        <v>2947</v>
      </c>
      <c r="H21" s="21" t="n">
        <v>3094</v>
      </c>
    </row>
    <row r="22">
      <c r="A22" s="6" t="inlineStr">
        <is>
          <t>Capital work-in-progress</t>
        </is>
      </c>
      <c r="B22" s="21" t="n">
        <v>314</v>
      </c>
      <c r="C22" s="21" t="n">
        <v>420</v>
      </c>
      <c r="D22" s="21" t="n">
        <v>431</v>
      </c>
      <c r="E22" s="21" t="n">
        <v>354</v>
      </c>
      <c r="F22" s="21" t="n">
        <v>308</v>
      </c>
      <c r="G22" s="21" t="n">
        <v>195</v>
      </c>
      <c r="H22" s="21" t="n">
        <v>399</v>
      </c>
    </row>
    <row r="23">
      <c r="A23" s="6" t="inlineStr">
        <is>
          <t>Investments</t>
        </is>
      </c>
      <c r="B23" s="21" t="n">
        <v>162</v>
      </c>
      <c r="C23" s="21" t="n">
        <v>185</v>
      </c>
      <c r="D23" s="21" t="n">
        <v>205</v>
      </c>
      <c r="E23" s="21" t="n">
        <v>235</v>
      </c>
      <c r="F23" s="21" t="n">
        <v>256</v>
      </c>
      <c r="G23" s="21" t="n">
        <v>276</v>
      </c>
      <c r="H23" s="21" t="n">
        <v>302</v>
      </c>
    </row>
    <row r="24">
      <c r="A24" s="6" t="inlineStr">
        <is>
          <t>Other assets (inventory, receivables, cash, contract &amp; other)</t>
        </is>
      </c>
      <c r="B24" s="21" t="n">
        <v>56998</v>
      </c>
      <c r="C24" s="21" t="n">
        <v>52864</v>
      </c>
      <c r="D24" s="21" t="n">
        <v>53956</v>
      </c>
      <c r="E24" s="21" t="n">
        <v>54599</v>
      </c>
      <c r="F24" s="21" t="n">
        <v>56646</v>
      </c>
      <c r="G24" s="21" t="n">
        <v>65431</v>
      </c>
      <c r="H24" s="21" t="n">
        <v>72390</v>
      </c>
    </row>
    <row r="25">
      <c r="A25" s="5" t="inlineStr">
        <is>
          <t>TOTAL ASSETS</t>
        </is>
      </c>
      <c r="B25" s="25">
        <f>SUM(B21:B24)</f>
        <v/>
      </c>
      <c r="C25" s="25">
        <f>SUM(C21:C24)</f>
        <v/>
      </c>
      <c r="D25" s="25">
        <f>SUM(D21:D24)</f>
        <v/>
      </c>
      <c r="E25" s="25">
        <f>SUM(E21:E24)</f>
        <v/>
      </c>
      <c r="F25" s="25">
        <f>SUM(F21:F24)</f>
        <v/>
      </c>
      <c r="G25" s="25">
        <f>SUM(G21:G24)</f>
        <v/>
      </c>
      <c r="H25" s="25">
        <f>SUM(H21:H24)</f>
        <v/>
      </c>
    </row>
    <row r="26">
      <c r="A26" s="6" t="inlineStr">
        <is>
          <t>Equity share capital</t>
        </is>
      </c>
      <c r="B26" s="21" t="n">
        <v>696</v>
      </c>
      <c r="C26" s="21" t="n">
        <v>696</v>
      </c>
      <c r="D26" s="21" t="n">
        <v>696</v>
      </c>
      <c r="E26" s="21" t="n">
        <v>696</v>
      </c>
      <c r="F26" s="21" t="n">
        <v>696</v>
      </c>
      <c r="G26" s="21" t="n">
        <v>696</v>
      </c>
      <c r="H26" s="21" t="n">
        <v>696</v>
      </c>
    </row>
    <row r="27">
      <c r="A27" s="6" t="inlineStr">
        <is>
          <t>Other equity (reserves &amp; surplus)</t>
        </is>
      </c>
      <c r="B27" s="21" t="n">
        <v>27964</v>
      </c>
      <c r="C27" s="21" t="n">
        <v>25287</v>
      </c>
      <c r="D27" s="21" t="n">
        <v>25810</v>
      </c>
      <c r="E27" s="21" t="n">
        <v>23682</v>
      </c>
      <c r="F27" s="21" t="n">
        <v>23742</v>
      </c>
      <c r="G27" s="21" t="n">
        <v>24026</v>
      </c>
      <c r="H27" s="21" t="n">
        <v>25450</v>
      </c>
    </row>
    <row r="28">
      <c r="A28" s="6" t="inlineStr">
        <is>
          <t>Borrowings (incl. lease liabilities)</t>
        </is>
      </c>
      <c r="B28" s="21" t="n">
        <v>5080</v>
      </c>
      <c r="C28" s="21" t="n">
        <v>4951</v>
      </c>
      <c r="D28" s="21" t="n">
        <v>4830</v>
      </c>
      <c r="E28" s="21" t="n">
        <v>5454</v>
      </c>
      <c r="F28" s="21" t="n">
        <v>8856</v>
      </c>
      <c r="G28" s="21" t="n">
        <v>9015</v>
      </c>
      <c r="H28" s="21" t="n">
        <v>8187</v>
      </c>
    </row>
    <row r="29">
      <c r="A29" s="6" t="inlineStr">
        <is>
          <t>Other liabilities (payables, advances, provisions)</t>
        </is>
      </c>
      <c r="B29" s="21" t="n">
        <v>26550</v>
      </c>
      <c r="C29" s="21" t="n">
        <v>25025</v>
      </c>
      <c r="D29" s="21" t="n">
        <v>25654</v>
      </c>
      <c r="E29" s="21" t="n">
        <v>27832</v>
      </c>
      <c r="F29" s="21" t="n">
        <v>26489</v>
      </c>
      <c r="G29" s="21" t="n">
        <v>35112</v>
      </c>
      <c r="H29" s="21" t="n">
        <v>41852</v>
      </c>
    </row>
    <row r="30">
      <c r="A30" s="5" t="inlineStr">
        <is>
          <t>TOTAL EQUITY &amp; LIABILITIES</t>
        </is>
      </c>
      <c r="B30" s="25">
        <f>SUM(B26:B29)</f>
        <v/>
      </c>
      <c r="C30" s="25">
        <f>SUM(C26:C29)</f>
        <v/>
      </c>
      <c r="D30" s="25">
        <f>SUM(D26:D29)</f>
        <v/>
      </c>
      <c r="E30" s="25">
        <f>SUM(E26:E29)</f>
        <v/>
      </c>
      <c r="F30" s="25">
        <f>SUM(F26:F29)</f>
        <v/>
      </c>
      <c r="G30" s="25">
        <f>SUM(G26:G29)</f>
        <v/>
      </c>
      <c r="H30" s="25">
        <f>SUM(H26:H29)</f>
        <v/>
      </c>
    </row>
    <row r="31">
      <c r="A31" s="6" t="inlineStr">
        <is>
          <t>Balance check (TA - TE&amp;L)</t>
        </is>
      </c>
      <c r="B31" s="23">
        <f>B25-B30</f>
        <v/>
      </c>
      <c r="C31" s="23">
        <f>C25-C30</f>
        <v/>
      </c>
      <c r="D31" s="23">
        <f>D25-D30</f>
        <v/>
      </c>
      <c r="E31" s="23">
        <f>E25-E30</f>
        <v/>
      </c>
      <c r="F31" s="23">
        <f>F25-F30</f>
        <v/>
      </c>
      <c r="G31" s="23">
        <f>G25-G30</f>
        <v/>
      </c>
      <c r="H31" s="23">
        <f>H25-H30</f>
        <v/>
      </c>
    </row>
    <row r="32">
      <c r="A32" s="27" t="inlineStr">
        <is>
          <t>Reported aggregated structure (consolidated). Sub-line detail of "Other assets/liabilities" shown as estimates on schedules.</t>
        </is>
      </c>
    </row>
    <row r="34">
      <c r="A34" s="11" t="inlineStr">
        <is>
          <t>C.  CASH FLOW STATEMENT (reported summary)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</row>
    <row r="35">
      <c r="A35" s="12" t="inlineStr">
        <is>
          <t>INR Crore</t>
        </is>
      </c>
      <c r="B35" s="13" t="inlineStr">
        <is>
          <t>FY2020</t>
        </is>
      </c>
      <c r="C35" s="13" t="inlineStr">
        <is>
          <t>FY2021</t>
        </is>
      </c>
      <c r="D35" s="13" t="inlineStr">
        <is>
          <t>FY2022</t>
        </is>
      </c>
      <c r="E35" s="13" t="inlineStr">
        <is>
          <t>FY2023</t>
        </is>
      </c>
      <c r="F35" s="13" t="inlineStr">
        <is>
          <t>FY2024</t>
        </is>
      </c>
      <c r="G35" s="13" t="inlineStr">
        <is>
          <t>FY2025</t>
        </is>
      </c>
      <c r="H35" s="13" t="inlineStr">
        <is>
          <t>FY2026</t>
        </is>
      </c>
    </row>
    <row r="36">
      <c r="A36" s="6" t="inlineStr">
        <is>
          <t>Cash flow from operating activities</t>
        </is>
      </c>
      <c r="B36" s="21" t="n">
        <v>-2892</v>
      </c>
      <c r="C36" s="21" t="n">
        <v>560</v>
      </c>
      <c r="D36" s="21" t="n">
        <v>660</v>
      </c>
      <c r="E36" s="21" t="n">
        <v>-741</v>
      </c>
      <c r="F36" s="21" t="n">
        <v>-3713</v>
      </c>
      <c r="G36" s="21" t="n">
        <v>2192</v>
      </c>
      <c r="H36" s="21" t="n">
        <v>5837</v>
      </c>
    </row>
    <row r="37">
      <c r="A37" s="6" t="inlineStr">
        <is>
          <t>Cash flow from investing activities</t>
        </is>
      </c>
      <c r="B37" s="21" t="n">
        <v>1877</v>
      </c>
      <c r="C37" s="21" t="n">
        <v>-42</v>
      </c>
      <c r="D37" s="21" t="n">
        <v>-1118</v>
      </c>
      <c r="E37" s="21" t="n">
        <v>1480</v>
      </c>
      <c r="F37" s="21" t="n">
        <v>1331</v>
      </c>
      <c r="G37" s="21" t="n">
        <v>-2731</v>
      </c>
      <c r="H37" s="21" t="n">
        <v>-3035</v>
      </c>
    </row>
    <row r="38">
      <c r="A38" s="6" t="inlineStr">
        <is>
          <t>Cash flow from financing activities</t>
        </is>
      </c>
      <c r="B38" s="21" t="n">
        <v>1622</v>
      </c>
      <c r="C38" s="21" t="n">
        <v>-394</v>
      </c>
      <c r="D38" s="21" t="n">
        <v>-329</v>
      </c>
      <c r="E38" s="21" t="n">
        <v>89</v>
      </c>
      <c r="F38" s="21" t="n">
        <v>2656</v>
      </c>
      <c r="G38" s="21" t="n">
        <v>-857</v>
      </c>
      <c r="H38" s="21" t="n">
        <v>-1806</v>
      </c>
    </row>
    <row r="39">
      <c r="A39" s="5" t="inlineStr">
        <is>
          <t>Net increase / (decrease) in cash</t>
        </is>
      </c>
      <c r="B39" s="25">
        <f>SUM(B36:B38)</f>
        <v/>
      </c>
      <c r="C39" s="25">
        <f>SUM(C36:C38)</f>
        <v/>
      </c>
      <c r="D39" s="25">
        <f>SUM(D36:D38)</f>
        <v/>
      </c>
      <c r="E39" s="25">
        <f>SUM(E36:E38)</f>
        <v/>
      </c>
      <c r="F39" s="25">
        <f>SUM(F36:F38)</f>
        <v/>
      </c>
      <c r="G39" s="25">
        <f>SUM(G36:G38)</f>
        <v/>
      </c>
      <c r="H39" s="25">
        <f>SUM(H36:H38)</f>
        <v/>
      </c>
    </row>
    <row r="40">
      <c r="A40" s="27" t="inlineStr">
        <is>
          <t>Source: BHEL consolidated cash flow statements (BSE/NSE filings).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RATIO ANALYSIS  (Consolidated)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2" t="inlineStr">
        <is>
          <t>INR Crore</t>
        </is>
      </c>
      <c r="B3" s="13" t="inlineStr">
        <is>
          <t>FY2020</t>
        </is>
      </c>
      <c r="C3" s="13" t="inlineStr">
        <is>
          <t>FY2021</t>
        </is>
      </c>
      <c r="D3" s="13" t="inlineStr">
        <is>
          <t>FY2022</t>
        </is>
      </c>
      <c r="E3" s="13" t="inlineStr">
        <is>
          <t>FY2023</t>
        </is>
      </c>
      <c r="F3" s="13" t="inlineStr">
        <is>
          <t>FY2024</t>
        </is>
      </c>
      <c r="G3" s="13" t="inlineStr">
        <is>
          <t>FY2025</t>
        </is>
      </c>
      <c r="H3" s="13" t="inlineStr">
        <is>
          <t>FY2026</t>
        </is>
      </c>
    </row>
    <row r="4">
      <c r="A4" s="11" t="inlineStr">
        <is>
          <t>Growth &amp; profitability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6" t="inlineStr">
        <is>
          <t>Revenue growth %</t>
        </is>
      </c>
      <c r="B5" s="28" t="inlineStr"/>
      <c r="C5" s="29">
        <f>'Historical Financial Statements'!C5/'Historical Financial Statements'!B5-1</f>
        <v/>
      </c>
      <c r="D5" s="29">
        <f>'Historical Financial Statements'!D5/'Historical Financial Statements'!C5-1</f>
        <v/>
      </c>
      <c r="E5" s="29">
        <f>'Historical Financial Statements'!E5/'Historical Financial Statements'!D5-1</f>
        <v/>
      </c>
      <c r="F5" s="29">
        <f>'Historical Financial Statements'!F5/'Historical Financial Statements'!E5-1</f>
        <v/>
      </c>
      <c r="G5" s="29">
        <f>'Historical Financial Statements'!G5/'Historical Financial Statements'!F5-1</f>
        <v/>
      </c>
      <c r="H5" s="29">
        <f>'Historical Financial Statements'!H5/'Historical Financial Statements'!G5-1</f>
        <v/>
      </c>
    </row>
    <row r="6">
      <c r="A6" s="6" t="inlineStr">
        <is>
          <t>EBITDA margin %</t>
        </is>
      </c>
      <c r="B6" s="29">
        <f>'Historical Financial Statements'!B8/'Historical Financial Statements'!B5</f>
        <v/>
      </c>
      <c r="C6" s="29">
        <f>'Historical Financial Statements'!C8/'Historical Financial Statements'!C5</f>
        <v/>
      </c>
      <c r="D6" s="29">
        <f>'Historical Financial Statements'!D8/'Historical Financial Statements'!D5</f>
        <v/>
      </c>
      <c r="E6" s="29">
        <f>'Historical Financial Statements'!E8/'Historical Financial Statements'!E5</f>
        <v/>
      </c>
      <c r="F6" s="29">
        <f>'Historical Financial Statements'!F8/'Historical Financial Statements'!F5</f>
        <v/>
      </c>
      <c r="G6" s="29">
        <f>'Historical Financial Statements'!G8/'Historical Financial Statements'!G5</f>
        <v/>
      </c>
      <c r="H6" s="29">
        <f>'Historical Financial Statements'!H8/'Historical Financial Statements'!H5</f>
        <v/>
      </c>
    </row>
    <row r="7">
      <c r="A7" s="6" t="inlineStr">
        <is>
          <t>EBIT margin %</t>
        </is>
      </c>
      <c r="B7" s="29">
        <f>'Historical Financial Statements'!B10/'Historical Financial Statements'!B5</f>
        <v/>
      </c>
      <c r="C7" s="29">
        <f>'Historical Financial Statements'!C10/'Historical Financial Statements'!C5</f>
        <v/>
      </c>
      <c r="D7" s="29">
        <f>'Historical Financial Statements'!D10/'Historical Financial Statements'!D5</f>
        <v/>
      </c>
      <c r="E7" s="29">
        <f>'Historical Financial Statements'!E10/'Historical Financial Statements'!E5</f>
        <v/>
      </c>
      <c r="F7" s="29">
        <f>'Historical Financial Statements'!F10/'Historical Financial Statements'!F5</f>
        <v/>
      </c>
      <c r="G7" s="29">
        <f>'Historical Financial Statements'!G10/'Historical Financial Statements'!G5</f>
        <v/>
      </c>
      <c r="H7" s="29">
        <f>'Historical Financial Statements'!H10/'Historical Financial Statements'!H5</f>
        <v/>
      </c>
    </row>
    <row r="8">
      <c r="A8" s="6" t="inlineStr">
        <is>
          <t>PAT margin %</t>
        </is>
      </c>
      <c r="B8" s="29">
        <f>'Historical Financial Statements'!B14/'Historical Financial Statements'!B5</f>
        <v/>
      </c>
      <c r="C8" s="29">
        <f>'Historical Financial Statements'!C14/'Historical Financial Statements'!C5</f>
        <v/>
      </c>
      <c r="D8" s="29">
        <f>'Historical Financial Statements'!D14/'Historical Financial Statements'!D5</f>
        <v/>
      </c>
      <c r="E8" s="29">
        <f>'Historical Financial Statements'!E14/'Historical Financial Statements'!E5</f>
        <v/>
      </c>
      <c r="F8" s="29">
        <f>'Historical Financial Statements'!F14/'Historical Financial Statements'!F5</f>
        <v/>
      </c>
      <c r="G8" s="29">
        <f>'Historical Financial Statements'!G14/'Historical Financial Statements'!G5</f>
        <v/>
      </c>
      <c r="H8" s="29">
        <f>'Historical Financial Statements'!H14/'Historical Financial Statements'!H5</f>
        <v/>
      </c>
    </row>
    <row r="9">
      <c r="A9" s="6" t="inlineStr">
        <is>
          <t>Effective tax rate %</t>
        </is>
      </c>
      <c r="B9" s="29">
        <f>IF('Historical Financial Statements'!B12=0,0,'Historical Financial Statements'!B13/'Historical Financial Statements'!B12)</f>
        <v/>
      </c>
      <c r="C9" s="29">
        <f>IF('Historical Financial Statements'!C12=0,0,'Historical Financial Statements'!C13/'Historical Financial Statements'!C12)</f>
        <v/>
      </c>
      <c r="D9" s="29">
        <f>IF('Historical Financial Statements'!D12=0,0,'Historical Financial Statements'!D13/'Historical Financial Statements'!D12)</f>
        <v/>
      </c>
      <c r="E9" s="29">
        <f>IF('Historical Financial Statements'!E12=0,0,'Historical Financial Statements'!E13/'Historical Financial Statements'!E12)</f>
        <v/>
      </c>
      <c r="F9" s="29">
        <f>IF('Historical Financial Statements'!F12=0,0,'Historical Financial Statements'!F13/'Historical Financial Statements'!F12)</f>
        <v/>
      </c>
      <c r="G9" s="29">
        <f>IF('Historical Financial Statements'!G12=0,0,'Historical Financial Statements'!G13/'Historical Financial Statements'!G12)</f>
        <v/>
      </c>
      <c r="H9" s="29">
        <f>IF('Historical Financial Statements'!H12=0,0,'Historical Financial Statements'!H13/'Historical Financial Statements'!H12)</f>
        <v/>
      </c>
    </row>
    <row r="11">
      <c r="A11" s="11" t="inlineStr">
        <is>
          <t>Returns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6" t="inlineStr">
        <is>
          <t>Return on equity (ROE) %</t>
        </is>
      </c>
      <c r="B12" s="28" t="inlineStr"/>
      <c r="C12" s="29">
        <f>'Historical Financial Statements'!C14/(('Historical Financial Statements'!C26+'Historical Financial Statements'!C27+'Historical Financial Statements'!B26+'Historical Financial Statements'!B27)/2)</f>
        <v/>
      </c>
      <c r="D12" s="29">
        <f>'Historical Financial Statements'!D14/(('Historical Financial Statements'!D26+'Historical Financial Statements'!D27+'Historical Financial Statements'!C26+'Historical Financial Statements'!C27)/2)</f>
        <v/>
      </c>
      <c r="E12" s="29">
        <f>'Historical Financial Statements'!E14/(('Historical Financial Statements'!E26+'Historical Financial Statements'!E27+'Historical Financial Statements'!D26+'Historical Financial Statements'!D27)/2)</f>
        <v/>
      </c>
      <c r="F12" s="29">
        <f>'Historical Financial Statements'!F14/(('Historical Financial Statements'!F26+'Historical Financial Statements'!F27+'Historical Financial Statements'!E26+'Historical Financial Statements'!E27)/2)</f>
        <v/>
      </c>
      <c r="G12" s="29">
        <f>'Historical Financial Statements'!G14/(('Historical Financial Statements'!G26+'Historical Financial Statements'!G27+'Historical Financial Statements'!F26+'Historical Financial Statements'!F27)/2)</f>
        <v/>
      </c>
      <c r="H12" s="29">
        <f>'Historical Financial Statements'!H14/(('Historical Financial Statements'!H26+'Historical Financial Statements'!H27+'Historical Financial Statements'!G26+'Historical Financial Statements'!G27)/2)</f>
        <v/>
      </c>
    </row>
    <row r="13">
      <c r="A13" s="6" t="inlineStr">
        <is>
          <t>Return on capital employed (ROCE) %</t>
        </is>
      </c>
      <c r="B13" s="29">
        <f>'Historical Financial Statements'!B10/('Historical Financial Statements'!B26+'Historical Financial Statements'!B27+'Historical Financial Statements'!B28)</f>
        <v/>
      </c>
      <c r="C13" s="29">
        <f>'Historical Financial Statements'!C10/('Historical Financial Statements'!C26+'Historical Financial Statements'!C27+'Historical Financial Statements'!C28)</f>
        <v/>
      </c>
      <c r="D13" s="29">
        <f>'Historical Financial Statements'!D10/('Historical Financial Statements'!D26+'Historical Financial Statements'!D27+'Historical Financial Statements'!D28)</f>
        <v/>
      </c>
      <c r="E13" s="29">
        <f>'Historical Financial Statements'!E10/('Historical Financial Statements'!E26+'Historical Financial Statements'!E27+'Historical Financial Statements'!E28)</f>
        <v/>
      </c>
      <c r="F13" s="29">
        <f>'Historical Financial Statements'!F10/('Historical Financial Statements'!F26+'Historical Financial Statements'!F27+'Historical Financial Statements'!F28)</f>
        <v/>
      </c>
      <c r="G13" s="29">
        <f>'Historical Financial Statements'!G10/('Historical Financial Statements'!G26+'Historical Financial Statements'!G27+'Historical Financial Statements'!G28)</f>
        <v/>
      </c>
      <c r="H13" s="29">
        <f>'Historical Financial Statements'!H10/('Historical Financial Statements'!H26+'Historical Financial Statements'!H27+'Historical Financial Statements'!H28)</f>
        <v/>
      </c>
    </row>
    <row r="14">
      <c r="A14" s="6" t="inlineStr">
        <is>
          <t>Return on assets (ROA) %</t>
        </is>
      </c>
      <c r="B14" s="29">
        <f>'Historical Financial Statements'!B14/'Historical Financial Statements'!B25</f>
        <v/>
      </c>
      <c r="C14" s="29">
        <f>'Historical Financial Statements'!C14/'Historical Financial Statements'!C25</f>
        <v/>
      </c>
      <c r="D14" s="29">
        <f>'Historical Financial Statements'!D14/'Historical Financial Statements'!D25</f>
        <v/>
      </c>
      <c r="E14" s="29">
        <f>'Historical Financial Statements'!E14/'Historical Financial Statements'!E25</f>
        <v/>
      </c>
      <c r="F14" s="29">
        <f>'Historical Financial Statements'!F14/'Historical Financial Statements'!F25</f>
        <v/>
      </c>
      <c r="G14" s="29">
        <f>'Historical Financial Statements'!G14/'Historical Financial Statements'!G25</f>
        <v/>
      </c>
      <c r="H14" s="29">
        <f>'Historical Financial Statements'!H14/'Historical Financial Statements'!H25</f>
        <v/>
      </c>
    </row>
    <row r="16">
      <c r="A16" s="11" t="inlineStr">
        <is>
          <t>Leverage &amp; liquidity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6" t="inlineStr">
        <is>
          <t>Debt / equity (x)</t>
        </is>
      </c>
      <c r="B17" s="30">
        <f>'Historical Financial Statements'!B28/('Historical Financial Statements'!B26+'Historical Financial Statements'!B27)</f>
        <v/>
      </c>
      <c r="C17" s="30">
        <f>'Historical Financial Statements'!C28/('Historical Financial Statements'!C26+'Historical Financial Statements'!C27)</f>
        <v/>
      </c>
      <c r="D17" s="30">
        <f>'Historical Financial Statements'!D28/('Historical Financial Statements'!D26+'Historical Financial Statements'!D27)</f>
        <v/>
      </c>
      <c r="E17" s="30">
        <f>'Historical Financial Statements'!E28/('Historical Financial Statements'!E26+'Historical Financial Statements'!E27)</f>
        <v/>
      </c>
      <c r="F17" s="30">
        <f>'Historical Financial Statements'!F28/('Historical Financial Statements'!F26+'Historical Financial Statements'!F27)</f>
        <v/>
      </c>
      <c r="G17" s="30">
        <f>'Historical Financial Statements'!G28/('Historical Financial Statements'!G26+'Historical Financial Statements'!G27)</f>
        <v/>
      </c>
      <c r="H17" s="30">
        <f>'Historical Financial Statements'!H28/('Historical Financial Statements'!H26+'Historical Financial Statements'!H27)</f>
        <v/>
      </c>
    </row>
    <row r="18">
      <c r="A18" s="6" t="inlineStr">
        <is>
          <t>Interest coverage (EBIT/interest, x)</t>
        </is>
      </c>
      <c r="B18" s="30">
        <f>'Historical Financial Statements'!B10/'Historical Financial Statements'!B11</f>
        <v/>
      </c>
      <c r="C18" s="30">
        <f>'Historical Financial Statements'!C10/'Historical Financial Statements'!C11</f>
        <v/>
      </c>
      <c r="D18" s="30">
        <f>'Historical Financial Statements'!D10/'Historical Financial Statements'!D11</f>
        <v/>
      </c>
      <c r="E18" s="30">
        <f>'Historical Financial Statements'!E10/'Historical Financial Statements'!E11</f>
        <v/>
      </c>
      <c r="F18" s="30">
        <f>'Historical Financial Statements'!F10/'Historical Financial Statements'!F11</f>
        <v/>
      </c>
      <c r="G18" s="30">
        <f>'Historical Financial Statements'!G10/'Historical Financial Statements'!G11</f>
        <v/>
      </c>
      <c r="H18" s="30">
        <f>'Historical Financial Statements'!H10/'Historical Financial Statements'!H11</f>
        <v/>
      </c>
    </row>
    <row r="19">
      <c r="A19" s="6" t="inlineStr">
        <is>
          <t>Asset turnover (x)</t>
        </is>
      </c>
      <c r="B19" s="30">
        <f>'Historical Financial Statements'!B5/'Historical Financial Statements'!B25</f>
        <v/>
      </c>
      <c r="C19" s="30">
        <f>'Historical Financial Statements'!C5/'Historical Financial Statements'!C25</f>
        <v/>
      </c>
      <c r="D19" s="30">
        <f>'Historical Financial Statements'!D5/'Historical Financial Statements'!D25</f>
        <v/>
      </c>
      <c r="E19" s="30">
        <f>'Historical Financial Statements'!E5/'Historical Financial Statements'!E25</f>
        <v/>
      </c>
      <c r="F19" s="30">
        <f>'Historical Financial Statements'!F5/'Historical Financial Statements'!F25</f>
        <v/>
      </c>
      <c r="G19" s="30">
        <f>'Historical Financial Statements'!G5/'Historical Financial Statements'!G25</f>
        <v/>
      </c>
      <c r="H19" s="30">
        <f>'Historical Financial Statements'!H5/'Historical Financial Statements'!H25</f>
        <v/>
      </c>
    </row>
    <row r="21">
      <c r="A21" s="11" t="inlineStr">
        <is>
          <t>Working capital (reported day ratios)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6" t="inlineStr">
        <is>
          <t>Debtor days</t>
        </is>
      </c>
      <c r="B22" s="31" t="n">
        <v>121</v>
      </c>
      <c r="C22" s="31" t="n">
        <v>85</v>
      </c>
      <c r="D22" s="31" t="n">
        <v>52</v>
      </c>
      <c r="E22" s="31" t="n">
        <v>49</v>
      </c>
      <c r="F22" s="31" t="n">
        <v>73</v>
      </c>
      <c r="G22" s="31" t="n">
        <v>76</v>
      </c>
      <c r="H22" s="31" t="n">
        <v>73</v>
      </c>
    </row>
    <row r="23">
      <c r="A23" s="6" t="inlineStr">
        <is>
          <t>Inventory days</t>
        </is>
      </c>
      <c r="B23" s="31" t="n">
        <v>321</v>
      </c>
      <c r="C23" s="31" t="n">
        <v>333</v>
      </c>
      <c r="D23" s="31" t="n">
        <v>274</v>
      </c>
      <c r="E23" s="31" t="n">
        <v>261</v>
      </c>
      <c r="F23" s="31" t="n">
        <v>253</v>
      </c>
      <c r="G23" s="31" t="n">
        <v>289</v>
      </c>
      <c r="H23" s="31" t="n">
        <v>212</v>
      </c>
    </row>
    <row r="24">
      <c r="A24" s="6" t="inlineStr">
        <is>
          <t>Payable days</t>
        </is>
      </c>
      <c r="B24" s="31" t="n">
        <v>300</v>
      </c>
      <c r="C24" s="31" t="n">
        <v>281</v>
      </c>
      <c r="D24" s="31" t="n">
        <v>291</v>
      </c>
      <c r="E24" s="31" t="n">
        <v>345</v>
      </c>
      <c r="F24" s="31" t="n">
        <v>270</v>
      </c>
      <c r="G24" s="31" t="n">
        <v>259</v>
      </c>
      <c r="H24" s="31" t="n">
        <v>167</v>
      </c>
    </row>
    <row r="25">
      <c r="A25" s="6" t="inlineStr">
        <is>
          <t>Cash conversion cycle (days)</t>
        </is>
      </c>
      <c r="B25" s="31" t="n">
        <v>142</v>
      </c>
      <c r="C25" s="31" t="n">
        <v>137</v>
      </c>
      <c r="D25" s="31" t="n">
        <v>35</v>
      </c>
      <c r="E25" s="31" t="n">
        <v>-35</v>
      </c>
      <c r="F25" s="31" t="n">
        <v>56</v>
      </c>
      <c r="G25" s="31" t="n">
        <v>106</v>
      </c>
      <c r="H25" s="31" t="n">
        <v>119</v>
      </c>
    </row>
    <row r="26">
      <c r="A26" s="27" t="inlineStr">
        <is>
          <t>Day ratios as reported by data aggregator from BHEL filings; used to seed forecast working-capital assumptions.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OPERATIONAL DRIVERS &amp; KPIs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Order data on standalone basis (as disclosed); FY20-FY22 order book are estimates (flagged).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</row>
    <row r="5">
      <c r="A5" s="11" t="inlineStr">
        <is>
          <t>Order book dynamics (INR Crore)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6" t="inlineStr">
        <is>
          <t>Opening order book</t>
        </is>
      </c>
      <c r="B6" s="21" t="n">
        <v>115000</v>
      </c>
      <c r="C6" s="21" t="n">
        <v>110000</v>
      </c>
      <c r="D6" s="21" t="n">
        <v>102000</v>
      </c>
      <c r="E6" s="21" t="n">
        <v>98000</v>
      </c>
      <c r="F6" s="21" t="n">
        <v>91336</v>
      </c>
      <c r="G6" s="21" t="n">
        <v>131598</v>
      </c>
      <c r="H6" s="21" t="n">
        <v>196328</v>
      </c>
      <c r="P6" s="27" t="inlineStr">
        <is>
          <t>FY20-22 est.</t>
        </is>
      </c>
    </row>
    <row r="7">
      <c r="A7" s="6" t="inlineStr">
        <is>
          <t>Add: new order inflow</t>
        </is>
      </c>
      <c r="B7" s="21" t="n">
        <v>18000</v>
      </c>
      <c r="C7" s="21" t="n">
        <v>15000</v>
      </c>
      <c r="D7" s="21" t="n">
        <v>22000</v>
      </c>
      <c r="E7" s="21" t="n">
        <v>23548</v>
      </c>
      <c r="F7" s="21" t="n">
        <v>63000</v>
      </c>
      <c r="G7" s="21" t="n">
        <v>92535</v>
      </c>
      <c r="H7" s="21" t="n">
        <v>75000</v>
      </c>
      <c r="P7" s="27" t="inlineStr">
        <is>
          <t>FY20-22,FY24 est.</t>
        </is>
      </c>
    </row>
    <row r="8">
      <c r="A8" s="6" t="inlineStr">
        <is>
          <t>Less: revenue executed (standalone)</t>
        </is>
      </c>
      <c r="B8" s="21" t="n">
        <v>-21000</v>
      </c>
      <c r="C8" s="21" t="n">
        <v>-17000</v>
      </c>
      <c r="D8" s="21" t="n">
        <v>-20800</v>
      </c>
      <c r="E8" s="21" t="n">
        <v>-22921</v>
      </c>
      <c r="F8" s="21" t="n">
        <v>-22921</v>
      </c>
      <c r="G8" s="21" t="n">
        <v>-27355</v>
      </c>
      <c r="H8" s="21" t="n">
        <v>-33800</v>
      </c>
    </row>
    <row r="9">
      <c r="A9" s="5" t="inlineStr">
        <is>
          <t>Closing order book</t>
        </is>
      </c>
      <c r="B9" s="21" t="n">
        <v>110000</v>
      </c>
      <c r="C9" s="21" t="n">
        <v>102000</v>
      </c>
      <c r="D9" s="21" t="n">
        <v>98000</v>
      </c>
      <c r="E9" s="21" t="n">
        <v>91336</v>
      </c>
      <c r="F9" s="21" t="n">
        <v>131598</v>
      </c>
      <c r="G9" s="21" t="n">
        <v>196328</v>
      </c>
      <c r="H9" s="21" t="n">
        <v>240000</v>
      </c>
    </row>
    <row r="10">
      <c r="A10" s="6" t="inlineStr">
        <is>
          <t>Book-to-bill (closing OB / revenue, x)</t>
        </is>
      </c>
      <c r="B10" s="32">
        <f>B9/-B8</f>
        <v/>
      </c>
      <c r="C10" s="32">
        <f>C9/-C8</f>
        <v/>
      </c>
      <c r="D10" s="32">
        <f>D9/-D8</f>
        <v/>
      </c>
      <c r="E10" s="32">
        <f>E9/-E8</f>
        <v/>
      </c>
      <c r="F10" s="32">
        <f>F9/-F8</f>
        <v/>
      </c>
      <c r="G10" s="32">
        <f>G9/-G8</f>
        <v/>
      </c>
      <c r="H10" s="32">
        <f>H9/-H8</f>
        <v/>
      </c>
    </row>
    <row r="11">
      <c r="A11" s="6" t="inlineStr">
        <is>
          <t>Execution rate (revenue / opening OB)</t>
        </is>
      </c>
      <c r="B11" s="33">
        <f>-B8/B6</f>
        <v/>
      </c>
      <c r="C11" s="33">
        <f>-C8/C6</f>
        <v/>
      </c>
      <c r="D11" s="33">
        <f>-D8/D6</f>
        <v/>
      </c>
      <c r="E11" s="33">
        <f>-E8/E6</f>
        <v/>
      </c>
      <c r="F11" s="33">
        <f>-F8/F6</f>
        <v/>
      </c>
      <c r="G11" s="33">
        <f>-G8/G6</f>
        <v/>
      </c>
      <c r="H11" s="33">
        <f>-H8/H6</f>
        <v/>
      </c>
    </row>
    <row r="13">
      <c r="A13" s="11" t="inlineStr">
        <is>
          <t>Segment revenue mix (consolidated, INR Crore)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</row>
    <row r="14">
      <c r="A14" s="6" t="inlineStr">
        <is>
          <t>Power segment</t>
        </is>
      </c>
      <c r="B14" s="21" t="n">
        <v>16800</v>
      </c>
      <c r="C14" s="21" t="n">
        <v>13500</v>
      </c>
      <c r="D14" s="21" t="n">
        <v>16500</v>
      </c>
      <c r="E14" s="21" t="n">
        <v>18100</v>
      </c>
      <c r="F14" s="21" t="n">
        <v>18600</v>
      </c>
      <c r="G14" s="21" t="n">
        <v>20937</v>
      </c>
      <c r="H14" s="21" t="n">
        <v>25407</v>
      </c>
      <c r="P14" s="27" t="inlineStr">
        <is>
          <t>FY20-24 est.</t>
        </is>
      </c>
    </row>
    <row r="15">
      <c r="A15" s="6" t="inlineStr">
        <is>
          <t>Industry segment</t>
        </is>
      </c>
      <c r="B15" s="21" t="n">
        <v>3900</v>
      </c>
      <c r="C15" s="21" t="n">
        <v>3200</v>
      </c>
      <c r="D15" s="21" t="n">
        <v>4000</v>
      </c>
      <c r="E15" s="21" t="n">
        <v>4600</v>
      </c>
      <c r="F15" s="21" t="n">
        <v>4700</v>
      </c>
      <c r="G15" s="21" t="n">
        <v>6400</v>
      </c>
      <c r="H15" s="21" t="n">
        <v>7400</v>
      </c>
      <c r="P15" s="27" t="inlineStr">
        <is>
          <t>estimates</t>
        </is>
      </c>
    </row>
    <row r="16">
      <c r="A16" s="6" t="inlineStr">
        <is>
          <t>Others / exports / renewables</t>
        </is>
      </c>
      <c r="B16" s="21" t="n">
        <v>763</v>
      </c>
      <c r="C16" s="21" t="n">
        <v>609</v>
      </c>
      <c r="D16" s="21" t="n">
        <v>711</v>
      </c>
      <c r="E16" s="21" t="n">
        <v>665</v>
      </c>
      <c r="F16" s="21" t="n">
        <v>593</v>
      </c>
      <c r="G16" s="21" t="n">
        <v>1002</v>
      </c>
      <c r="H16" s="21" t="n">
        <v>975</v>
      </c>
    </row>
    <row r="17">
      <c r="A17" s="6" t="inlineStr">
        <is>
          <t>Total (check vs revenue)</t>
        </is>
      </c>
      <c r="B17" s="23">
        <f>SUM(B14:B16)</f>
        <v/>
      </c>
      <c r="C17" s="23">
        <f>SUM(C14:C16)</f>
        <v/>
      </c>
      <c r="D17" s="23">
        <f>SUM(D14:D16)</f>
        <v/>
      </c>
      <c r="E17" s="23">
        <f>SUM(E14:E16)</f>
        <v/>
      </c>
      <c r="F17" s="23">
        <f>SUM(F14:F16)</f>
        <v/>
      </c>
      <c r="G17" s="23">
        <f>SUM(G14:G16)</f>
        <v/>
      </c>
      <c r="H17" s="23">
        <f>SUM(H14:H16)</f>
        <v/>
      </c>
    </row>
    <row r="18">
      <c r="A18" s="6" t="inlineStr">
        <is>
          <t>Power as % of revenue</t>
        </is>
      </c>
      <c r="B18" s="33">
        <f>B14/B17</f>
        <v/>
      </c>
      <c r="C18" s="33">
        <f>C14/C17</f>
        <v/>
      </c>
      <c r="D18" s="33">
        <f>D14/D17</f>
        <v/>
      </c>
      <c r="E18" s="33">
        <f>E14/E17</f>
        <v/>
      </c>
      <c r="F18" s="33">
        <f>F14/F17</f>
        <v/>
      </c>
      <c r="G18" s="33">
        <f>G14/G17</f>
        <v/>
      </c>
      <c r="H18" s="33">
        <f>H14/H17</f>
        <v/>
      </c>
    </row>
    <row r="20">
      <c r="A20" s="11" t="inlineStr">
        <is>
          <t>Other operating KPIs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6" t="inlineStr">
        <is>
          <t>Approx. workforce (number)</t>
        </is>
      </c>
      <c r="B21" s="34" t="n">
        <v>33500</v>
      </c>
      <c r="C21" s="34" t="n">
        <v>31500</v>
      </c>
      <c r="D21" s="34" t="n">
        <v>29800</v>
      </c>
      <c r="E21" s="34" t="n">
        <v>28500</v>
      </c>
      <c r="F21" s="34" t="n">
        <v>27000</v>
      </c>
      <c r="G21" s="34" t="n">
        <v>26000</v>
      </c>
      <c r="H21" s="34" t="n">
        <v>25500</v>
      </c>
      <c r="P21" s="27" t="inlineStr">
        <is>
          <t>approx.</t>
        </is>
      </c>
    </row>
    <row r="22">
      <c r="A22" s="6" t="inlineStr">
        <is>
          <t>R&amp;D expenditure</t>
        </is>
      </c>
      <c r="B22" s="21" t="n">
        <v>1180</v>
      </c>
      <c r="C22" s="21" t="n">
        <v>1090</v>
      </c>
      <c r="D22" s="21" t="n">
        <v>1050</v>
      </c>
      <c r="E22" s="21" t="n">
        <v>1100</v>
      </c>
      <c r="F22" s="21" t="n">
        <v>1150</v>
      </c>
      <c r="G22" s="21" t="n">
        <v>1300</v>
      </c>
      <c r="H22" s="21" t="n">
        <v>1500</v>
      </c>
      <c r="P22" s="27" t="inlineStr">
        <is>
          <t>approx.</t>
        </is>
      </c>
    </row>
    <row r="23">
      <c r="A23" s="6" t="inlineStr">
        <is>
          <t>R&amp;D as % of revenue</t>
        </is>
      </c>
      <c r="B23" s="33">
        <f>B22/'Historical Financial Statements'!B5</f>
        <v/>
      </c>
      <c r="C23" s="33">
        <f>C22/'Historical Financial Statements'!C5</f>
        <v/>
      </c>
      <c r="D23" s="33">
        <f>D22/'Historical Financial Statements'!D5</f>
        <v/>
      </c>
      <c r="E23" s="33">
        <f>E22/'Historical Financial Statements'!E5</f>
        <v/>
      </c>
      <c r="F23" s="33">
        <f>F22/'Historical Financial Statements'!F5</f>
        <v/>
      </c>
      <c r="G23" s="33">
        <f>G22/'Historical Financial Statements'!G5</f>
        <v/>
      </c>
      <c r="H23" s="33">
        <f>H22/'Historical Financial Statements'!H5</f>
        <v/>
      </c>
    </row>
    <row r="24">
      <c r="A24" s="6" t="inlineStr">
        <is>
          <t>Capacity utilisation (manufacturing)</t>
        </is>
      </c>
      <c r="B24" s="35" t="n">
        <v>0.55</v>
      </c>
      <c r="C24" s="35" t="n">
        <v>0.42</v>
      </c>
      <c r="D24" s="35" t="n">
        <v>0.5</v>
      </c>
      <c r="E24" s="35" t="n">
        <v>0.55</v>
      </c>
      <c r="F24" s="35" t="n">
        <v>0.58</v>
      </c>
      <c r="G24" s="35" t="n">
        <v>0.65</v>
      </c>
      <c r="H24" s="35" t="n">
        <v>0.72</v>
      </c>
      <c r="P24" s="27" t="inlineStr">
        <is>
          <t>approx.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REVENUE BUILD-UP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Order-book-driven revenue: Revenue = Execution rate x Opening order book. Closing OB = Opening + Inflow - Revenue.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Order book roll-forward &amp; revenue recognition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order book</t>
        </is>
      </c>
      <c r="B6" s="36">
        <f>'Operational Drivers'!B6</f>
        <v/>
      </c>
      <c r="C6" s="36">
        <f>'Operational Drivers'!C6</f>
        <v/>
      </c>
      <c r="D6" s="36">
        <f>'Operational Drivers'!D6</f>
        <v/>
      </c>
      <c r="E6" s="36">
        <f>'Operational Drivers'!E6</f>
        <v/>
      </c>
      <c r="F6" s="36">
        <f>'Operational Drivers'!F6</f>
        <v/>
      </c>
      <c r="G6" s="36">
        <f>'Operational Drivers'!G6</f>
        <v/>
      </c>
      <c r="H6" s="36">
        <f>'Operational Drivers'!H6</f>
        <v/>
      </c>
      <c r="I6" s="23">
        <f>'Operational Drivers'!H9</f>
        <v/>
      </c>
      <c r="J6" s="23">
        <f>I9</f>
        <v/>
      </c>
      <c r="K6" s="23">
        <f>J9</f>
        <v/>
      </c>
      <c r="L6" s="23">
        <f>K9</f>
        <v/>
      </c>
      <c r="M6" s="23">
        <f>L9</f>
        <v/>
      </c>
      <c r="N6" s="23">
        <f>M9</f>
        <v/>
      </c>
      <c r="O6" s="23">
        <f>N9</f>
        <v/>
      </c>
    </row>
    <row r="7">
      <c r="A7" s="6" t="inlineStr">
        <is>
          <t>Add: new order inflow</t>
        </is>
      </c>
      <c r="B7" s="36">
        <f>'Operational Drivers'!B7</f>
        <v/>
      </c>
      <c r="C7" s="36">
        <f>'Operational Drivers'!C7</f>
        <v/>
      </c>
      <c r="D7" s="36">
        <f>'Operational Drivers'!D7</f>
        <v/>
      </c>
      <c r="E7" s="36">
        <f>'Operational Drivers'!E7</f>
        <v/>
      </c>
      <c r="F7" s="36">
        <f>'Operational Drivers'!F7</f>
        <v/>
      </c>
      <c r="G7" s="36">
        <f>'Operational Drivers'!G7</f>
        <v/>
      </c>
      <c r="H7" s="36">
        <f>'Operational Drivers'!H7</f>
        <v/>
      </c>
      <c r="I7" s="23">
        <f>'Assumptions'!I6</f>
        <v/>
      </c>
      <c r="J7" s="23">
        <f>'Assumptions'!J6</f>
        <v/>
      </c>
      <c r="K7" s="23">
        <f>'Assumptions'!K6</f>
        <v/>
      </c>
      <c r="L7" s="23">
        <f>'Assumptions'!L6</f>
        <v/>
      </c>
      <c r="M7" s="23">
        <f>'Assumptions'!M6</f>
        <v/>
      </c>
      <c r="N7" s="23">
        <f>'Assumptions'!N6</f>
        <v/>
      </c>
      <c r="O7" s="23">
        <f>'Assumptions'!O6</f>
        <v/>
      </c>
    </row>
    <row r="8">
      <c r="A8" s="6" t="inlineStr">
        <is>
          <t>Less: revenue executed (recognised)</t>
        </is>
      </c>
      <c r="B8" s="36">
        <f>-'Historical Financial Statements'!B5</f>
        <v/>
      </c>
      <c r="C8" s="36">
        <f>-'Historical Financial Statements'!C5</f>
        <v/>
      </c>
      <c r="D8" s="36">
        <f>-'Historical Financial Statements'!D5</f>
        <v/>
      </c>
      <c r="E8" s="36">
        <f>-'Historical Financial Statements'!E5</f>
        <v/>
      </c>
      <c r="F8" s="36">
        <f>-'Historical Financial Statements'!F5</f>
        <v/>
      </c>
      <c r="G8" s="36">
        <f>-'Historical Financial Statements'!G5</f>
        <v/>
      </c>
      <c r="H8" s="36">
        <f>-'Historical Financial Statements'!H5</f>
        <v/>
      </c>
      <c r="I8" s="23">
        <f>-'Assumptions'!I5*I6</f>
        <v/>
      </c>
      <c r="J8" s="23">
        <f>-'Assumptions'!J5*J6</f>
        <v/>
      </c>
      <c r="K8" s="23">
        <f>-'Assumptions'!K5*K6</f>
        <v/>
      </c>
      <c r="L8" s="23">
        <f>-'Assumptions'!L5*L6</f>
        <v/>
      </c>
      <c r="M8" s="23">
        <f>-'Assumptions'!M5*M6</f>
        <v/>
      </c>
      <c r="N8" s="23">
        <f>-'Assumptions'!N5*N6</f>
        <v/>
      </c>
      <c r="O8" s="23">
        <f>-'Assumptions'!O5*O6</f>
        <v/>
      </c>
    </row>
    <row r="9">
      <c r="A9" s="5" t="inlineStr">
        <is>
          <t>Closing order book</t>
        </is>
      </c>
      <c r="B9" s="37">
        <f>'Operational Drivers'!B9</f>
        <v/>
      </c>
      <c r="C9" s="37">
        <f>'Operational Drivers'!C9</f>
        <v/>
      </c>
      <c r="D9" s="37">
        <f>'Operational Drivers'!D9</f>
        <v/>
      </c>
      <c r="E9" s="37">
        <f>'Operational Drivers'!E9</f>
        <v/>
      </c>
      <c r="F9" s="37">
        <f>'Operational Drivers'!F9</f>
        <v/>
      </c>
      <c r="G9" s="37">
        <f>'Operational Drivers'!G9</f>
        <v/>
      </c>
      <c r="H9" s="37">
        <f>'Operational Drivers'!H9</f>
        <v/>
      </c>
      <c r="I9" s="38">
        <f>I6+I7+I8</f>
        <v/>
      </c>
      <c r="J9" s="38">
        <f>J6+J7+J8</f>
        <v/>
      </c>
      <c r="K9" s="38">
        <f>K6+K7+K8</f>
        <v/>
      </c>
      <c r="L9" s="38">
        <f>L6+L7+L8</f>
        <v/>
      </c>
      <c r="M9" s="38">
        <f>M6+M7+M8</f>
        <v/>
      </c>
      <c r="N9" s="38">
        <f>N6+N7+N8</f>
        <v/>
      </c>
      <c r="O9" s="38">
        <f>O6+O7+O8</f>
        <v/>
      </c>
    </row>
    <row r="11">
      <c r="A11" s="5" t="inlineStr">
        <is>
          <t>Revenue from operations</t>
        </is>
      </c>
      <c r="B11" s="37">
        <f>'Historical Financial Statements'!B5</f>
        <v/>
      </c>
      <c r="C11" s="37">
        <f>'Historical Financial Statements'!C5</f>
        <v/>
      </c>
      <c r="D11" s="37">
        <f>'Historical Financial Statements'!D5</f>
        <v/>
      </c>
      <c r="E11" s="37">
        <f>'Historical Financial Statements'!E5</f>
        <v/>
      </c>
      <c r="F11" s="37">
        <f>'Historical Financial Statements'!F5</f>
        <v/>
      </c>
      <c r="G11" s="37">
        <f>'Historical Financial Statements'!G5</f>
        <v/>
      </c>
      <c r="H11" s="37">
        <f>'Historical Financial Statements'!H5</f>
        <v/>
      </c>
      <c r="I11" s="38">
        <f>-I8</f>
        <v/>
      </c>
      <c r="J11" s="38">
        <f>-J8</f>
        <v/>
      </c>
      <c r="K11" s="38">
        <f>-K8</f>
        <v/>
      </c>
      <c r="L11" s="38">
        <f>-L8</f>
        <v/>
      </c>
      <c r="M11" s="38">
        <f>-M8</f>
        <v/>
      </c>
      <c r="N11" s="38">
        <f>-N8</f>
        <v/>
      </c>
      <c r="O11" s="38">
        <f>-O8</f>
        <v/>
      </c>
    </row>
    <row r="12">
      <c r="A12" s="6" t="inlineStr">
        <is>
          <t>Revenue growth %</t>
        </is>
      </c>
      <c r="C12" s="33">
        <f>C11/B11-1</f>
        <v/>
      </c>
      <c r="D12" s="33">
        <f>D11/C11-1</f>
        <v/>
      </c>
      <c r="E12" s="33">
        <f>E11/D11-1</f>
        <v/>
      </c>
      <c r="F12" s="33">
        <f>F11/E11-1</f>
        <v/>
      </c>
      <c r="G12" s="33">
        <f>G11/F11-1</f>
        <v/>
      </c>
      <c r="H12" s="33">
        <f>H11/G11-1</f>
        <v/>
      </c>
      <c r="I12" s="33">
        <f>I11/H11-1</f>
        <v/>
      </c>
      <c r="J12" s="33">
        <f>J11/I11-1</f>
        <v/>
      </c>
      <c r="K12" s="33">
        <f>K11/J11-1</f>
        <v/>
      </c>
      <c r="L12" s="33">
        <f>L11/K11-1</f>
        <v/>
      </c>
      <c r="M12" s="33">
        <f>M11/L11-1</f>
        <v/>
      </c>
      <c r="N12" s="33">
        <f>N11/M11-1</f>
        <v/>
      </c>
      <c r="O12" s="33">
        <f>O11/N11-1</f>
        <v/>
      </c>
    </row>
    <row r="13">
      <c r="A13" s="6" t="inlineStr">
        <is>
          <t>Execution rate (rev/opening OB) %</t>
        </is>
      </c>
      <c r="B13" s="33">
        <f>B11/B6</f>
        <v/>
      </c>
      <c r="C13" s="33">
        <f>C11/C6</f>
        <v/>
      </c>
      <c r="D13" s="33">
        <f>D11/D6</f>
        <v/>
      </c>
      <c r="E13" s="33">
        <f>E11/E6</f>
        <v/>
      </c>
      <c r="F13" s="33">
        <f>F11/F6</f>
        <v/>
      </c>
      <c r="G13" s="33">
        <f>G11/G6</f>
        <v/>
      </c>
      <c r="H13" s="33">
        <f>H11/H6</f>
        <v/>
      </c>
      <c r="I13" s="33">
        <f>I11/I6</f>
        <v/>
      </c>
      <c r="J13" s="33">
        <f>J11/J6</f>
        <v/>
      </c>
      <c r="K13" s="33">
        <f>K11/K6</f>
        <v/>
      </c>
      <c r="L13" s="33">
        <f>L11/L6</f>
        <v/>
      </c>
      <c r="M13" s="33">
        <f>M11/M6</f>
        <v/>
      </c>
      <c r="N13" s="33">
        <f>N11/N6</f>
        <v/>
      </c>
      <c r="O13" s="33">
        <f>O11/O6</f>
        <v/>
      </c>
    </row>
    <row r="14">
      <c r="A14" s="6" t="inlineStr">
        <is>
          <t>Book-to-bill (closing OB/revenue, x)</t>
        </is>
      </c>
      <c r="B14" s="32">
        <f>B9/B11</f>
        <v/>
      </c>
      <c r="C14" s="32">
        <f>C9/C11</f>
        <v/>
      </c>
      <c r="D14" s="32">
        <f>D9/D11</f>
        <v/>
      </c>
      <c r="E14" s="32">
        <f>E9/E11</f>
        <v/>
      </c>
      <c r="F14" s="32">
        <f>F9/F11</f>
        <v/>
      </c>
      <c r="G14" s="32">
        <f>G9/G11</f>
        <v/>
      </c>
      <c r="H14" s="32">
        <f>H9/H11</f>
        <v/>
      </c>
      <c r="I14" s="32">
        <f>I9/I11</f>
        <v/>
      </c>
      <c r="J14" s="32">
        <f>J9/J11</f>
        <v/>
      </c>
      <c r="K14" s="32">
        <f>K9/K11</f>
        <v/>
      </c>
      <c r="L14" s="32">
        <f>L9/L11</f>
        <v/>
      </c>
      <c r="M14" s="32">
        <f>M9/M11</f>
        <v/>
      </c>
      <c r="N14" s="32">
        <f>N9/N11</f>
        <v/>
      </c>
      <c r="O14" s="32">
        <f>O9/O11</f>
        <v/>
      </c>
    </row>
    <row r="16">
      <c r="A16" s="11" t="inlineStr">
        <is>
          <t>Indicative segment split of forecast revenue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6" t="inlineStr">
        <is>
          <t>Power segment (~75%)</t>
        </is>
      </c>
      <c r="I17" s="23">
        <f>I11*0.75</f>
        <v/>
      </c>
      <c r="J17" s="23">
        <f>J11*0.75</f>
        <v/>
      </c>
      <c r="K17" s="23">
        <f>K11*0.75</f>
        <v/>
      </c>
      <c r="L17" s="23">
        <f>L11*0.75</f>
        <v/>
      </c>
      <c r="M17" s="23">
        <f>M11*0.75</f>
        <v/>
      </c>
      <c r="N17" s="23">
        <f>N11*0.75</f>
        <v/>
      </c>
      <c r="O17" s="23">
        <f>O11*0.75</f>
        <v/>
      </c>
    </row>
    <row r="18">
      <c r="A18" s="6" t="inlineStr">
        <is>
          <t>Industry segment (~22%)</t>
        </is>
      </c>
      <c r="I18" s="23">
        <f>I11*0.22</f>
        <v/>
      </c>
      <c r="J18" s="23">
        <f>J11*0.22</f>
        <v/>
      </c>
      <c r="K18" s="23">
        <f>K11*0.22</f>
        <v/>
      </c>
      <c r="L18" s="23">
        <f>L11*0.22</f>
        <v/>
      </c>
      <c r="M18" s="23">
        <f>M11*0.22</f>
        <v/>
      </c>
      <c r="N18" s="23">
        <f>N11*0.22</f>
        <v/>
      </c>
      <c r="O18" s="23">
        <f>O11*0.22</f>
        <v/>
      </c>
    </row>
    <row r="19">
      <c r="A19" s="6" t="inlineStr">
        <is>
          <t>Others/exports/renewables (~3%)</t>
        </is>
      </c>
      <c r="I19" s="23">
        <f>I11*0.03</f>
        <v/>
      </c>
      <c r="J19" s="23">
        <f>J11*0.03</f>
        <v/>
      </c>
      <c r="K19" s="23">
        <f>K11*0.03</f>
        <v/>
      </c>
      <c r="L19" s="23">
        <f>L11*0.03</f>
        <v/>
      </c>
      <c r="M19" s="23">
        <f>M11*0.03</f>
        <v/>
      </c>
      <c r="N19" s="23">
        <f>N11*0.03</f>
        <v/>
      </c>
      <c r="O19" s="23">
        <f>O11*0.03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COST FORECAST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Costs forecast as % of revenue; raw materials derived as residual so EBITDA = revenue x target margin.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Operating cost build-up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from operations</t>
        </is>
      </c>
      <c r="B6" s="36">
        <f>'Historical Financial Statements'!B5</f>
        <v/>
      </c>
      <c r="C6" s="36">
        <f>'Historical Financial Statements'!C5</f>
        <v/>
      </c>
      <c r="D6" s="36">
        <f>'Historical Financial Statements'!D5</f>
        <v/>
      </c>
      <c r="E6" s="36">
        <f>'Historical Financial Statements'!E5</f>
        <v/>
      </c>
      <c r="F6" s="36">
        <f>'Historical Financial Statements'!F5</f>
        <v/>
      </c>
      <c r="G6" s="36">
        <f>'Historical Financial Statements'!G5</f>
        <v/>
      </c>
      <c r="H6" s="36">
        <f>'Historical Financial Statements'!H5</f>
        <v/>
      </c>
      <c r="I6" s="23">
        <f>'Revenue Build-up'!I11</f>
        <v/>
      </c>
      <c r="J6" s="23">
        <f>'Revenue Build-up'!J11</f>
        <v/>
      </c>
      <c r="K6" s="23">
        <f>'Revenue Build-up'!K11</f>
        <v/>
      </c>
      <c r="L6" s="23">
        <f>'Revenue Build-up'!L11</f>
        <v/>
      </c>
      <c r="M6" s="23">
        <f>'Revenue Build-up'!M11</f>
        <v/>
      </c>
      <c r="N6" s="23">
        <f>'Revenue Build-up'!N11</f>
        <v/>
      </c>
      <c r="O6" s="23">
        <f>'Revenue Build-up'!O11</f>
        <v/>
      </c>
    </row>
    <row r="7">
      <c r="A7" s="6" t="inlineStr">
        <is>
          <t xml:space="preserve">   Raw materials, components &amp; traded goods</t>
        </is>
      </c>
      <c r="I7" s="23">
        <f>I6*(1-'Assumptions'!I7-'Assumptions'!I9-'Assumptions'!I10-'Assumptions'!I11)</f>
        <v/>
      </c>
      <c r="J7" s="23">
        <f>J6*(1-'Assumptions'!J7-'Assumptions'!J9-'Assumptions'!J10-'Assumptions'!J11)</f>
        <v/>
      </c>
      <c r="K7" s="23">
        <f>K6*(1-'Assumptions'!K7-'Assumptions'!K9-'Assumptions'!K10-'Assumptions'!K11)</f>
        <v/>
      </c>
      <c r="L7" s="23">
        <f>L6*(1-'Assumptions'!L7-'Assumptions'!L9-'Assumptions'!L10-'Assumptions'!L11)</f>
        <v/>
      </c>
      <c r="M7" s="23">
        <f>M6*(1-'Assumptions'!M7-'Assumptions'!M9-'Assumptions'!M10-'Assumptions'!M11)</f>
        <v/>
      </c>
      <c r="N7" s="23">
        <f>N6*(1-'Assumptions'!N7-'Assumptions'!N9-'Assumptions'!N10-'Assumptions'!N11)</f>
        <v/>
      </c>
      <c r="O7" s="23">
        <f>O6*(1-'Assumptions'!O7-'Assumptions'!O9-'Assumptions'!O10-'Assumptions'!O11)</f>
        <v/>
      </c>
    </row>
    <row r="8">
      <c r="A8" s="6" t="inlineStr">
        <is>
          <t xml:space="preserve">   Employee benefits expense</t>
        </is>
      </c>
      <c r="I8" s="23">
        <f>I6*'Assumptions'!I9</f>
        <v/>
      </c>
      <c r="J8" s="23">
        <f>J6*'Assumptions'!J9</f>
        <v/>
      </c>
      <c r="K8" s="23">
        <f>K6*'Assumptions'!K9</f>
        <v/>
      </c>
      <c r="L8" s="23">
        <f>L6*'Assumptions'!L9</f>
        <v/>
      </c>
      <c r="M8" s="23">
        <f>M6*'Assumptions'!M9</f>
        <v/>
      </c>
      <c r="N8" s="23">
        <f>N6*'Assumptions'!N9</f>
        <v/>
      </c>
      <c r="O8" s="23">
        <f>O6*'Assumptions'!O9</f>
        <v/>
      </c>
    </row>
    <row r="9">
      <c r="A9" s="6" t="inlineStr">
        <is>
          <t xml:space="preserve">   Subcontracting &amp; erection</t>
        </is>
      </c>
      <c r="I9" s="23">
        <f>I6*'Assumptions'!I10</f>
        <v/>
      </c>
      <c r="J9" s="23">
        <f>J6*'Assumptions'!J10</f>
        <v/>
      </c>
      <c r="K9" s="23">
        <f>K6*'Assumptions'!K10</f>
        <v/>
      </c>
      <c r="L9" s="23">
        <f>L6*'Assumptions'!L10</f>
        <v/>
      </c>
      <c r="M9" s="23">
        <f>M6*'Assumptions'!M10</f>
        <v/>
      </c>
      <c r="N9" s="23">
        <f>N6*'Assumptions'!N10</f>
        <v/>
      </c>
      <c r="O9" s="23">
        <f>O6*'Assumptions'!O10</f>
        <v/>
      </c>
    </row>
    <row r="10">
      <c r="A10" s="6" t="inlineStr">
        <is>
          <t xml:space="preserve">   Other operating expenses</t>
        </is>
      </c>
      <c r="I10" s="23">
        <f>I6*'Assumptions'!I11</f>
        <v/>
      </c>
      <c r="J10" s="23">
        <f>J6*'Assumptions'!J11</f>
        <v/>
      </c>
      <c r="K10" s="23">
        <f>K6*'Assumptions'!K11</f>
        <v/>
      </c>
      <c r="L10" s="23">
        <f>L6*'Assumptions'!L11</f>
        <v/>
      </c>
      <c r="M10" s="23">
        <f>M6*'Assumptions'!M11</f>
        <v/>
      </c>
      <c r="N10" s="23">
        <f>N6*'Assumptions'!N11</f>
        <v/>
      </c>
      <c r="O10" s="23">
        <f>O6*'Assumptions'!O11</f>
        <v/>
      </c>
    </row>
    <row r="11">
      <c r="A11" s="5" t="inlineStr">
        <is>
          <t>Total operating expenditure</t>
        </is>
      </c>
      <c r="B11" s="37">
        <f>'Historical Financial Statements'!B7</f>
        <v/>
      </c>
      <c r="C11" s="37">
        <f>'Historical Financial Statements'!C7</f>
        <v/>
      </c>
      <c r="D11" s="37">
        <f>'Historical Financial Statements'!D7</f>
        <v/>
      </c>
      <c r="E11" s="37">
        <f>'Historical Financial Statements'!E7</f>
        <v/>
      </c>
      <c r="F11" s="37">
        <f>'Historical Financial Statements'!F7</f>
        <v/>
      </c>
      <c r="G11" s="37">
        <f>'Historical Financial Statements'!G7</f>
        <v/>
      </c>
      <c r="H11" s="37">
        <f>'Historical Financial Statements'!H7</f>
        <v/>
      </c>
      <c r="I11" s="38">
        <f>SUM(I7:I10)</f>
        <v/>
      </c>
      <c r="J11" s="38">
        <f>SUM(J7:J10)</f>
        <v/>
      </c>
      <c r="K11" s="38">
        <f>SUM(K7:K10)</f>
        <v/>
      </c>
      <c r="L11" s="38">
        <f>SUM(L7:L10)</f>
        <v/>
      </c>
      <c r="M11" s="38">
        <f>SUM(M7:M10)</f>
        <v/>
      </c>
      <c r="N11" s="38">
        <f>SUM(N7:N10)</f>
        <v/>
      </c>
      <c r="O11" s="38">
        <f>SUM(O7:O10)</f>
        <v/>
      </c>
    </row>
    <row r="12">
      <c r="A12" s="5" t="inlineStr">
        <is>
          <t>EBITDA</t>
        </is>
      </c>
      <c r="B12" s="37">
        <f>'Historical Financial Statements'!B8</f>
        <v/>
      </c>
      <c r="C12" s="37">
        <f>'Historical Financial Statements'!C8</f>
        <v/>
      </c>
      <c r="D12" s="37">
        <f>'Historical Financial Statements'!D8</f>
        <v/>
      </c>
      <c r="E12" s="37">
        <f>'Historical Financial Statements'!E8</f>
        <v/>
      </c>
      <c r="F12" s="37">
        <f>'Historical Financial Statements'!F8</f>
        <v/>
      </c>
      <c r="G12" s="37">
        <f>'Historical Financial Statements'!G8</f>
        <v/>
      </c>
      <c r="H12" s="37">
        <f>'Historical Financial Statements'!H8</f>
        <v/>
      </c>
      <c r="I12" s="38">
        <f>I6-I11</f>
        <v/>
      </c>
      <c r="J12" s="38">
        <f>J6-J11</f>
        <v/>
      </c>
      <c r="K12" s="38">
        <f>K6-K11</f>
        <v/>
      </c>
      <c r="L12" s="38">
        <f>L6-L11</f>
        <v/>
      </c>
      <c r="M12" s="38">
        <f>M6-M11</f>
        <v/>
      </c>
      <c r="N12" s="38">
        <f>N6-N11</f>
        <v/>
      </c>
      <c r="O12" s="38">
        <f>O6-O11</f>
        <v/>
      </c>
    </row>
    <row r="13">
      <c r="A13" s="6" t="inlineStr">
        <is>
          <t>EBITDA margin %</t>
        </is>
      </c>
      <c r="B13" s="33">
        <f>B12/B6</f>
        <v/>
      </c>
      <c r="C13" s="33">
        <f>C12/C6</f>
        <v/>
      </c>
      <c r="D13" s="33">
        <f>D12/D6</f>
        <v/>
      </c>
      <c r="E13" s="33">
        <f>E12/E6</f>
        <v/>
      </c>
      <c r="F13" s="33">
        <f>F12/F6</f>
        <v/>
      </c>
      <c r="G13" s="33">
        <f>G12/G6</f>
        <v/>
      </c>
      <c r="H13" s="33">
        <f>H12/H6</f>
        <v/>
      </c>
      <c r="I13" s="33">
        <f>I12/I6</f>
        <v/>
      </c>
      <c r="J13" s="33">
        <f>J12/J6</f>
        <v/>
      </c>
      <c r="K13" s="33">
        <f>K12/K6</f>
        <v/>
      </c>
      <c r="L13" s="33">
        <f>L12/L6</f>
        <v/>
      </c>
      <c r="M13" s="33">
        <f>M12/M6</f>
        <v/>
      </c>
      <c r="N13" s="33">
        <f>N12/N6</f>
        <v/>
      </c>
      <c r="O13" s="33">
        <f>O12/O6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WORKING CAPITAL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FY2026 components are flagged analytical estimates that sum to the reported aggregate totals; used to seed the forecast.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Operating working capital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6" t="inlineStr">
        <is>
          <t>Revenue from operations</t>
        </is>
      </c>
      <c r="B6" s="36">
        <f>'Historical Financial Statements'!B5</f>
        <v/>
      </c>
      <c r="C6" s="36">
        <f>'Historical Financial Statements'!C5</f>
        <v/>
      </c>
      <c r="D6" s="36">
        <f>'Historical Financial Statements'!D5</f>
        <v/>
      </c>
      <c r="E6" s="36">
        <f>'Historical Financial Statements'!E5</f>
        <v/>
      </c>
      <c r="F6" s="36">
        <f>'Historical Financial Statements'!F5</f>
        <v/>
      </c>
      <c r="G6" s="36">
        <f>'Historical Financial Statements'!G5</f>
        <v/>
      </c>
      <c r="H6" s="36">
        <f>'Historical Financial Statements'!H5</f>
        <v/>
      </c>
      <c r="I6" s="23">
        <f>'Cost Forecast'!I6</f>
        <v/>
      </c>
      <c r="J6" s="23">
        <f>'Cost Forecast'!J6</f>
        <v/>
      </c>
      <c r="K6" s="23">
        <f>'Cost Forecast'!K6</f>
        <v/>
      </c>
      <c r="L6" s="23">
        <f>'Cost Forecast'!L6</f>
        <v/>
      </c>
      <c r="M6" s="23">
        <f>'Cost Forecast'!M6</f>
        <v/>
      </c>
      <c r="N6" s="23">
        <f>'Cost Forecast'!N6</f>
        <v/>
      </c>
      <c r="O6" s="23">
        <f>'Cost Forecast'!O6</f>
        <v/>
      </c>
    </row>
    <row r="7">
      <c r="A7" s="6" t="inlineStr">
        <is>
          <t>Cost of sales (total opex, COGS proxy)</t>
        </is>
      </c>
      <c r="B7" s="36">
        <f>'Historical Financial Statements'!B7</f>
        <v/>
      </c>
      <c r="C7" s="36">
        <f>'Historical Financial Statements'!C7</f>
        <v/>
      </c>
      <c r="D7" s="36">
        <f>'Historical Financial Statements'!D7</f>
        <v/>
      </c>
      <c r="E7" s="36">
        <f>'Historical Financial Statements'!E7</f>
        <v/>
      </c>
      <c r="F7" s="36">
        <f>'Historical Financial Statements'!F7</f>
        <v/>
      </c>
      <c r="G7" s="36">
        <f>'Historical Financial Statements'!G7</f>
        <v/>
      </c>
      <c r="H7" s="36">
        <f>'Historical Financial Statements'!H7</f>
        <v/>
      </c>
      <c r="I7" s="23">
        <f>'Cost Forecast'!I11</f>
        <v/>
      </c>
      <c r="J7" s="23">
        <f>'Cost Forecast'!J11</f>
        <v/>
      </c>
      <c r="K7" s="23">
        <f>'Cost Forecast'!K11</f>
        <v/>
      </c>
      <c r="L7" s="23">
        <f>'Cost Forecast'!L11</f>
        <v/>
      </c>
      <c r="M7" s="23">
        <f>'Cost Forecast'!M11</f>
        <v/>
      </c>
      <c r="N7" s="23">
        <f>'Cost Forecast'!N11</f>
        <v/>
      </c>
      <c r="O7" s="23">
        <f>'Cost Forecast'!O11</f>
        <v/>
      </c>
    </row>
    <row r="8">
      <c r="A8" s="6" t="inlineStr">
        <is>
          <t xml:space="preserve">   Trade receivables</t>
        </is>
      </c>
      <c r="H8" s="39" t="n">
        <v>6757</v>
      </c>
      <c r="I8" s="23">
        <f>'Assumptions'!I14/365*I6</f>
        <v/>
      </c>
      <c r="J8" s="23">
        <f>'Assumptions'!J14/365*J6</f>
        <v/>
      </c>
      <c r="K8" s="23">
        <f>'Assumptions'!K14/365*K6</f>
        <v/>
      </c>
      <c r="L8" s="23">
        <f>'Assumptions'!L14/365*L6</f>
        <v/>
      </c>
      <c r="M8" s="23">
        <f>'Assumptions'!M14/365*M6</f>
        <v/>
      </c>
      <c r="N8" s="23">
        <f>'Assumptions'!N14/365*N6</f>
        <v/>
      </c>
      <c r="O8" s="23">
        <f>'Assumptions'!O14/365*O6</f>
        <v/>
      </c>
    </row>
    <row r="9">
      <c r="A9" s="6" t="inlineStr">
        <is>
          <t xml:space="preserve">   Inventories</t>
        </is>
      </c>
      <c r="H9" s="39" t="n">
        <v>18260</v>
      </c>
      <c r="I9" s="23">
        <f>'Assumptions'!I15/365*I7</f>
        <v/>
      </c>
      <c r="J9" s="23">
        <f>'Assumptions'!J15/365*J7</f>
        <v/>
      </c>
      <c r="K9" s="23">
        <f>'Assumptions'!K15/365*K7</f>
        <v/>
      </c>
      <c r="L9" s="23">
        <f>'Assumptions'!L15/365*L7</f>
        <v/>
      </c>
      <c r="M9" s="23">
        <f>'Assumptions'!M15/365*M7</f>
        <v/>
      </c>
      <c r="N9" s="23">
        <f>'Assumptions'!N15/365*N7</f>
        <v/>
      </c>
      <c r="O9" s="23">
        <f>'Assumptions'!O15/365*O7</f>
        <v/>
      </c>
    </row>
    <row r="10">
      <c r="A10" s="6" t="inlineStr">
        <is>
          <t xml:space="preserve">   Contract assets</t>
        </is>
      </c>
      <c r="H10" s="39" t="n">
        <v>8000</v>
      </c>
      <c r="I10" s="23">
        <f>'Assumptions'!I17*I6</f>
        <v/>
      </c>
      <c r="J10" s="23">
        <f>'Assumptions'!J17*J6</f>
        <v/>
      </c>
      <c r="K10" s="23">
        <f>'Assumptions'!K17*K6</f>
        <v/>
      </c>
      <c r="L10" s="23">
        <f>'Assumptions'!L17*L6</f>
        <v/>
      </c>
      <c r="M10" s="23">
        <f>'Assumptions'!M17*M6</f>
        <v/>
      </c>
      <c r="N10" s="23">
        <f>'Assumptions'!N17*N6</f>
        <v/>
      </c>
      <c r="O10" s="23">
        <f>'Assumptions'!O17*O6</f>
        <v/>
      </c>
    </row>
    <row r="11">
      <c r="A11" s="6" t="inlineStr">
        <is>
          <t xml:space="preserve">   Other current &amp; non-current assets</t>
        </is>
      </c>
      <c r="H11" s="39" t="n">
        <v>32373</v>
      </c>
      <c r="I11" s="23">
        <f>H11*(1+'Assumptions'!I19)</f>
        <v/>
      </c>
      <c r="J11" s="23">
        <f>I11*(1+'Assumptions'!J19)</f>
        <v/>
      </c>
      <c r="K11" s="23">
        <f>J11*(1+'Assumptions'!K19)</f>
        <v/>
      </c>
      <c r="L11" s="23">
        <f>K11*(1+'Assumptions'!L19)</f>
        <v/>
      </c>
      <c r="M11" s="23">
        <f>L11*(1+'Assumptions'!M19)</f>
        <v/>
      </c>
      <c r="N11" s="23">
        <f>M11*(1+'Assumptions'!N19)</f>
        <v/>
      </c>
      <c r="O11" s="23">
        <f>N11*(1+'Assumptions'!O19)</f>
        <v/>
      </c>
    </row>
    <row r="12">
      <c r="A12" s="5" t="inlineStr">
        <is>
          <t>Total operating assets</t>
        </is>
      </c>
      <c r="H12" s="38">
        <f>SUM(H8:H11)</f>
        <v/>
      </c>
      <c r="I12" s="38">
        <f>SUM(I8:I11)</f>
        <v/>
      </c>
      <c r="J12" s="38">
        <f>SUM(J8:J11)</f>
        <v/>
      </c>
      <c r="K12" s="38">
        <f>SUM(K8:K11)</f>
        <v/>
      </c>
      <c r="L12" s="38">
        <f>SUM(L8:L11)</f>
        <v/>
      </c>
      <c r="M12" s="38">
        <f>SUM(M8:M11)</f>
        <v/>
      </c>
      <c r="N12" s="38">
        <f>SUM(N8:N11)</f>
        <v/>
      </c>
      <c r="O12" s="38">
        <f>SUM(O8:O11)</f>
        <v/>
      </c>
    </row>
    <row r="13">
      <c r="A13" s="6" t="inlineStr">
        <is>
          <t xml:space="preserve">   Trade payables</t>
        </is>
      </c>
      <c r="H13" s="39" t="n">
        <v>14386</v>
      </c>
      <c r="I13" s="23">
        <f>'Assumptions'!I16/365*I7</f>
        <v/>
      </c>
      <c r="J13" s="23">
        <f>'Assumptions'!J16/365*J7</f>
        <v/>
      </c>
      <c r="K13" s="23">
        <f>'Assumptions'!K16/365*K7</f>
        <v/>
      </c>
      <c r="L13" s="23">
        <f>'Assumptions'!L16/365*L7</f>
        <v/>
      </c>
      <c r="M13" s="23">
        <f>'Assumptions'!M16/365*M7</f>
        <v/>
      </c>
      <c r="N13" s="23">
        <f>'Assumptions'!N16/365*N7</f>
        <v/>
      </c>
      <c r="O13" s="23">
        <f>'Assumptions'!O16/365*O7</f>
        <v/>
      </c>
    </row>
    <row r="14">
      <c r="A14" s="6" t="inlineStr">
        <is>
          <t xml:space="preserve">   Contract liabilities / advances</t>
        </is>
      </c>
      <c r="H14" s="39" t="n">
        <v>12000</v>
      </c>
      <c r="I14" s="23">
        <f>'Assumptions'!I18*I6</f>
        <v/>
      </c>
      <c r="J14" s="23">
        <f>'Assumptions'!J18*J6</f>
        <v/>
      </c>
      <c r="K14" s="23">
        <f>'Assumptions'!K18*K6</f>
        <v/>
      </c>
      <c r="L14" s="23">
        <f>'Assumptions'!L18*L6</f>
        <v/>
      </c>
      <c r="M14" s="23">
        <f>'Assumptions'!M18*M6</f>
        <v/>
      </c>
      <c r="N14" s="23">
        <f>'Assumptions'!N18*N6</f>
        <v/>
      </c>
      <c r="O14" s="23">
        <f>'Assumptions'!O18*O6</f>
        <v/>
      </c>
    </row>
    <row r="15">
      <c r="A15" s="6" t="inlineStr">
        <is>
          <t xml:space="preserve">   Provisions &amp; other liabilities</t>
        </is>
      </c>
      <c r="H15" s="39" t="n">
        <v>15466</v>
      </c>
      <c r="I15" s="23">
        <f>H15*(1+'Assumptions'!I20)</f>
        <v/>
      </c>
      <c r="J15" s="23">
        <f>I15*(1+'Assumptions'!J20)</f>
        <v/>
      </c>
      <c r="K15" s="23">
        <f>J15*(1+'Assumptions'!K20)</f>
        <v/>
      </c>
      <c r="L15" s="23">
        <f>K15*(1+'Assumptions'!L20)</f>
        <v/>
      </c>
      <c r="M15" s="23">
        <f>L15*(1+'Assumptions'!M20)</f>
        <v/>
      </c>
      <c r="N15" s="23">
        <f>M15*(1+'Assumptions'!N20)</f>
        <v/>
      </c>
      <c r="O15" s="23">
        <f>N15*(1+'Assumptions'!O20)</f>
        <v/>
      </c>
    </row>
    <row r="16">
      <c r="A16" s="5" t="inlineStr">
        <is>
          <t>Total operating liabilities</t>
        </is>
      </c>
      <c r="H16" s="38">
        <f>SUM(H13:H15)</f>
        <v/>
      </c>
      <c r="I16" s="38">
        <f>SUM(I13:I15)</f>
        <v/>
      </c>
      <c r="J16" s="38">
        <f>SUM(J13:J15)</f>
        <v/>
      </c>
      <c r="K16" s="38">
        <f>SUM(K13:K15)</f>
        <v/>
      </c>
      <c r="L16" s="38">
        <f>SUM(L13:L15)</f>
        <v/>
      </c>
      <c r="M16" s="38">
        <f>SUM(M13:M15)</f>
        <v/>
      </c>
      <c r="N16" s="38">
        <f>SUM(N13:N15)</f>
        <v/>
      </c>
      <c r="O16" s="38">
        <f>SUM(O13:O15)</f>
        <v/>
      </c>
    </row>
    <row r="17">
      <c r="A17" s="5" t="inlineStr">
        <is>
          <t>Net working capital</t>
        </is>
      </c>
      <c r="H17" s="22">
        <f>H12-H16</f>
        <v/>
      </c>
      <c r="I17" s="22">
        <f>I12-I16</f>
        <v/>
      </c>
      <c r="J17" s="22">
        <f>J12-J16</f>
        <v/>
      </c>
      <c r="K17" s="22">
        <f>K12-K16</f>
        <v/>
      </c>
      <c r="L17" s="22">
        <f>L12-L16</f>
        <v/>
      </c>
      <c r="M17" s="22">
        <f>M12-M16</f>
        <v/>
      </c>
      <c r="N17" s="22">
        <f>N12-N16</f>
        <v/>
      </c>
      <c r="O17" s="22">
        <f>O12-O16</f>
        <v/>
      </c>
    </row>
    <row r="18">
      <c r="A18" s="6" t="inlineStr">
        <is>
          <t>(Increase) / decrease in NWC</t>
        </is>
      </c>
      <c r="I18" s="23">
        <f>-(I17-H17)</f>
        <v/>
      </c>
      <c r="J18" s="23">
        <f>-(J17-I17)</f>
        <v/>
      </c>
      <c r="K18" s="23">
        <f>-(K17-J17)</f>
        <v/>
      </c>
      <c r="L18" s="23">
        <f>-(L17-K17)</f>
        <v/>
      </c>
      <c r="M18" s="23">
        <f>-(M17-L17)</f>
        <v/>
      </c>
      <c r="N18" s="23">
        <f>-(N17-M17)</f>
        <v/>
      </c>
      <c r="O18" s="23">
        <f>-(O17-N17)</f>
        <v/>
      </c>
    </row>
    <row r="19">
      <c r="A19" s="6" t="inlineStr">
        <is>
          <t>Memo: cash &amp; bank (FY26 estimate, seed)</t>
        </is>
      </c>
      <c r="H19" s="39" t="n">
        <v>7000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FIXED ASSET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Net-block roll-forward. Opening FY2027 = reported FY2026 net PPE. Depreciation = rate x opening net block.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Net block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net block</t>
        </is>
      </c>
      <c r="B6" s="36">
        <f>'Historical Financial Statements'!B21</f>
        <v/>
      </c>
      <c r="C6" s="36">
        <f>'Historical Financial Statements'!C21</f>
        <v/>
      </c>
      <c r="D6" s="36">
        <f>'Historical Financial Statements'!D21</f>
        <v/>
      </c>
      <c r="E6" s="36">
        <f>'Historical Financial Statements'!E21</f>
        <v/>
      </c>
      <c r="F6" s="36">
        <f>'Historical Financial Statements'!F21</f>
        <v/>
      </c>
      <c r="G6" s="36">
        <f>'Historical Financial Statements'!G21</f>
        <v/>
      </c>
      <c r="H6" s="36">
        <f>'Historical Financial Statements'!H21</f>
        <v/>
      </c>
      <c r="I6" s="23">
        <f>'Historical Financial Statements'!H21</f>
        <v/>
      </c>
      <c r="J6" s="23">
        <f>I10</f>
        <v/>
      </c>
      <c r="K6" s="23">
        <f>J10</f>
        <v/>
      </c>
      <c r="L6" s="23">
        <f>K10</f>
        <v/>
      </c>
      <c r="M6" s="23">
        <f>L10</f>
        <v/>
      </c>
      <c r="N6" s="23">
        <f>M10</f>
        <v/>
      </c>
      <c r="O6" s="23">
        <f>N10</f>
        <v/>
      </c>
    </row>
    <row r="7">
      <c r="A7" s="6" t="inlineStr">
        <is>
          <t xml:space="preserve">   Add: capital expenditure</t>
        </is>
      </c>
      <c r="I7" s="23">
        <f>'Assumptions'!I12</f>
        <v/>
      </c>
      <c r="J7" s="23">
        <f>'Assumptions'!J12</f>
        <v/>
      </c>
      <c r="K7" s="23">
        <f>'Assumptions'!K12</f>
        <v/>
      </c>
      <c r="L7" s="23">
        <f>'Assumptions'!L12</f>
        <v/>
      </c>
      <c r="M7" s="23">
        <f>'Assumptions'!M12</f>
        <v/>
      </c>
      <c r="N7" s="23">
        <f>'Assumptions'!N12</f>
        <v/>
      </c>
      <c r="O7" s="23">
        <f>'Assumptions'!O12</f>
        <v/>
      </c>
    </row>
    <row r="8">
      <c r="A8" s="6" t="inlineStr">
        <is>
          <t xml:space="preserve">   Less: depreciation</t>
        </is>
      </c>
      <c r="I8" s="23">
        <f>-'Assumptions'!I13*I6</f>
        <v/>
      </c>
      <c r="J8" s="23">
        <f>-'Assumptions'!J13*J6</f>
        <v/>
      </c>
      <c r="K8" s="23">
        <f>-'Assumptions'!K13*K6</f>
        <v/>
      </c>
      <c r="L8" s="23">
        <f>-'Assumptions'!L13*L6</f>
        <v/>
      </c>
      <c r="M8" s="23">
        <f>-'Assumptions'!M13*M6</f>
        <v/>
      </c>
      <c r="N8" s="23">
        <f>-'Assumptions'!N13*N6</f>
        <v/>
      </c>
      <c r="O8" s="23">
        <f>-'Assumptions'!O13*O6</f>
        <v/>
      </c>
    </row>
    <row r="9">
      <c r="A9" s="6" t="inlineStr">
        <is>
          <t xml:space="preserve">   Less: disposals / transfers</t>
        </is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</row>
    <row r="10">
      <c r="A10" s="5" t="inlineStr">
        <is>
          <t>Closing net block</t>
        </is>
      </c>
      <c r="B10" s="37">
        <f>'Historical Financial Statements'!B21</f>
        <v/>
      </c>
      <c r="C10" s="37">
        <f>'Historical Financial Statements'!C21</f>
        <v/>
      </c>
      <c r="D10" s="37">
        <f>'Historical Financial Statements'!D21</f>
        <v/>
      </c>
      <c r="E10" s="37">
        <f>'Historical Financial Statements'!E21</f>
        <v/>
      </c>
      <c r="F10" s="37">
        <f>'Historical Financial Statements'!F21</f>
        <v/>
      </c>
      <c r="G10" s="37">
        <f>'Historical Financial Statements'!G21</f>
        <v/>
      </c>
      <c r="H10" s="37">
        <f>'Historical Financial Statements'!H21</f>
        <v/>
      </c>
      <c r="I10" s="38">
        <f>I6+I7+I8-I9</f>
        <v/>
      </c>
      <c r="J10" s="38">
        <f>J6+J7+J8-J9</f>
        <v/>
      </c>
      <c r="K10" s="38">
        <f>K6+K7+K8-K9</f>
        <v/>
      </c>
      <c r="L10" s="38">
        <f>L6+L7+L8-L9</f>
        <v/>
      </c>
      <c r="M10" s="38">
        <f>M6+M7+M8-M9</f>
        <v/>
      </c>
      <c r="N10" s="38">
        <f>N6+N7+N8-N9</f>
        <v/>
      </c>
      <c r="O10" s="38">
        <f>O6+O7+O8-O9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DEPRECIATION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Depreciation computation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6" t="inlineStr">
        <is>
          <t>Opening net block</t>
        </is>
      </c>
      <c r="I6" s="23">
        <f>'Fixed Asset Schedule'!I6</f>
        <v/>
      </c>
      <c r="J6" s="23">
        <f>'Fixed Asset Schedule'!J6</f>
        <v/>
      </c>
      <c r="K6" s="23">
        <f>'Fixed Asset Schedule'!K6</f>
        <v/>
      </c>
      <c r="L6" s="23">
        <f>'Fixed Asset Schedule'!L6</f>
        <v/>
      </c>
      <c r="M6" s="23">
        <f>'Fixed Asset Schedule'!M6</f>
        <v/>
      </c>
      <c r="N6" s="23">
        <f>'Fixed Asset Schedule'!N6</f>
        <v/>
      </c>
      <c r="O6" s="23">
        <f>'Fixed Asset Schedule'!O6</f>
        <v/>
      </c>
    </row>
    <row r="7">
      <c r="A7" s="6" t="inlineStr">
        <is>
          <t>Depreciation rate (%)</t>
        </is>
      </c>
      <c r="I7" s="33">
        <f>'Assumptions'!I13</f>
        <v/>
      </c>
      <c r="J7" s="33">
        <f>'Assumptions'!J13</f>
        <v/>
      </c>
      <c r="K7" s="33">
        <f>'Assumptions'!K13</f>
        <v/>
      </c>
      <c r="L7" s="33">
        <f>'Assumptions'!L13</f>
        <v/>
      </c>
      <c r="M7" s="33">
        <f>'Assumptions'!M13</f>
        <v/>
      </c>
      <c r="N7" s="33">
        <f>'Assumptions'!N13</f>
        <v/>
      </c>
      <c r="O7" s="33">
        <f>'Assumptions'!O13</f>
        <v/>
      </c>
    </row>
    <row r="8">
      <c r="A8" s="5" t="inlineStr">
        <is>
          <t>Depreciation expense</t>
        </is>
      </c>
      <c r="B8" s="37">
        <f>'Historical Financial Statements'!B9</f>
        <v/>
      </c>
      <c r="C8" s="37">
        <f>'Historical Financial Statements'!C9</f>
        <v/>
      </c>
      <c r="D8" s="37">
        <f>'Historical Financial Statements'!D9</f>
        <v/>
      </c>
      <c r="E8" s="37">
        <f>'Historical Financial Statements'!E9</f>
        <v/>
      </c>
      <c r="F8" s="37">
        <f>'Historical Financial Statements'!F9</f>
        <v/>
      </c>
      <c r="G8" s="37">
        <f>'Historical Financial Statements'!G9</f>
        <v/>
      </c>
      <c r="H8" s="37">
        <f>'Historical Financial Statements'!H9</f>
        <v/>
      </c>
      <c r="I8" s="38">
        <f>I6*I7</f>
        <v/>
      </c>
      <c r="J8" s="38">
        <f>J6*J7</f>
        <v/>
      </c>
      <c r="K8" s="38">
        <f>K6*K7</f>
        <v/>
      </c>
      <c r="L8" s="38">
        <f>L6*L7</f>
        <v/>
      </c>
      <c r="M8" s="38">
        <f>M6*M7</f>
        <v/>
      </c>
      <c r="N8" s="38">
        <f>N6*N7</f>
        <v/>
      </c>
      <c r="O8" s="38">
        <f>O6*O7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DEBT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Interest charged on opening debt to avoid circularity. Opening FY2027 = reported FY2026 borrowings.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Debt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debt</t>
        </is>
      </c>
      <c r="B6" s="36">
        <f>'Historical Financial Statements'!B28</f>
        <v/>
      </c>
      <c r="C6" s="36">
        <f>'Historical Financial Statements'!C28</f>
        <v/>
      </c>
      <c r="D6" s="36">
        <f>'Historical Financial Statements'!D28</f>
        <v/>
      </c>
      <c r="E6" s="36">
        <f>'Historical Financial Statements'!E28</f>
        <v/>
      </c>
      <c r="F6" s="36">
        <f>'Historical Financial Statements'!F28</f>
        <v/>
      </c>
      <c r="G6" s="36">
        <f>'Historical Financial Statements'!G28</f>
        <v/>
      </c>
      <c r="H6" s="36">
        <f>'Historical Financial Statements'!H28</f>
        <v/>
      </c>
      <c r="I6" s="23">
        <f>'Historical Financial Statements'!H28</f>
        <v/>
      </c>
      <c r="J6" s="23">
        <f>I9</f>
        <v/>
      </c>
      <c r="K6" s="23">
        <f>J9</f>
        <v/>
      </c>
      <c r="L6" s="23">
        <f>K9</f>
        <v/>
      </c>
      <c r="M6" s="23">
        <f>L9</f>
        <v/>
      </c>
      <c r="N6" s="23">
        <f>M9</f>
        <v/>
      </c>
      <c r="O6" s="23">
        <f>N9</f>
        <v/>
      </c>
    </row>
    <row r="7">
      <c r="A7" s="6" t="inlineStr">
        <is>
          <t xml:space="preserve">   Add: new borrowings</t>
        </is>
      </c>
      <c r="I7" s="23">
        <f>'Assumptions'!I25</f>
        <v/>
      </c>
      <c r="J7" s="23">
        <f>'Assumptions'!J25</f>
        <v/>
      </c>
      <c r="K7" s="23">
        <f>'Assumptions'!K25</f>
        <v/>
      </c>
      <c r="L7" s="23">
        <f>'Assumptions'!L25</f>
        <v/>
      </c>
      <c r="M7" s="23">
        <f>'Assumptions'!M25</f>
        <v/>
      </c>
      <c r="N7" s="23">
        <f>'Assumptions'!N25</f>
        <v/>
      </c>
      <c r="O7" s="23">
        <f>'Assumptions'!O25</f>
        <v/>
      </c>
    </row>
    <row r="8">
      <c r="A8" s="6" t="inlineStr">
        <is>
          <t xml:space="preserve">   Less: repayments</t>
        </is>
      </c>
      <c r="I8" s="23">
        <f>-'Assumptions'!I26</f>
        <v/>
      </c>
      <c r="J8" s="23">
        <f>-'Assumptions'!J26</f>
        <v/>
      </c>
      <c r="K8" s="23">
        <f>-'Assumptions'!K26</f>
        <v/>
      </c>
      <c r="L8" s="23">
        <f>-'Assumptions'!L26</f>
        <v/>
      </c>
      <c r="M8" s="23">
        <f>-'Assumptions'!M26</f>
        <v/>
      </c>
      <c r="N8" s="23">
        <f>-'Assumptions'!N26</f>
        <v/>
      </c>
      <c r="O8" s="23">
        <f>-'Assumptions'!O26</f>
        <v/>
      </c>
    </row>
    <row r="9">
      <c r="A9" s="5" t="inlineStr">
        <is>
          <t>Closing debt</t>
        </is>
      </c>
      <c r="B9" s="37">
        <f>'Historical Financial Statements'!B28</f>
        <v/>
      </c>
      <c r="C9" s="37">
        <f>'Historical Financial Statements'!C28</f>
        <v/>
      </c>
      <c r="D9" s="37">
        <f>'Historical Financial Statements'!D28</f>
        <v/>
      </c>
      <c r="E9" s="37">
        <f>'Historical Financial Statements'!E28</f>
        <v/>
      </c>
      <c r="F9" s="37">
        <f>'Historical Financial Statements'!F28</f>
        <v/>
      </c>
      <c r="G9" s="37">
        <f>'Historical Financial Statements'!G28</f>
        <v/>
      </c>
      <c r="H9" s="37">
        <f>'Historical Financial Statements'!H28</f>
        <v/>
      </c>
      <c r="I9" s="38">
        <f>I6+I7+I8</f>
        <v/>
      </c>
      <c r="J9" s="38">
        <f>J6+J7+J8</f>
        <v/>
      </c>
      <c r="K9" s="38">
        <f>K6+K7+K8</f>
        <v/>
      </c>
      <c r="L9" s="38">
        <f>L6+L7+L8</f>
        <v/>
      </c>
      <c r="M9" s="38">
        <f>M6+M7+M8</f>
        <v/>
      </c>
      <c r="N9" s="38">
        <f>N6+N7+N8</f>
        <v/>
      </c>
      <c r="O9" s="38">
        <f>O6+O7+O8</f>
        <v/>
      </c>
    </row>
    <row r="10">
      <c r="A10" s="6" t="inlineStr">
        <is>
          <t>Average debt</t>
        </is>
      </c>
      <c r="I10" s="23">
        <f>(I6+I9)/2</f>
        <v/>
      </c>
      <c r="J10" s="23">
        <f>(J6+J9)/2</f>
        <v/>
      </c>
      <c r="K10" s="23">
        <f>(K6+K9)/2</f>
        <v/>
      </c>
      <c r="L10" s="23">
        <f>(L6+L9)/2</f>
        <v/>
      </c>
      <c r="M10" s="23">
        <f>(M6+M9)/2</f>
        <v/>
      </c>
      <c r="N10" s="23">
        <f>(N6+N9)/2</f>
        <v/>
      </c>
      <c r="O10" s="23">
        <f>(O6+O9)/2</f>
        <v/>
      </c>
    </row>
    <row r="11">
      <c r="A11" s="5" t="inlineStr">
        <is>
          <t>Interest expense (on opening debt)</t>
        </is>
      </c>
      <c r="B11" s="36">
        <f>'Historical Financial Statements'!B11</f>
        <v/>
      </c>
      <c r="C11" s="36">
        <f>'Historical Financial Statements'!C11</f>
        <v/>
      </c>
      <c r="D11" s="36">
        <f>'Historical Financial Statements'!D11</f>
        <v/>
      </c>
      <c r="E11" s="36">
        <f>'Historical Financial Statements'!E11</f>
        <v/>
      </c>
      <c r="F11" s="36">
        <f>'Historical Financial Statements'!F11</f>
        <v/>
      </c>
      <c r="G11" s="36">
        <f>'Historical Financial Statements'!G11</f>
        <v/>
      </c>
      <c r="H11" s="36">
        <f>'Historical Financial Statements'!H11</f>
        <v/>
      </c>
      <c r="I11" s="23">
        <f>'Assumptions'!I27*I6</f>
        <v/>
      </c>
      <c r="J11" s="23">
        <f>'Assumptions'!J27*J6</f>
        <v/>
      </c>
      <c r="K11" s="23">
        <f>'Assumptions'!K27*K6</f>
        <v/>
      </c>
      <c r="L11" s="23">
        <f>'Assumptions'!L27*L6</f>
        <v/>
      </c>
      <c r="M11" s="23">
        <f>'Assumptions'!M27*M6</f>
        <v/>
      </c>
      <c r="N11" s="23">
        <f>'Assumptions'!N27*N6</f>
        <v/>
      </c>
      <c r="O11" s="23">
        <f>'Assumptions'!O27*O6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EQUITY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Other equity (reserves)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other equity</t>
        </is>
      </c>
      <c r="I6" s="23">
        <f>'Historical Financial Statements'!H27</f>
        <v/>
      </c>
      <c r="J6" s="23">
        <f>I10</f>
        <v/>
      </c>
      <c r="K6" s="23">
        <f>J10</f>
        <v/>
      </c>
      <c r="L6" s="23">
        <f>K10</f>
        <v/>
      </c>
      <c r="M6" s="23">
        <f>L10</f>
        <v/>
      </c>
      <c r="N6" s="23">
        <f>M10</f>
        <v/>
      </c>
      <c r="O6" s="23">
        <f>N10</f>
        <v/>
      </c>
    </row>
    <row r="7">
      <c r="A7" s="6" t="inlineStr">
        <is>
          <t xml:space="preserve">   Add: profit after tax</t>
        </is>
      </c>
      <c r="I7" s="23">
        <f>'Forecast Financial Statements'!I14</f>
        <v/>
      </c>
      <c r="J7" s="23">
        <f>'Forecast Financial Statements'!J14</f>
        <v/>
      </c>
      <c r="K7" s="23">
        <f>'Forecast Financial Statements'!K14</f>
        <v/>
      </c>
      <c r="L7" s="23">
        <f>'Forecast Financial Statements'!L14</f>
        <v/>
      </c>
      <c r="M7" s="23">
        <f>'Forecast Financial Statements'!M14</f>
        <v/>
      </c>
      <c r="N7" s="23">
        <f>'Forecast Financial Statements'!N14</f>
        <v/>
      </c>
      <c r="O7" s="23">
        <f>'Forecast Financial Statements'!O14</f>
        <v/>
      </c>
    </row>
    <row r="8">
      <c r="A8" s="6" t="inlineStr">
        <is>
          <t xml:space="preserve">   Less: dividends</t>
        </is>
      </c>
      <c r="I8" s="23">
        <f>-'Forecast Financial Statements'!I16</f>
        <v/>
      </c>
      <c r="J8" s="23">
        <f>-'Forecast Financial Statements'!J16</f>
        <v/>
      </c>
      <c r="K8" s="23">
        <f>-'Forecast Financial Statements'!K16</f>
        <v/>
      </c>
      <c r="L8" s="23">
        <f>-'Forecast Financial Statements'!L16</f>
        <v/>
      </c>
      <c r="M8" s="23">
        <f>-'Forecast Financial Statements'!M16</f>
        <v/>
      </c>
      <c r="N8" s="23">
        <f>-'Forecast Financial Statements'!N16</f>
        <v/>
      </c>
      <c r="O8" s="23">
        <f>-'Forecast Financial Statements'!O16</f>
        <v/>
      </c>
    </row>
    <row r="9">
      <c r="A9" s="6" t="inlineStr">
        <is>
          <t xml:space="preserve">   Add: other comprehensive income</t>
        </is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</row>
    <row r="10">
      <c r="A10" s="5" t="inlineStr">
        <is>
          <t>Closing other equity</t>
        </is>
      </c>
      <c r="I10" s="38">
        <f>SUM(I6:I9)</f>
        <v/>
      </c>
      <c r="J10" s="38">
        <f>SUM(J6:J9)</f>
        <v/>
      </c>
      <c r="K10" s="38">
        <f>SUM(K6:K9)</f>
        <v/>
      </c>
      <c r="L10" s="38">
        <f>SUM(L6:L9)</f>
        <v/>
      </c>
      <c r="M10" s="38">
        <f>SUM(M6:M9)</f>
        <v/>
      </c>
      <c r="N10" s="38">
        <f>SUM(N6:N9)</f>
        <v/>
      </c>
      <c r="O10" s="38">
        <f>SUM(O6:O9)</f>
        <v/>
      </c>
    </row>
    <row r="12">
      <c r="A12" s="6" t="inlineStr">
        <is>
          <t>Equity share capital (constant)</t>
        </is>
      </c>
      <c r="I12" s="23" t="n">
        <v>696</v>
      </c>
      <c r="J12" s="23" t="n">
        <v>696</v>
      </c>
      <c r="K12" s="23" t="n">
        <v>696</v>
      </c>
      <c r="L12" s="23" t="n">
        <v>696</v>
      </c>
      <c r="M12" s="23" t="n">
        <v>696</v>
      </c>
      <c r="N12" s="23" t="n">
        <v>696</v>
      </c>
      <c r="O12" s="23" t="n">
        <v>696</v>
      </c>
    </row>
    <row r="13">
      <c r="A13" s="5" t="inlineStr">
        <is>
          <t>Total shareholders equity</t>
        </is>
      </c>
      <c r="I13" s="23">
        <f>I10+I12</f>
        <v/>
      </c>
      <c r="J13" s="23">
        <f>J10+J12</f>
        <v/>
      </c>
      <c r="K13" s="23">
        <f>K10+K12</f>
        <v/>
      </c>
      <c r="L13" s="23">
        <f>L10+L12</f>
        <v/>
      </c>
      <c r="M13" s="23">
        <f>M10+M12</f>
        <v/>
      </c>
      <c r="N13" s="23">
        <f>N10+N12</f>
        <v/>
      </c>
      <c r="O13" s="23">
        <f>O10+O12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OTHER ASSETS &amp; LIABILITIES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Other (non-working-capital) assets &amp; liabilities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6" t="inlineStr">
        <is>
          <t>Capital work-in-progress</t>
        </is>
      </c>
      <c r="B6" s="36">
        <f>'Historical Financial Statements'!B22</f>
        <v/>
      </c>
      <c r="C6" s="36">
        <f>'Historical Financial Statements'!C22</f>
        <v/>
      </c>
      <c r="D6" s="36">
        <f>'Historical Financial Statements'!D22</f>
        <v/>
      </c>
      <c r="E6" s="36">
        <f>'Historical Financial Statements'!E22</f>
        <v/>
      </c>
      <c r="F6" s="36">
        <f>'Historical Financial Statements'!F22</f>
        <v/>
      </c>
      <c r="G6" s="36">
        <f>'Historical Financial Statements'!G22</f>
        <v/>
      </c>
      <c r="H6" s="36">
        <f>'Historical Financial Statements'!H22</f>
        <v/>
      </c>
      <c r="I6" s="23">
        <f>'Assumptions'!I21</f>
        <v/>
      </c>
      <c r="J6" s="23">
        <f>'Assumptions'!J21</f>
        <v/>
      </c>
      <c r="K6" s="23">
        <f>'Assumptions'!K21</f>
        <v/>
      </c>
      <c r="L6" s="23">
        <f>'Assumptions'!L21</f>
        <v/>
      </c>
      <c r="M6" s="23">
        <f>'Assumptions'!M21</f>
        <v/>
      </c>
      <c r="N6" s="23">
        <f>'Assumptions'!N21</f>
        <v/>
      </c>
      <c r="O6" s="23">
        <f>'Assumptions'!O21</f>
        <v/>
      </c>
    </row>
    <row r="7">
      <c r="A7" s="6" t="inlineStr">
        <is>
          <t>Investments</t>
        </is>
      </c>
      <c r="B7" s="36">
        <f>'Historical Financial Statements'!B23</f>
        <v/>
      </c>
      <c r="C7" s="36">
        <f>'Historical Financial Statements'!C23</f>
        <v/>
      </c>
      <c r="D7" s="36">
        <f>'Historical Financial Statements'!D23</f>
        <v/>
      </c>
      <c r="E7" s="36">
        <f>'Historical Financial Statements'!E23</f>
        <v/>
      </c>
      <c r="F7" s="36">
        <f>'Historical Financial Statements'!F23</f>
        <v/>
      </c>
      <c r="G7" s="36">
        <f>'Historical Financial Statements'!G23</f>
        <v/>
      </c>
      <c r="H7" s="36">
        <f>'Historical Financial Statements'!H23</f>
        <v/>
      </c>
      <c r="I7" s="23">
        <f>'Assumptions'!I22</f>
        <v/>
      </c>
      <c r="J7" s="23">
        <f>'Assumptions'!J22</f>
        <v/>
      </c>
      <c r="K7" s="23">
        <f>'Assumptions'!K22</f>
        <v/>
      </c>
      <c r="L7" s="23">
        <f>'Assumptions'!L22</f>
        <v/>
      </c>
      <c r="M7" s="23">
        <f>'Assumptions'!M22</f>
        <v/>
      </c>
      <c r="N7" s="23">
        <f>'Assumptions'!N22</f>
        <v/>
      </c>
      <c r="O7" s="23">
        <f>'Assumptions'!O22</f>
        <v/>
      </c>
    </row>
    <row r="8">
      <c r="A8" s="6" t="inlineStr">
        <is>
          <t>Contract assets (memo, from WC)</t>
        </is>
      </c>
      <c r="I8" s="23">
        <f>'Working Capital Schedule'!I10</f>
        <v/>
      </c>
      <c r="J8" s="23">
        <f>'Working Capital Schedule'!J10</f>
        <v/>
      </c>
      <c r="K8" s="23">
        <f>'Working Capital Schedule'!K10</f>
        <v/>
      </c>
      <c r="L8" s="23">
        <f>'Working Capital Schedule'!L10</f>
        <v/>
      </c>
      <c r="M8" s="23">
        <f>'Working Capital Schedule'!M10</f>
        <v/>
      </c>
      <c r="N8" s="23">
        <f>'Working Capital Schedule'!N10</f>
        <v/>
      </c>
      <c r="O8" s="23">
        <f>'Working Capital Schedule'!O10</f>
        <v/>
      </c>
    </row>
    <row r="9">
      <c r="A9" s="6" t="inlineStr">
        <is>
          <t>Other operating assets (memo, from WC)</t>
        </is>
      </c>
      <c r="I9" s="23">
        <f>'Working Capital Schedule'!I11</f>
        <v/>
      </c>
      <c r="J9" s="23">
        <f>'Working Capital Schedule'!J11</f>
        <v/>
      </c>
      <c r="K9" s="23">
        <f>'Working Capital Schedule'!K11</f>
        <v/>
      </c>
      <c r="L9" s="23">
        <f>'Working Capital Schedule'!L11</f>
        <v/>
      </c>
      <c r="M9" s="23">
        <f>'Working Capital Schedule'!M11</f>
        <v/>
      </c>
      <c r="N9" s="23">
        <f>'Working Capital Schedule'!N11</f>
        <v/>
      </c>
      <c r="O9" s="23">
        <f>'Working Capital Schedule'!O11</f>
        <v/>
      </c>
    </row>
    <row r="10">
      <c r="A10" s="6" t="inlineStr">
        <is>
          <t>Contract liabilities (memo, from WC)</t>
        </is>
      </c>
      <c r="I10" s="23">
        <f>'Working Capital Schedule'!I14</f>
        <v/>
      </c>
      <c r="J10" s="23">
        <f>'Working Capital Schedule'!J14</f>
        <v/>
      </c>
      <c r="K10" s="23">
        <f>'Working Capital Schedule'!K14</f>
        <v/>
      </c>
      <c r="L10" s="23">
        <f>'Working Capital Schedule'!L14</f>
        <v/>
      </c>
      <c r="M10" s="23">
        <f>'Working Capital Schedule'!M14</f>
        <v/>
      </c>
      <c r="N10" s="23">
        <f>'Working Capital Schedule'!N14</f>
        <v/>
      </c>
      <c r="O10" s="23">
        <f>'Working Capital Schedule'!O14</f>
        <v/>
      </c>
    </row>
    <row r="11">
      <c r="A11" s="6" t="inlineStr">
        <is>
          <t>Provisions &amp; other liabilities (memo, from WC)</t>
        </is>
      </c>
      <c r="I11" s="23">
        <f>'Working Capital Schedule'!I15</f>
        <v/>
      </c>
      <c r="J11" s="23">
        <f>'Working Capital Schedule'!J15</f>
        <v/>
      </c>
      <c r="K11" s="23">
        <f>'Working Capital Schedule'!K15</f>
        <v/>
      </c>
      <c r="L11" s="23">
        <f>'Working Capital Schedule'!L15</f>
        <v/>
      </c>
      <c r="M11" s="23">
        <f>'Working Capital Schedule'!M15</f>
        <v/>
      </c>
      <c r="N11" s="23">
        <f>'Working Capital Schedule'!N15</f>
        <v/>
      </c>
      <c r="O11" s="23">
        <f>'Working Capital Schedule'!O15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CASH FLOW STATEMENT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Indirect method. FY20-26 = reported summary. FY27-33 built from PAT + D&amp;A - increase in NWC; investing &amp; financing from schedules. No plugs.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A.  Operating activities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6" t="inlineStr">
        <is>
          <t xml:space="preserve">   Profit after tax</t>
        </is>
      </c>
      <c r="I6" s="23">
        <f>'Forecast Financial Statements'!I14</f>
        <v/>
      </c>
      <c r="J6" s="23">
        <f>'Forecast Financial Statements'!J14</f>
        <v/>
      </c>
      <c r="K6" s="23">
        <f>'Forecast Financial Statements'!K14</f>
        <v/>
      </c>
      <c r="L6" s="23">
        <f>'Forecast Financial Statements'!L14</f>
        <v/>
      </c>
      <c r="M6" s="23">
        <f>'Forecast Financial Statements'!M14</f>
        <v/>
      </c>
      <c r="N6" s="23">
        <f>'Forecast Financial Statements'!N14</f>
        <v/>
      </c>
      <c r="O6" s="23">
        <f>'Forecast Financial Statements'!O14</f>
        <v/>
      </c>
    </row>
    <row r="7">
      <c r="A7" s="6" t="inlineStr">
        <is>
          <t xml:space="preserve">   Add: depreciation &amp; amortisation</t>
        </is>
      </c>
      <c r="I7" s="23">
        <f>'Depreciation Schedule'!I8</f>
        <v/>
      </c>
      <c r="J7" s="23">
        <f>'Depreciation Schedule'!J8</f>
        <v/>
      </c>
      <c r="K7" s="23">
        <f>'Depreciation Schedule'!K8</f>
        <v/>
      </c>
      <c r="L7" s="23">
        <f>'Depreciation Schedule'!L8</f>
        <v/>
      </c>
      <c r="M7" s="23">
        <f>'Depreciation Schedule'!M8</f>
        <v/>
      </c>
      <c r="N7" s="23">
        <f>'Depreciation Schedule'!N8</f>
        <v/>
      </c>
      <c r="O7" s="23">
        <f>'Depreciation Schedule'!O8</f>
        <v/>
      </c>
    </row>
    <row r="8">
      <c r="A8" s="6" t="inlineStr">
        <is>
          <t xml:space="preserve">   (Increase)/decrease in net working capital</t>
        </is>
      </c>
      <c r="I8" s="23">
        <f>'Working Capital Schedule'!I18</f>
        <v/>
      </c>
      <c r="J8" s="23">
        <f>'Working Capital Schedule'!J18</f>
        <v/>
      </c>
      <c r="K8" s="23">
        <f>'Working Capital Schedule'!K18</f>
        <v/>
      </c>
      <c r="L8" s="23">
        <f>'Working Capital Schedule'!L18</f>
        <v/>
      </c>
      <c r="M8" s="23">
        <f>'Working Capital Schedule'!M18</f>
        <v/>
      </c>
      <c r="N8" s="23">
        <f>'Working Capital Schedule'!N18</f>
        <v/>
      </c>
      <c r="O8" s="23">
        <f>'Working Capital Schedule'!O18</f>
        <v/>
      </c>
    </row>
    <row r="9">
      <c r="A9" s="5" t="inlineStr">
        <is>
          <t>Cash flow from operating activities</t>
        </is>
      </c>
      <c r="B9" s="37">
        <f>'Historical Financial Statements'!B36</f>
        <v/>
      </c>
      <c r="C9" s="37">
        <f>'Historical Financial Statements'!C36</f>
        <v/>
      </c>
      <c r="D9" s="37">
        <f>'Historical Financial Statements'!D36</f>
        <v/>
      </c>
      <c r="E9" s="37">
        <f>'Historical Financial Statements'!E36</f>
        <v/>
      </c>
      <c r="F9" s="37">
        <f>'Historical Financial Statements'!F36</f>
        <v/>
      </c>
      <c r="G9" s="37">
        <f>'Historical Financial Statements'!G36</f>
        <v/>
      </c>
      <c r="H9" s="37">
        <f>'Historical Financial Statements'!H36</f>
        <v/>
      </c>
      <c r="I9" s="38">
        <f>SUM(I6:I8)</f>
        <v/>
      </c>
      <c r="J9" s="38">
        <f>SUM(J6:J8)</f>
        <v/>
      </c>
      <c r="K9" s="38">
        <f>SUM(K6:K8)</f>
        <v/>
      </c>
      <c r="L9" s="38">
        <f>SUM(L6:L8)</f>
        <v/>
      </c>
      <c r="M9" s="38">
        <f>SUM(M6:M8)</f>
        <v/>
      </c>
      <c r="N9" s="38">
        <f>SUM(N6:N8)</f>
        <v/>
      </c>
      <c r="O9" s="38">
        <f>SUM(O6:O8)</f>
        <v/>
      </c>
    </row>
    <row r="11">
      <c r="A11" s="11" t="inlineStr">
        <is>
          <t>B.  Investing activities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6" t="inlineStr">
        <is>
          <t xml:space="preserve">   Capital expenditure</t>
        </is>
      </c>
      <c r="I12" s="23">
        <f>-'Assumptions'!I12</f>
        <v/>
      </c>
      <c r="J12" s="23">
        <f>-'Assumptions'!J12</f>
        <v/>
      </c>
      <c r="K12" s="23">
        <f>-'Assumptions'!K12</f>
        <v/>
      </c>
      <c r="L12" s="23">
        <f>-'Assumptions'!L12</f>
        <v/>
      </c>
      <c r="M12" s="23">
        <f>-'Assumptions'!M12</f>
        <v/>
      </c>
      <c r="N12" s="23">
        <f>-'Assumptions'!N12</f>
        <v/>
      </c>
      <c r="O12" s="23">
        <f>-'Assumptions'!O12</f>
        <v/>
      </c>
    </row>
    <row r="13">
      <c r="A13" s="6" t="inlineStr">
        <is>
          <t xml:space="preserve">   Change in CWIP</t>
        </is>
      </c>
      <c r="I13" s="23">
        <f>-('Assumptions'!I21-'Historical Financial Statements'!H22)</f>
        <v/>
      </c>
      <c r="J13" s="23">
        <f>-('Assumptions'!J21-'Assumptions'!I21)</f>
        <v/>
      </c>
      <c r="K13" s="23">
        <f>-('Assumptions'!K21-'Assumptions'!J21)</f>
        <v/>
      </c>
      <c r="L13" s="23">
        <f>-('Assumptions'!L21-'Assumptions'!K21)</f>
        <v/>
      </c>
      <c r="M13" s="23">
        <f>-('Assumptions'!M21-'Assumptions'!L21)</f>
        <v/>
      </c>
      <c r="N13" s="23">
        <f>-('Assumptions'!N21-'Assumptions'!M21)</f>
        <v/>
      </c>
      <c r="O13" s="23">
        <f>-('Assumptions'!O21-'Assumptions'!N21)</f>
        <v/>
      </c>
    </row>
    <row r="14">
      <c r="A14" s="6" t="inlineStr">
        <is>
          <t xml:space="preserve">   Change in investments</t>
        </is>
      </c>
      <c r="I14" s="23">
        <f>-('Assumptions'!I22-'Historical Financial Statements'!H23)</f>
        <v/>
      </c>
      <c r="J14" s="23">
        <f>-('Assumptions'!J22-'Assumptions'!I22)</f>
        <v/>
      </c>
      <c r="K14" s="23">
        <f>-('Assumptions'!K22-'Assumptions'!J22)</f>
        <v/>
      </c>
      <c r="L14" s="23">
        <f>-('Assumptions'!L22-'Assumptions'!K22)</f>
        <v/>
      </c>
      <c r="M14" s="23">
        <f>-('Assumptions'!M22-'Assumptions'!L22)</f>
        <v/>
      </c>
      <c r="N14" s="23">
        <f>-('Assumptions'!N22-'Assumptions'!M22)</f>
        <v/>
      </c>
      <c r="O14" s="23">
        <f>-('Assumptions'!O22-'Assumptions'!N22)</f>
        <v/>
      </c>
    </row>
    <row r="15">
      <c r="A15" s="5" t="inlineStr">
        <is>
          <t>Cash flow from investing activities</t>
        </is>
      </c>
      <c r="B15" s="37">
        <f>'Historical Financial Statements'!B37</f>
        <v/>
      </c>
      <c r="C15" s="37">
        <f>'Historical Financial Statements'!C37</f>
        <v/>
      </c>
      <c r="D15" s="37">
        <f>'Historical Financial Statements'!D37</f>
        <v/>
      </c>
      <c r="E15" s="37">
        <f>'Historical Financial Statements'!E37</f>
        <v/>
      </c>
      <c r="F15" s="37">
        <f>'Historical Financial Statements'!F37</f>
        <v/>
      </c>
      <c r="G15" s="37">
        <f>'Historical Financial Statements'!G37</f>
        <v/>
      </c>
      <c r="H15" s="37">
        <f>'Historical Financial Statements'!H37</f>
        <v/>
      </c>
      <c r="I15" s="38">
        <f>SUM(I12:I14)</f>
        <v/>
      </c>
      <c r="J15" s="38">
        <f>SUM(J12:J14)</f>
        <v/>
      </c>
      <c r="K15" s="38">
        <f>SUM(K12:K14)</f>
        <v/>
      </c>
      <c r="L15" s="38">
        <f>SUM(L12:L14)</f>
        <v/>
      </c>
      <c r="M15" s="38">
        <f>SUM(M12:M14)</f>
        <v/>
      </c>
      <c r="N15" s="38">
        <f>SUM(N12:N14)</f>
        <v/>
      </c>
      <c r="O15" s="38">
        <f>SUM(O12:O14)</f>
        <v/>
      </c>
    </row>
    <row r="17">
      <c r="A17" s="11" t="inlineStr">
        <is>
          <t>C.  Financing activities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6" t="inlineStr">
        <is>
          <t xml:space="preserve">   New borrowings</t>
        </is>
      </c>
      <c r="I18" s="23">
        <f>'Debt Schedule'!I7</f>
        <v/>
      </c>
      <c r="J18" s="23">
        <f>'Debt Schedule'!J7</f>
        <v/>
      </c>
      <c r="K18" s="23">
        <f>'Debt Schedule'!K7</f>
        <v/>
      </c>
      <c r="L18" s="23">
        <f>'Debt Schedule'!L7</f>
        <v/>
      </c>
      <c r="M18" s="23">
        <f>'Debt Schedule'!M7</f>
        <v/>
      </c>
      <c r="N18" s="23">
        <f>'Debt Schedule'!N7</f>
        <v/>
      </c>
      <c r="O18" s="23">
        <f>'Debt Schedule'!O7</f>
        <v/>
      </c>
    </row>
    <row r="19">
      <c r="A19" s="6" t="inlineStr">
        <is>
          <t xml:space="preserve">   Debt repayment</t>
        </is>
      </c>
      <c r="I19" s="23">
        <f>'Debt Schedule'!I8</f>
        <v/>
      </c>
      <c r="J19" s="23">
        <f>'Debt Schedule'!J8</f>
        <v/>
      </c>
      <c r="K19" s="23">
        <f>'Debt Schedule'!K8</f>
        <v/>
      </c>
      <c r="L19" s="23">
        <f>'Debt Schedule'!L8</f>
        <v/>
      </c>
      <c r="M19" s="23">
        <f>'Debt Schedule'!M8</f>
        <v/>
      </c>
      <c r="N19" s="23">
        <f>'Debt Schedule'!N8</f>
        <v/>
      </c>
      <c r="O19" s="23">
        <f>'Debt Schedule'!O8</f>
        <v/>
      </c>
    </row>
    <row r="20">
      <c r="A20" s="6" t="inlineStr">
        <is>
          <t xml:space="preserve">   Dividends paid</t>
        </is>
      </c>
      <c r="I20" s="23">
        <f>-'Forecast Financial Statements'!I16</f>
        <v/>
      </c>
      <c r="J20" s="23">
        <f>-'Forecast Financial Statements'!J16</f>
        <v/>
      </c>
      <c r="K20" s="23">
        <f>-'Forecast Financial Statements'!K16</f>
        <v/>
      </c>
      <c r="L20" s="23">
        <f>-'Forecast Financial Statements'!L16</f>
        <v/>
      </c>
      <c r="M20" s="23">
        <f>-'Forecast Financial Statements'!M16</f>
        <v/>
      </c>
      <c r="N20" s="23">
        <f>-'Forecast Financial Statements'!N16</f>
        <v/>
      </c>
      <c r="O20" s="23">
        <f>-'Forecast Financial Statements'!O16</f>
        <v/>
      </c>
    </row>
    <row r="21">
      <c r="A21" s="5" t="inlineStr">
        <is>
          <t>Cash flow from financing activities</t>
        </is>
      </c>
      <c r="B21" s="37">
        <f>'Historical Financial Statements'!B38</f>
        <v/>
      </c>
      <c r="C21" s="37">
        <f>'Historical Financial Statements'!C38</f>
        <v/>
      </c>
      <c r="D21" s="37">
        <f>'Historical Financial Statements'!D38</f>
        <v/>
      </c>
      <c r="E21" s="37">
        <f>'Historical Financial Statements'!E38</f>
        <v/>
      </c>
      <c r="F21" s="37">
        <f>'Historical Financial Statements'!F38</f>
        <v/>
      </c>
      <c r="G21" s="37">
        <f>'Historical Financial Statements'!G38</f>
        <v/>
      </c>
      <c r="H21" s="37">
        <f>'Historical Financial Statements'!H38</f>
        <v/>
      </c>
      <c r="I21" s="38">
        <f>SUM(I18:I20)</f>
        <v/>
      </c>
      <c r="J21" s="38">
        <f>SUM(J18:J20)</f>
        <v/>
      </c>
      <c r="K21" s="38">
        <f>SUM(K18:K20)</f>
        <v/>
      </c>
      <c r="L21" s="38">
        <f>SUM(L18:L20)</f>
        <v/>
      </c>
      <c r="M21" s="38">
        <f>SUM(M18:M20)</f>
        <v/>
      </c>
      <c r="N21" s="38">
        <f>SUM(N18:N20)</f>
        <v/>
      </c>
      <c r="O21" s="38">
        <f>SUM(O18:O20)</f>
        <v/>
      </c>
    </row>
    <row r="23">
      <c r="A23" s="5" t="inlineStr">
        <is>
          <t>Net increase/(decrease) in cash</t>
        </is>
      </c>
      <c r="B23" s="36">
        <f>'Historical Financial Statements'!B39</f>
        <v/>
      </c>
      <c r="C23" s="36">
        <f>'Historical Financial Statements'!C39</f>
        <v/>
      </c>
      <c r="D23" s="36">
        <f>'Historical Financial Statements'!D39</f>
        <v/>
      </c>
      <c r="E23" s="36">
        <f>'Historical Financial Statements'!E39</f>
        <v/>
      </c>
      <c r="F23" s="36">
        <f>'Historical Financial Statements'!F39</f>
        <v/>
      </c>
      <c r="G23" s="36">
        <f>'Historical Financial Statements'!G39</f>
        <v/>
      </c>
      <c r="H23" s="36">
        <f>'Historical Financial Statements'!H39</f>
        <v/>
      </c>
      <c r="I23" s="38">
        <f>I9+I15+I21</f>
        <v/>
      </c>
      <c r="J23" s="38">
        <f>J9+J15+J21</f>
        <v/>
      </c>
      <c r="K23" s="38">
        <f>K9+K15+K21</f>
        <v/>
      </c>
      <c r="L23" s="38">
        <f>L9+L15+L21</f>
        <v/>
      </c>
      <c r="M23" s="38">
        <f>M9+M15+M21</f>
        <v/>
      </c>
      <c r="N23" s="38">
        <f>N9+N15+N21</f>
        <v/>
      </c>
      <c r="O23" s="38">
        <f>O9+O15+O21</f>
        <v/>
      </c>
    </row>
    <row r="24">
      <c r="A24" s="6" t="inlineStr">
        <is>
          <t>Opening cash &amp; bank</t>
        </is>
      </c>
      <c r="I24" s="23">
        <f>'Working Capital Schedule'!H19</f>
        <v/>
      </c>
      <c r="J24" s="23">
        <f>I25</f>
        <v/>
      </c>
      <c r="K24" s="23">
        <f>J25</f>
        <v/>
      </c>
      <c r="L24" s="23">
        <f>K25</f>
        <v/>
      </c>
      <c r="M24" s="23">
        <f>L25</f>
        <v/>
      </c>
      <c r="N24" s="23">
        <f>M25</f>
        <v/>
      </c>
      <c r="O24" s="23">
        <f>N25</f>
        <v/>
      </c>
    </row>
    <row r="25">
      <c r="A25" s="5" t="inlineStr">
        <is>
          <t>Closing cash &amp; bank</t>
        </is>
      </c>
      <c r="I25" s="38">
        <f>I24+I23</f>
        <v/>
      </c>
      <c r="J25" s="38">
        <f>J24+J23</f>
        <v/>
      </c>
      <c r="K25" s="38">
        <f>K24+K23</f>
        <v/>
      </c>
      <c r="L25" s="38">
        <f>L24+L23</f>
        <v/>
      </c>
      <c r="M25" s="38">
        <f>M24+M23</f>
        <v/>
      </c>
      <c r="N25" s="38">
        <f>N24+N23</f>
        <v/>
      </c>
      <c r="O25" s="38">
        <f>O24+O23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FORECAST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Fully integrated three-statement model. FY20-FY26 = reported; FY27-FY33 = forecast (linked to schedules). BS detail shown FY26 onward.</t>
        </is>
      </c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5" t="inlineStr">
        <is>
          <t>Revenue from operations</t>
        </is>
      </c>
      <c r="B5" s="36">
        <f>'Historical Financial Statements'!B5</f>
        <v/>
      </c>
      <c r="C5" s="36">
        <f>'Historical Financial Statements'!C5</f>
        <v/>
      </c>
      <c r="D5" s="36">
        <f>'Historical Financial Statements'!D5</f>
        <v/>
      </c>
      <c r="E5" s="36">
        <f>'Historical Financial Statements'!E5</f>
        <v/>
      </c>
      <c r="F5" s="36">
        <f>'Historical Financial Statements'!F5</f>
        <v/>
      </c>
      <c r="G5" s="36">
        <f>'Historical Financial Statements'!G5</f>
        <v/>
      </c>
      <c r="H5" s="36">
        <f>'Historical Financial Statements'!H5</f>
        <v/>
      </c>
      <c r="I5" s="23">
        <f>'Revenue Build-up'!I11</f>
        <v/>
      </c>
      <c r="J5" s="23">
        <f>'Revenue Build-up'!J11</f>
        <v/>
      </c>
      <c r="K5" s="23">
        <f>'Revenue Build-up'!K11</f>
        <v/>
      </c>
      <c r="L5" s="23">
        <f>'Revenue Build-up'!L11</f>
        <v/>
      </c>
      <c r="M5" s="23">
        <f>'Revenue Build-up'!M11</f>
        <v/>
      </c>
      <c r="N5" s="23">
        <f>'Revenue Build-up'!N11</f>
        <v/>
      </c>
      <c r="O5" s="23">
        <f>'Revenue Build-up'!O11</f>
        <v/>
      </c>
    </row>
    <row r="6">
      <c r="A6" s="6" t="inlineStr">
        <is>
          <t>Other income</t>
        </is>
      </c>
      <c r="B6" s="36">
        <f>'Historical Financial Statements'!B6</f>
        <v/>
      </c>
      <c r="C6" s="36">
        <f>'Historical Financial Statements'!C6</f>
        <v/>
      </c>
      <c r="D6" s="36">
        <f>'Historical Financial Statements'!D6</f>
        <v/>
      </c>
      <c r="E6" s="36">
        <f>'Historical Financial Statements'!E6</f>
        <v/>
      </c>
      <c r="F6" s="36">
        <f>'Historical Financial Statements'!F6</f>
        <v/>
      </c>
      <c r="G6" s="36">
        <f>'Historical Financial Statements'!G6</f>
        <v/>
      </c>
      <c r="H6" s="36">
        <f>'Historical Financial Statements'!H6</f>
        <v/>
      </c>
      <c r="I6" s="23">
        <f>'Assumptions'!I8*I5</f>
        <v/>
      </c>
      <c r="J6" s="23">
        <f>'Assumptions'!J8*J5</f>
        <v/>
      </c>
      <c r="K6" s="23">
        <f>'Assumptions'!K8*K5</f>
        <v/>
      </c>
      <c r="L6" s="23">
        <f>'Assumptions'!L8*L5</f>
        <v/>
      </c>
      <c r="M6" s="23">
        <f>'Assumptions'!M8*M5</f>
        <v/>
      </c>
      <c r="N6" s="23">
        <f>'Assumptions'!N8*N5</f>
        <v/>
      </c>
      <c r="O6" s="23">
        <f>'Assumptions'!O8*O5</f>
        <v/>
      </c>
    </row>
    <row r="7">
      <c r="A7" s="6" t="inlineStr">
        <is>
          <t>Total operating expenditure</t>
        </is>
      </c>
      <c r="B7" s="36">
        <f>'Historical Financial Statements'!B7</f>
        <v/>
      </c>
      <c r="C7" s="36">
        <f>'Historical Financial Statements'!C7</f>
        <v/>
      </c>
      <c r="D7" s="36">
        <f>'Historical Financial Statements'!D7</f>
        <v/>
      </c>
      <c r="E7" s="36">
        <f>'Historical Financial Statements'!E7</f>
        <v/>
      </c>
      <c r="F7" s="36">
        <f>'Historical Financial Statements'!F7</f>
        <v/>
      </c>
      <c r="G7" s="36">
        <f>'Historical Financial Statements'!G7</f>
        <v/>
      </c>
      <c r="H7" s="36">
        <f>'Historical Financial Statements'!H7</f>
        <v/>
      </c>
      <c r="I7" s="23">
        <f>'Cost Forecast'!I11</f>
        <v/>
      </c>
      <c r="J7" s="23">
        <f>'Cost Forecast'!J11</f>
        <v/>
      </c>
      <c r="K7" s="23">
        <f>'Cost Forecast'!K11</f>
        <v/>
      </c>
      <c r="L7" s="23">
        <f>'Cost Forecast'!L11</f>
        <v/>
      </c>
      <c r="M7" s="23">
        <f>'Cost Forecast'!M11</f>
        <v/>
      </c>
      <c r="N7" s="23">
        <f>'Cost Forecast'!N11</f>
        <v/>
      </c>
      <c r="O7" s="23">
        <f>'Cost Forecast'!O11</f>
        <v/>
      </c>
    </row>
    <row r="8">
      <c r="A8" s="5" t="inlineStr">
        <is>
          <t>EBITDA</t>
        </is>
      </c>
      <c r="B8" s="22">
        <f>B5-B7</f>
        <v/>
      </c>
      <c r="C8" s="22">
        <f>C5-C7</f>
        <v/>
      </c>
      <c r="D8" s="22">
        <f>D5-D7</f>
        <v/>
      </c>
      <c r="E8" s="22">
        <f>E5-E7</f>
        <v/>
      </c>
      <c r="F8" s="22">
        <f>F5-F7</f>
        <v/>
      </c>
      <c r="G8" s="22">
        <f>G5-G7</f>
        <v/>
      </c>
      <c r="H8" s="22">
        <f>H5-H7</f>
        <v/>
      </c>
      <c r="I8" s="22">
        <f>I5-I7</f>
        <v/>
      </c>
      <c r="J8" s="22">
        <f>J5-J7</f>
        <v/>
      </c>
      <c r="K8" s="22">
        <f>K5-K7</f>
        <v/>
      </c>
      <c r="L8" s="22">
        <f>L5-L7</f>
        <v/>
      </c>
      <c r="M8" s="22">
        <f>M5-M7</f>
        <v/>
      </c>
      <c r="N8" s="22">
        <f>N5-N7</f>
        <v/>
      </c>
      <c r="O8" s="22">
        <f>O5-O7</f>
        <v/>
      </c>
    </row>
    <row r="9">
      <c r="A9" s="6" t="inlineStr">
        <is>
          <t>Depreciation &amp; amortisation</t>
        </is>
      </c>
      <c r="B9" s="36">
        <f>'Historical Financial Statements'!B9</f>
        <v/>
      </c>
      <c r="C9" s="36">
        <f>'Historical Financial Statements'!C9</f>
        <v/>
      </c>
      <c r="D9" s="36">
        <f>'Historical Financial Statements'!D9</f>
        <v/>
      </c>
      <c r="E9" s="36">
        <f>'Historical Financial Statements'!E9</f>
        <v/>
      </c>
      <c r="F9" s="36">
        <f>'Historical Financial Statements'!F9</f>
        <v/>
      </c>
      <c r="G9" s="36">
        <f>'Historical Financial Statements'!G9</f>
        <v/>
      </c>
      <c r="H9" s="36">
        <f>'Historical Financial Statements'!H9</f>
        <v/>
      </c>
      <c r="I9" s="23">
        <f>'Depreciation Schedule'!I8</f>
        <v/>
      </c>
      <c r="J9" s="23">
        <f>'Depreciation Schedule'!J8</f>
        <v/>
      </c>
      <c r="K9" s="23">
        <f>'Depreciation Schedule'!K8</f>
        <v/>
      </c>
      <c r="L9" s="23">
        <f>'Depreciation Schedule'!L8</f>
        <v/>
      </c>
      <c r="M9" s="23">
        <f>'Depreciation Schedule'!M8</f>
        <v/>
      </c>
      <c r="N9" s="23">
        <f>'Depreciation Schedule'!N8</f>
        <v/>
      </c>
      <c r="O9" s="23">
        <f>'Depreciation Schedule'!O8</f>
        <v/>
      </c>
    </row>
    <row r="10">
      <c r="A10" s="5" t="inlineStr">
        <is>
          <t>EBIT</t>
        </is>
      </c>
      <c r="B10" s="23">
        <f>B8-B9</f>
        <v/>
      </c>
      <c r="C10" s="23">
        <f>C8-C9</f>
        <v/>
      </c>
      <c r="D10" s="23">
        <f>D8-D9</f>
        <v/>
      </c>
      <c r="E10" s="23">
        <f>E8-E9</f>
        <v/>
      </c>
      <c r="F10" s="23">
        <f>F8-F9</f>
        <v/>
      </c>
      <c r="G10" s="23">
        <f>G8-G9</f>
        <v/>
      </c>
      <c r="H10" s="23">
        <f>H8-H9</f>
        <v/>
      </c>
      <c r="I10" s="23">
        <f>I8-I9</f>
        <v/>
      </c>
      <c r="J10" s="23">
        <f>J8-J9</f>
        <v/>
      </c>
      <c r="K10" s="23">
        <f>K8-K9</f>
        <v/>
      </c>
      <c r="L10" s="23">
        <f>L8-L9</f>
        <v/>
      </c>
      <c r="M10" s="23">
        <f>M8-M9</f>
        <v/>
      </c>
      <c r="N10" s="23">
        <f>N8-N9</f>
        <v/>
      </c>
      <c r="O10" s="23">
        <f>O8-O9</f>
        <v/>
      </c>
    </row>
    <row r="11">
      <c r="A11" s="6" t="inlineStr">
        <is>
          <t>Finance costs</t>
        </is>
      </c>
      <c r="B11" s="36">
        <f>'Historical Financial Statements'!B11</f>
        <v/>
      </c>
      <c r="C11" s="36">
        <f>'Historical Financial Statements'!C11</f>
        <v/>
      </c>
      <c r="D11" s="36">
        <f>'Historical Financial Statements'!D11</f>
        <v/>
      </c>
      <c r="E11" s="36">
        <f>'Historical Financial Statements'!E11</f>
        <v/>
      </c>
      <c r="F11" s="36">
        <f>'Historical Financial Statements'!F11</f>
        <v/>
      </c>
      <c r="G11" s="36">
        <f>'Historical Financial Statements'!G11</f>
        <v/>
      </c>
      <c r="H11" s="36">
        <f>'Historical Financial Statements'!H11</f>
        <v/>
      </c>
      <c r="I11" s="23">
        <f>'Debt Schedule'!I11</f>
        <v/>
      </c>
      <c r="J11" s="23">
        <f>'Debt Schedule'!J11</f>
        <v/>
      </c>
      <c r="K11" s="23">
        <f>'Debt Schedule'!K11</f>
        <v/>
      </c>
      <c r="L11" s="23">
        <f>'Debt Schedule'!L11</f>
        <v/>
      </c>
      <c r="M11" s="23">
        <f>'Debt Schedule'!M11</f>
        <v/>
      </c>
      <c r="N11" s="23">
        <f>'Debt Schedule'!N11</f>
        <v/>
      </c>
      <c r="O11" s="23">
        <f>'Debt Schedule'!O11</f>
        <v/>
      </c>
    </row>
    <row r="12">
      <c r="A12" s="5" t="inlineStr">
        <is>
          <t>Profit before tax</t>
        </is>
      </c>
      <c r="B12" s="24">
        <f>B10+B6-B11</f>
        <v/>
      </c>
      <c r="C12" s="24">
        <f>C10+C6-C11</f>
        <v/>
      </c>
      <c r="D12" s="24">
        <f>D10+D6-D11</f>
        <v/>
      </c>
      <c r="E12" s="24">
        <f>E10+E6-E11</f>
        <v/>
      </c>
      <c r="F12" s="24">
        <f>F10+F6-F11</f>
        <v/>
      </c>
      <c r="G12" s="24">
        <f>G10+G6-G11</f>
        <v/>
      </c>
      <c r="H12" s="24">
        <f>H10+H6-H11</f>
        <v/>
      </c>
      <c r="I12" s="24">
        <f>I10+I6-I11</f>
        <v/>
      </c>
      <c r="J12" s="24">
        <f>J10+J6-J11</f>
        <v/>
      </c>
      <c r="K12" s="24">
        <f>K10+K6-K11</f>
        <v/>
      </c>
      <c r="L12" s="24">
        <f>L10+L6-L11</f>
        <v/>
      </c>
      <c r="M12" s="24">
        <f>M10+M6-M11</f>
        <v/>
      </c>
      <c r="N12" s="24">
        <f>N10+N6-N11</f>
        <v/>
      </c>
      <c r="O12" s="24">
        <f>O10+O6-O11</f>
        <v/>
      </c>
    </row>
    <row r="13">
      <c r="A13" s="6" t="inlineStr">
        <is>
          <t>Tax expense</t>
        </is>
      </c>
      <c r="B13" s="36">
        <f>'Historical Financial Statements'!B13</f>
        <v/>
      </c>
      <c r="C13" s="36">
        <f>'Historical Financial Statements'!C13</f>
        <v/>
      </c>
      <c r="D13" s="36">
        <f>'Historical Financial Statements'!D13</f>
        <v/>
      </c>
      <c r="E13" s="36">
        <f>'Historical Financial Statements'!E13</f>
        <v/>
      </c>
      <c r="F13" s="36">
        <f>'Historical Financial Statements'!F13</f>
        <v/>
      </c>
      <c r="G13" s="36">
        <f>'Historical Financial Statements'!G13</f>
        <v/>
      </c>
      <c r="H13" s="36">
        <f>'Historical Financial Statements'!H13</f>
        <v/>
      </c>
      <c r="I13" s="23">
        <f>'Assumptions'!I23*I12</f>
        <v/>
      </c>
      <c r="J13" s="23">
        <f>'Assumptions'!J23*J12</f>
        <v/>
      </c>
      <c r="K13" s="23">
        <f>'Assumptions'!K23*K12</f>
        <v/>
      </c>
      <c r="L13" s="23">
        <f>'Assumptions'!L23*L12</f>
        <v/>
      </c>
      <c r="M13" s="23">
        <f>'Assumptions'!M23*M12</f>
        <v/>
      </c>
      <c r="N13" s="23">
        <f>'Assumptions'!N23*N12</f>
        <v/>
      </c>
      <c r="O13" s="23">
        <f>'Assumptions'!O23*O12</f>
        <v/>
      </c>
    </row>
    <row r="14">
      <c r="A14" s="5" t="inlineStr">
        <is>
          <t>Profit after tax (PAT)</t>
        </is>
      </c>
      <c r="B14" s="25">
        <f>B12-B13</f>
        <v/>
      </c>
      <c r="C14" s="25">
        <f>C12-C13</f>
        <v/>
      </c>
      <c r="D14" s="25">
        <f>D12-D13</f>
        <v/>
      </c>
      <c r="E14" s="25">
        <f>E12-E13</f>
        <v/>
      </c>
      <c r="F14" s="25">
        <f>F12-F13</f>
        <v/>
      </c>
      <c r="G14" s="25">
        <f>G12-G13</f>
        <v/>
      </c>
      <c r="H14" s="25">
        <f>H12-H13</f>
        <v/>
      </c>
      <c r="I14" s="25">
        <f>I12-I13</f>
        <v/>
      </c>
      <c r="J14" s="25">
        <f>J12-J13</f>
        <v/>
      </c>
      <c r="K14" s="25">
        <f>K12-K13</f>
        <v/>
      </c>
      <c r="L14" s="25">
        <f>L12-L13</f>
        <v/>
      </c>
      <c r="M14" s="25">
        <f>M12-M13</f>
        <v/>
      </c>
      <c r="N14" s="25">
        <f>N12-N13</f>
        <v/>
      </c>
      <c r="O14" s="25">
        <f>O12-O13</f>
        <v/>
      </c>
    </row>
    <row r="15">
      <c r="A15" s="6" t="inlineStr">
        <is>
          <t>EPS (INR)</t>
        </is>
      </c>
      <c r="B15" s="26">
        <f>B14/'Assumptions'!C40</f>
        <v/>
      </c>
      <c r="C15" s="26">
        <f>C14/'Assumptions'!C40</f>
        <v/>
      </c>
      <c r="D15" s="26">
        <f>D14/'Assumptions'!C40</f>
        <v/>
      </c>
      <c r="E15" s="26">
        <f>E14/'Assumptions'!C40</f>
        <v/>
      </c>
      <c r="F15" s="26">
        <f>F14/'Assumptions'!C40</f>
        <v/>
      </c>
      <c r="G15" s="26">
        <f>G14/'Assumptions'!C40</f>
        <v/>
      </c>
      <c r="H15" s="26">
        <f>H14/'Assumptions'!C40</f>
        <v/>
      </c>
      <c r="I15" s="26">
        <f>I14/'Assumptions'!C40</f>
        <v/>
      </c>
      <c r="J15" s="26">
        <f>J14/'Assumptions'!C40</f>
        <v/>
      </c>
      <c r="K15" s="26">
        <f>K14/'Assumptions'!C40</f>
        <v/>
      </c>
      <c r="L15" s="26">
        <f>L14/'Assumptions'!C40</f>
        <v/>
      </c>
      <c r="M15" s="26">
        <f>M14/'Assumptions'!C40</f>
        <v/>
      </c>
      <c r="N15" s="26">
        <f>N14/'Assumptions'!C40</f>
        <v/>
      </c>
      <c r="O15" s="26">
        <f>O14/'Assumptions'!C40</f>
        <v/>
      </c>
    </row>
    <row r="16">
      <c r="A16" s="6" t="inlineStr">
        <is>
          <t>Dividend</t>
        </is>
      </c>
      <c r="B16" s="36">
        <f>'Historical Financial Statements'!B16</f>
        <v/>
      </c>
      <c r="C16" s="36">
        <f>'Historical Financial Statements'!C16</f>
        <v/>
      </c>
      <c r="D16" s="36">
        <f>'Historical Financial Statements'!D16</f>
        <v/>
      </c>
      <c r="E16" s="36">
        <f>'Historical Financial Statements'!E16</f>
        <v/>
      </c>
      <c r="F16" s="36">
        <f>'Historical Financial Statements'!F16</f>
        <v/>
      </c>
      <c r="G16" s="36">
        <f>'Historical Financial Statements'!G16</f>
        <v/>
      </c>
      <c r="H16" s="36">
        <f>'Historical Financial Statements'!H16</f>
        <v/>
      </c>
      <c r="I16" s="23">
        <f>'Assumptions'!I24*I14</f>
        <v/>
      </c>
      <c r="J16" s="23">
        <f>'Assumptions'!J24*J14</f>
        <v/>
      </c>
      <c r="K16" s="23">
        <f>'Assumptions'!K24*K14</f>
        <v/>
      </c>
      <c r="L16" s="23">
        <f>'Assumptions'!L24*L14</f>
        <v/>
      </c>
      <c r="M16" s="23">
        <f>'Assumptions'!M24*M14</f>
        <v/>
      </c>
      <c r="N16" s="23">
        <f>'Assumptions'!N24*N14</f>
        <v/>
      </c>
      <c r="O16" s="23">
        <f>'Assumptions'!O24*O14</f>
        <v/>
      </c>
    </row>
    <row r="18">
      <c r="A18" s="11" t="inlineStr">
        <is>
          <t>B.  BALANCE SHEET  (FY2026 reported, FY2027-33 forecast)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40" t="inlineStr">
        <is>
          <t>FY20-25: see Historical Financial Statements</t>
        </is>
      </c>
      <c r="B19" s="13" t="inlineStr"/>
      <c r="C19" s="13" t="inlineStr"/>
      <c r="D19" s="13" t="inlineStr"/>
      <c r="E19" s="13" t="inlineStr"/>
      <c r="F19" s="13" t="inlineStr"/>
      <c r="G19" s="13" t="inlineStr"/>
      <c r="H19" s="13" t="inlineStr">
        <is>
          <t>FY2026</t>
        </is>
      </c>
      <c r="I19" s="13" t="inlineStr">
        <is>
          <t>FY2027</t>
        </is>
      </c>
      <c r="J19" s="13" t="inlineStr">
        <is>
          <t>FY2028</t>
        </is>
      </c>
      <c r="K19" s="13" t="inlineStr">
        <is>
          <t>FY2029</t>
        </is>
      </c>
      <c r="L19" s="13" t="inlineStr">
        <is>
          <t>FY2030</t>
        </is>
      </c>
      <c r="M19" s="13" t="inlineStr">
        <is>
          <t>FY2031</t>
        </is>
      </c>
      <c r="N19" s="13" t="inlineStr">
        <is>
          <t>FY2032</t>
        </is>
      </c>
      <c r="O19" s="13" t="inlineStr">
        <is>
          <t>FY2033</t>
        </is>
      </c>
    </row>
    <row r="20">
      <c r="A20" s="6" t="inlineStr">
        <is>
          <t>Net property, plant &amp; equipment</t>
        </is>
      </c>
      <c r="H20" s="36">
        <f>'Historical Financial Statements'!H21</f>
        <v/>
      </c>
      <c r="I20" s="36">
        <f>'Fixed Asset Schedule'!I10</f>
        <v/>
      </c>
      <c r="J20" s="36">
        <f>'Fixed Asset Schedule'!J10</f>
        <v/>
      </c>
      <c r="K20" s="36">
        <f>'Fixed Asset Schedule'!K10</f>
        <v/>
      </c>
      <c r="L20" s="36">
        <f>'Fixed Asset Schedule'!L10</f>
        <v/>
      </c>
      <c r="M20" s="36">
        <f>'Fixed Asset Schedule'!M10</f>
        <v/>
      </c>
      <c r="N20" s="36">
        <f>'Fixed Asset Schedule'!N10</f>
        <v/>
      </c>
      <c r="O20" s="36">
        <f>'Fixed Asset Schedule'!O10</f>
        <v/>
      </c>
    </row>
    <row r="21">
      <c r="A21" s="6" t="inlineStr">
        <is>
          <t>Capital work-in-progress</t>
        </is>
      </c>
      <c r="H21" s="36">
        <f>'Historical Financial Statements'!H22</f>
        <v/>
      </c>
      <c r="I21" s="36">
        <f>'Assumptions'!I21</f>
        <v/>
      </c>
      <c r="J21" s="36">
        <f>'Assumptions'!J21</f>
        <v/>
      </c>
      <c r="K21" s="36">
        <f>'Assumptions'!K21</f>
        <v/>
      </c>
      <c r="L21" s="36">
        <f>'Assumptions'!L21</f>
        <v/>
      </c>
      <c r="M21" s="36">
        <f>'Assumptions'!M21</f>
        <v/>
      </c>
      <c r="N21" s="36">
        <f>'Assumptions'!N21</f>
        <v/>
      </c>
      <c r="O21" s="36">
        <f>'Assumptions'!O21</f>
        <v/>
      </c>
    </row>
    <row r="22">
      <c r="A22" s="6" t="inlineStr">
        <is>
          <t>Investments</t>
        </is>
      </c>
      <c r="H22" s="36">
        <f>'Historical Financial Statements'!H23</f>
        <v/>
      </c>
      <c r="I22" s="36">
        <f>'Assumptions'!I22</f>
        <v/>
      </c>
      <c r="J22" s="36">
        <f>'Assumptions'!J22</f>
        <v/>
      </c>
      <c r="K22" s="36">
        <f>'Assumptions'!K22</f>
        <v/>
      </c>
      <c r="L22" s="36">
        <f>'Assumptions'!L22</f>
        <v/>
      </c>
      <c r="M22" s="36">
        <f>'Assumptions'!M22</f>
        <v/>
      </c>
      <c r="N22" s="36">
        <f>'Assumptions'!N22</f>
        <v/>
      </c>
      <c r="O22" s="36">
        <f>'Assumptions'!O22</f>
        <v/>
      </c>
    </row>
    <row r="23">
      <c r="A23" s="6" t="inlineStr">
        <is>
          <t xml:space="preserve">   Inventories</t>
        </is>
      </c>
      <c r="H23" s="36">
        <f>'Working Capital Schedule'!H9</f>
        <v/>
      </c>
      <c r="I23" s="36">
        <f>'Working Capital Schedule'!I9</f>
        <v/>
      </c>
      <c r="J23" s="36">
        <f>'Working Capital Schedule'!J9</f>
        <v/>
      </c>
      <c r="K23" s="36">
        <f>'Working Capital Schedule'!K9</f>
        <v/>
      </c>
      <c r="L23" s="36">
        <f>'Working Capital Schedule'!L9</f>
        <v/>
      </c>
      <c r="M23" s="36">
        <f>'Working Capital Schedule'!M9</f>
        <v/>
      </c>
      <c r="N23" s="36">
        <f>'Working Capital Schedule'!N9</f>
        <v/>
      </c>
      <c r="O23" s="36">
        <f>'Working Capital Schedule'!O9</f>
        <v/>
      </c>
    </row>
    <row r="24">
      <c r="A24" s="6" t="inlineStr">
        <is>
          <t xml:space="preserve">   Trade receivables</t>
        </is>
      </c>
      <c r="H24" s="36">
        <f>'Working Capital Schedule'!H8</f>
        <v/>
      </c>
      <c r="I24" s="36">
        <f>'Working Capital Schedule'!I8</f>
        <v/>
      </c>
      <c r="J24" s="36">
        <f>'Working Capital Schedule'!J8</f>
        <v/>
      </c>
      <c r="K24" s="36">
        <f>'Working Capital Schedule'!K8</f>
        <v/>
      </c>
      <c r="L24" s="36">
        <f>'Working Capital Schedule'!L8</f>
        <v/>
      </c>
      <c r="M24" s="36">
        <f>'Working Capital Schedule'!M8</f>
        <v/>
      </c>
      <c r="N24" s="36">
        <f>'Working Capital Schedule'!N8</f>
        <v/>
      </c>
      <c r="O24" s="36">
        <f>'Working Capital Schedule'!O8</f>
        <v/>
      </c>
    </row>
    <row r="25">
      <c r="A25" s="6" t="inlineStr">
        <is>
          <t xml:space="preserve">   Contract assets</t>
        </is>
      </c>
      <c r="H25" s="36">
        <f>'Working Capital Schedule'!H10</f>
        <v/>
      </c>
      <c r="I25" s="36">
        <f>'Working Capital Schedule'!I10</f>
        <v/>
      </c>
      <c r="J25" s="36">
        <f>'Working Capital Schedule'!J10</f>
        <v/>
      </c>
      <c r="K25" s="36">
        <f>'Working Capital Schedule'!K10</f>
        <v/>
      </c>
      <c r="L25" s="36">
        <f>'Working Capital Schedule'!L10</f>
        <v/>
      </c>
      <c r="M25" s="36">
        <f>'Working Capital Schedule'!M10</f>
        <v/>
      </c>
      <c r="N25" s="36">
        <f>'Working Capital Schedule'!N10</f>
        <v/>
      </c>
      <c r="O25" s="36">
        <f>'Working Capital Schedule'!O10</f>
        <v/>
      </c>
    </row>
    <row r="26">
      <c r="A26" s="6" t="inlineStr">
        <is>
          <t xml:space="preserve">   Cash &amp; bank balances</t>
        </is>
      </c>
      <c r="H26" s="36">
        <f>'Working Capital Schedule'!H19</f>
        <v/>
      </c>
      <c r="I26" s="36">
        <f>'Cash Flow Statement'!I25</f>
        <v/>
      </c>
      <c r="J26" s="36">
        <f>'Cash Flow Statement'!J25</f>
        <v/>
      </c>
      <c r="K26" s="36">
        <f>'Cash Flow Statement'!K25</f>
        <v/>
      </c>
      <c r="L26" s="36">
        <f>'Cash Flow Statement'!L25</f>
        <v/>
      </c>
      <c r="M26" s="36">
        <f>'Cash Flow Statement'!M25</f>
        <v/>
      </c>
      <c r="N26" s="36">
        <f>'Cash Flow Statement'!N25</f>
        <v/>
      </c>
      <c r="O26" s="36">
        <f>'Cash Flow Statement'!O25</f>
        <v/>
      </c>
    </row>
    <row r="27">
      <c r="A27" s="6" t="inlineStr">
        <is>
          <t xml:space="preserve">   Other current &amp; non-current assets</t>
        </is>
      </c>
      <c r="H27" s="36">
        <f>'Working Capital Schedule'!H11</f>
        <v/>
      </c>
      <c r="I27" s="36">
        <f>'Working Capital Schedule'!I11</f>
        <v/>
      </c>
      <c r="J27" s="36">
        <f>'Working Capital Schedule'!J11</f>
        <v/>
      </c>
      <c r="K27" s="36">
        <f>'Working Capital Schedule'!K11</f>
        <v/>
      </c>
      <c r="L27" s="36">
        <f>'Working Capital Schedule'!L11</f>
        <v/>
      </c>
      <c r="M27" s="36">
        <f>'Working Capital Schedule'!M11</f>
        <v/>
      </c>
      <c r="N27" s="36">
        <f>'Working Capital Schedule'!N11</f>
        <v/>
      </c>
      <c r="O27" s="36">
        <f>'Working Capital Schedule'!O11</f>
        <v/>
      </c>
    </row>
    <row r="28">
      <c r="A28" s="5" t="inlineStr">
        <is>
          <t>TOTAL ASSETS</t>
        </is>
      </c>
      <c r="H28" s="25">
        <f>SUM(H20:H27)</f>
        <v/>
      </c>
      <c r="I28" s="25">
        <f>SUM(I20:I27)</f>
        <v/>
      </c>
      <c r="J28" s="25">
        <f>SUM(J20:J27)</f>
        <v/>
      </c>
      <c r="K28" s="25">
        <f>SUM(K20:K27)</f>
        <v/>
      </c>
      <c r="L28" s="25">
        <f>SUM(L20:L27)</f>
        <v/>
      </c>
      <c r="M28" s="25">
        <f>SUM(M20:M27)</f>
        <v/>
      </c>
      <c r="N28" s="25">
        <f>SUM(N20:N27)</f>
        <v/>
      </c>
      <c r="O28" s="25">
        <f>SUM(O20:O27)</f>
        <v/>
      </c>
    </row>
    <row r="29">
      <c r="A29" s="6" t="inlineStr">
        <is>
          <t>Equity share capital</t>
        </is>
      </c>
      <c r="H29" s="36">
        <f>'Historical Financial Statements'!H26</f>
        <v/>
      </c>
      <c r="I29" s="36">
        <f>'Equity Schedule'!I12</f>
        <v/>
      </c>
      <c r="J29" s="36">
        <f>'Equity Schedule'!J12</f>
        <v/>
      </c>
      <c r="K29" s="36">
        <f>'Equity Schedule'!K12</f>
        <v/>
      </c>
      <c r="L29" s="36">
        <f>'Equity Schedule'!L12</f>
        <v/>
      </c>
      <c r="M29" s="36">
        <f>'Equity Schedule'!M12</f>
        <v/>
      </c>
      <c r="N29" s="36">
        <f>'Equity Schedule'!N12</f>
        <v/>
      </c>
      <c r="O29" s="36">
        <f>'Equity Schedule'!O12</f>
        <v/>
      </c>
    </row>
    <row r="30">
      <c r="A30" s="6" t="inlineStr">
        <is>
          <t>Other equity (reserves &amp; surplus)</t>
        </is>
      </c>
      <c r="H30" s="36">
        <f>'Historical Financial Statements'!H27</f>
        <v/>
      </c>
      <c r="I30" s="36">
        <f>'Equity Schedule'!I10</f>
        <v/>
      </c>
      <c r="J30" s="36">
        <f>'Equity Schedule'!J10</f>
        <v/>
      </c>
      <c r="K30" s="36">
        <f>'Equity Schedule'!K10</f>
        <v/>
      </c>
      <c r="L30" s="36">
        <f>'Equity Schedule'!L10</f>
        <v/>
      </c>
      <c r="M30" s="36">
        <f>'Equity Schedule'!M10</f>
        <v/>
      </c>
      <c r="N30" s="36">
        <f>'Equity Schedule'!N10</f>
        <v/>
      </c>
      <c r="O30" s="36">
        <f>'Equity Schedule'!O10</f>
        <v/>
      </c>
    </row>
    <row r="31">
      <c r="A31" s="6" t="inlineStr">
        <is>
          <t>Borrowings (incl. leases)</t>
        </is>
      </c>
      <c r="H31" s="36">
        <f>'Historical Financial Statements'!H28</f>
        <v/>
      </c>
      <c r="I31" s="36">
        <f>'Debt Schedule'!I9</f>
        <v/>
      </c>
      <c r="J31" s="36">
        <f>'Debt Schedule'!J9</f>
        <v/>
      </c>
      <c r="K31" s="36">
        <f>'Debt Schedule'!K9</f>
        <v/>
      </c>
      <c r="L31" s="36">
        <f>'Debt Schedule'!L9</f>
        <v/>
      </c>
      <c r="M31" s="36">
        <f>'Debt Schedule'!M9</f>
        <v/>
      </c>
      <c r="N31" s="36">
        <f>'Debt Schedule'!N9</f>
        <v/>
      </c>
      <c r="O31" s="36">
        <f>'Debt Schedule'!O9</f>
        <v/>
      </c>
    </row>
    <row r="32">
      <c r="A32" s="6" t="inlineStr">
        <is>
          <t xml:space="preserve">   Trade payables</t>
        </is>
      </c>
      <c r="H32" s="36">
        <f>'Working Capital Schedule'!H13</f>
        <v/>
      </c>
      <c r="I32" s="36">
        <f>'Working Capital Schedule'!I13</f>
        <v/>
      </c>
      <c r="J32" s="36">
        <f>'Working Capital Schedule'!J13</f>
        <v/>
      </c>
      <c r="K32" s="36">
        <f>'Working Capital Schedule'!K13</f>
        <v/>
      </c>
      <c r="L32" s="36">
        <f>'Working Capital Schedule'!L13</f>
        <v/>
      </c>
      <c r="M32" s="36">
        <f>'Working Capital Schedule'!M13</f>
        <v/>
      </c>
      <c r="N32" s="36">
        <f>'Working Capital Schedule'!N13</f>
        <v/>
      </c>
      <c r="O32" s="36">
        <f>'Working Capital Schedule'!O13</f>
        <v/>
      </c>
    </row>
    <row r="33">
      <c r="A33" s="6" t="inlineStr">
        <is>
          <t xml:space="preserve">   Contract liabilities / advances</t>
        </is>
      </c>
      <c r="H33" s="36">
        <f>'Working Capital Schedule'!H14</f>
        <v/>
      </c>
      <c r="I33" s="36">
        <f>'Working Capital Schedule'!I14</f>
        <v/>
      </c>
      <c r="J33" s="36">
        <f>'Working Capital Schedule'!J14</f>
        <v/>
      </c>
      <c r="K33" s="36">
        <f>'Working Capital Schedule'!K14</f>
        <v/>
      </c>
      <c r="L33" s="36">
        <f>'Working Capital Schedule'!L14</f>
        <v/>
      </c>
      <c r="M33" s="36">
        <f>'Working Capital Schedule'!M14</f>
        <v/>
      </c>
      <c r="N33" s="36">
        <f>'Working Capital Schedule'!N14</f>
        <v/>
      </c>
      <c r="O33" s="36">
        <f>'Working Capital Schedule'!O14</f>
        <v/>
      </c>
    </row>
    <row r="34">
      <c r="A34" s="6" t="inlineStr">
        <is>
          <t xml:space="preserve">   Provisions &amp; other liabilities</t>
        </is>
      </c>
      <c r="H34" s="36">
        <f>'Working Capital Schedule'!H15</f>
        <v/>
      </c>
      <c r="I34" s="36">
        <f>'Working Capital Schedule'!I15</f>
        <v/>
      </c>
      <c r="J34" s="36">
        <f>'Working Capital Schedule'!J15</f>
        <v/>
      </c>
      <c r="K34" s="36">
        <f>'Working Capital Schedule'!K15</f>
        <v/>
      </c>
      <c r="L34" s="36">
        <f>'Working Capital Schedule'!L15</f>
        <v/>
      </c>
      <c r="M34" s="36">
        <f>'Working Capital Schedule'!M15</f>
        <v/>
      </c>
      <c r="N34" s="36">
        <f>'Working Capital Schedule'!N15</f>
        <v/>
      </c>
      <c r="O34" s="36">
        <f>'Working Capital Schedule'!O15</f>
        <v/>
      </c>
    </row>
    <row r="35">
      <c r="A35" s="5" t="inlineStr">
        <is>
          <t>TOTAL EQUITY &amp; LIABILITIES</t>
        </is>
      </c>
      <c r="H35" s="25">
        <f>SUM(H29:H34)</f>
        <v/>
      </c>
      <c r="I35" s="25">
        <f>SUM(I29:I34)</f>
        <v/>
      </c>
      <c r="J35" s="25">
        <f>SUM(J29:J34)</f>
        <v/>
      </c>
      <c r="K35" s="25">
        <f>SUM(K29:K34)</f>
        <v/>
      </c>
      <c r="L35" s="25">
        <f>SUM(L29:L34)</f>
        <v/>
      </c>
      <c r="M35" s="25">
        <f>SUM(M29:M34)</f>
        <v/>
      </c>
      <c r="N35" s="25">
        <f>SUM(N29:N34)</f>
        <v/>
      </c>
      <c r="O35" s="25">
        <f>SUM(O29:O34)</f>
        <v/>
      </c>
    </row>
    <row r="36">
      <c r="A36" s="5" t="inlineStr">
        <is>
          <t>Balance check (TA - TE&amp;L)</t>
        </is>
      </c>
      <c r="H36" s="23">
        <f>H28-H35</f>
        <v/>
      </c>
      <c r="I36" s="23">
        <f>I28-I35</f>
        <v/>
      </c>
      <c r="J36" s="23">
        <f>J28-J35</f>
        <v/>
      </c>
      <c r="K36" s="23">
        <f>K28-K35</f>
        <v/>
      </c>
      <c r="L36" s="23">
        <f>L28-L35</f>
        <v/>
      </c>
      <c r="M36" s="23">
        <f>M28-M35</f>
        <v/>
      </c>
      <c r="N36" s="23">
        <f>N28-N35</f>
        <v/>
      </c>
      <c r="O36" s="23">
        <f>O28-O35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FY20-25 sourced from Historical Financial Statements; FY26-33 from the integrated Forecast statements.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Growth &amp; margins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6" t="inlineStr">
        <is>
          <t>Revenue growth %</t>
        </is>
      </c>
      <c r="C6" s="29">
        <f>'Historical Financial Statements'!C5/'Historical Financial Statements'!B5-1</f>
        <v/>
      </c>
      <c r="D6" s="29">
        <f>'Historical Financial Statements'!D5/'Historical Financial Statements'!C5-1</f>
        <v/>
      </c>
      <c r="E6" s="29">
        <f>'Historical Financial Statements'!E5/'Historical Financial Statements'!D5-1</f>
        <v/>
      </c>
      <c r="F6" s="29">
        <f>'Historical Financial Statements'!F5/'Historical Financial Statements'!E5-1</f>
        <v/>
      </c>
      <c r="G6" s="29">
        <f>'Historical Financial Statements'!G5/'Historical Financial Statements'!F5-1</f>
        <v/>
      </c>
      <c r="H6" s="29">
        <f>'Forecast Financial Statements'!H5/'Historical Financial Statements'!G5-1</f>
        <v/>
      </c>
      <c r="I6" s="29">
        <f>'Forecast Financial Statements'!I5/'Forecast Financial Statements'!H5-1</f>
        <v/>
      </c>
      <c r="J6" s="29">
        <f>'Forecast Financial Statements'!J5/'Forecast Financial Statements'!I5-1</f>
        <v/>
      </c>
      <c r="K6" s="29">
        <f>'Forecast Financial Statements'!K5/'Forecast Financial Statements'!J5-1</f>
        <v/>
      </c>
      <c r="L6" s="29">
        <f>'Forecast Financial Statements'!L5/'Forecast Financial Statements'!K5-1</f>
        <v/>
      </c>
      <c r="M6" s="29">
        <f>'Forecast Financial Statements'!M5/'Forecast Financial Statements'!L5-1</f>
        <v/>
      </c>
      <c r="N6" s="29">
        <f>'Forecast Financial Statements'!N5/'Forecast Financial Statements'!M5-1</f>
        <v/>
      </c>
      <c r="O6" s="29">
        <f>'Forecast Financial Statements'!O5/'Forecast Financial Statements'!N5-1</f>
        <v/>
      </c>
    </row>
    <row r="7">
      <c r="A7" s="6" t="inlineStr">
        <is>
          <t>EBITDA margin %</t>
        </is>
      </c>
      <c r="B7" s="29">
        <f>'Historical Financial Statements'!B8/'Historical Financial Statements'!B5</f>
        <v/>
      </c>
      <c r="C7" s="29">
        <f>'Historical Financial Statements'!C8/'Historical Financial Statements'!C5</f>
        <v/>
      </c>
      <c r="D7" s="29">
        <f>'Historical Financial Statements'!D8/'Historical Financial Statements'!D5</f>
        <v/>
      </c>
      <c r="E7" s="29">
        <f>'Historical Financial Statements'!E8/'Historical Financial Statements'!E5</f>
        <v/>
      </c>
      <c r="F7" s="29">
        <f>'Historical Financial Statements'!F8/'Historical Financial Statements'!F5</f>
        <v/>
      </c>
      <c r="G7" s="29">
        <f>'Historical Financial Statements'!G8/'Historical Financial Statements'!G5</f>
        <v/>
      </c>
      <c r="H7" s="29">
        <f>'Forecast Financial Statements'!H8/'Forecast Financial Statements'!H5</f>
        <v/>
      </c>
      <c r="I7" s="29">
        <f>'Forecast Financial Statements'!I8/'Forecast Financial Statements'!I5</f>
        <v/>
      </c>
      <c r="J7" s="29">
        <f>'Forecast Financial Statements'!J8/'Forecast Financial Statements'!J5</f>
        <v/>
      </c>
      <c r="K7" s="29">
        <f>'Forecast Financial Statements'!K8/'Forecast Financial Statements'!K5</f>
        <v/>
      </c>
      <c r="L7" s="29">
        <f>'Forecast Financial Statements'!L8/'Forecast Financial Statements'!L5</f>
        <v/>
      </c>
      <c r="M7" s="29">
        <f>'Forecast Financial Statements'!M8/'Forecast Financial Statements'!M5</f>
        <v/>
      </c>
      <c r="N7" s="29">
        <f>'Forecast Financial Statements'!N8/'Forecast Financial Statements'!N5</f>
        <v/>
      </c>
      <c r="O7" s="29">
        <f>'Forecast Financial Statements'!O8/'Forecast Financial Statements'!O5</f>
        <v/>
      </c>
    </row>
    <row r="8">
      <c r="A8" s="6" t="inlineStr">
        <is>
          <t>EBIT margin %</t>
        </is>
      </c>
      <c r="B8" s="29">
        <f>'Historical Financial Statements'!B10/'Historical Financial Statements'!B5</f>
        <v/>
      </c>
      <c r="C8" s="29">
        <f>'Historical Financial Statements'!C10/'Historical Financial Statements'!C5</f>
        <v/>
      </c>
      <c r="D8" s="29">
        <f>'Historical Financial Statements'!D10/'Historical Financial Statements'!D5</f>
        <v/>
      </c>
      <c r="E8" s="29">
        <f>'Historical Financial Statements'!E10/'Historical Financial Statements'!E5</f>
        <v/>
      </c>
      <c r="F8" s="29">
        <f>'Historical Financial Statements'!F10/'Historical Financial Statements'!F5</f>
        <v/>
      </c>
      <c r="G8" s="29">
        <f>'Historical Financial Statements'!G10/'Historical Financial Statements'!G5</f>
        <v/>
      </c>
      <c r="H8" s="29">
        <f>'Forecast Financial Statements'!H10/'Forecast Financial Statements'!H5</f>
        <v/>
      </c>
      <c r="I8" s="29">
        <f>'Forecast Financial Statements'!I10/'Forecast Financial Statements'!I5</f>
        <v/>
      </c>
      <c r="J8" s="29">
        <f>'Forecast Financial Statements'!J10/'Forecast Financial Statements'!J5</f>
        <v/>
      </c>
      <c r="K8" s="29">
        <f>'Forecast Financial Statements'!K10/'Forecast Financial Statements'!K5</f>
        <v/>
      </c>
      <c r="L8" s="29">
        <f>'Forecast Financial Statements'!L10/'Forecast Financial Statements'!L5</f>
        <v/>
      </c>
      <c r="M8" s="29">
        <f>'Forecast Financial Statements'!M10/'Forecast Financial Statements'!M5</f>
        <v/>
      </c>
      <c r="N8" s="29">
        <f>'Forecast Financial Statements'!N10/'Forecast Financial Statements'!N5</f>
        <v/>
      </c>
      <c r="O8" s="29">
        <f>'Forecast Financial Statements'!O10/'Forecast Financial Statements'!O5</f>
        <v/>
      </c>
    </row>
    <row r="9">
      <c r="A9" s="6" t="inlineStr">
        <is>
          <t>PAT margin %</t>
        </is>
      </c>
      <c r="B9" s="29">
        <f>'Historical Financial Statements'!B14/'Historical Financial Statements'!B5</f>
        <v/>
      </c>
      <c r="C9" s="29">
        <f>'Historical Financial Statements'!C14/'Historical Financial Statements'!C5</f>
        <v/>
      </c>
      <c r="D9" s="29">
        <f>'Historical Financial Statements'!D14/'Historical Financial Statements'!D5</f>
        <v/>
      </c>
      <c r="E9" s="29">
        <f>'Historical Financial Statements'!E14/'Historical Financial Statements'!E5</f>
        <v/>
      </c>
      <c r="F9" s="29">
        <f>'Historical Financial Statements'!F14/'Historical Financial Statements'!F5</f>
        <v/>
      </c>
      <c r="G9" s="29">
        <f>'Historical Financial Statements'!G14/'Historical Financial Statements'!G5</f>
        <v/>
      </c>
      <c r="H9" s="29">
        <f>'Forecast Financial Statements'!H14/'Forecast Financial Statements'!H5</f>
        <v/>
      </c>
      <c r="I9" s="29">
        <f>'Forecast Financial Statements'!I14/'Forecast Financial Statements'!I5</f>
        <v/>
      </c>
      <c r="J9" s="29">
        <f>'Forecast Financial Statements'!J14/'Forecast Financial Statements'!J5</f>
        <v/>
      </c>
      <c r="K9" s="29">
        <f>'Forecast Financial Statements'!K14/'Forecast Financial Statements'!K5</f>
        <v/>
      </c>
      <c r="L9" s="29">
        <f>'Forecast Financial Statements'!L14/'Forecast Financial Statements'!L5</f>
        <v/>
      </c>
      <c r="M9" s="29">
        <f>'Forecast Financial Statements'!M14/'Forecast Financial Statements'!M5</f>
        <v/>
      </c>
      <c r="N9" s="29">
        <f>'Forecast Financial Statements'!N14/'Forecast Financial Statements'!N5</f>
        <v/>
      </c>
      <c r="O9" s="29">
        <f>'Forecast Financial Statements'!O14/'Forecast Financial Statements'!O5</f>
        <v/>
      </c>
    </row>
    <row r="11">
      <c r="A11" s="11" t="inlineStr">
        <is>
          <t>Returns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6" t="inlineStr">
        <is>
          <t>ROE %</t>
        </is>
      </c>
      <c r="C12" s="29">
        <f>'Historical Financial Statements'!C14/((('Historical Financial Statements'!C26+'Historical Financial Statements'!C27)+('Historical Financial Statements'!B26+'Historical Financial Statements'!B27))/2)</f>
        <v/>
      </c>
      <c r="D12" s="29">
        <f>'Historical Financial Statements'!D14/((('Historical Financial Statements'!D26+'Historical Financial Statements'!D27)+('Historical Financial Statements'!C26+'Historical Financial Statements'!C27))/2)</f>
        <v/>
      </c>
      <c r="E12" s="29">
        <f>'Historical Financial Statements'!E14/((('Historical Financial Statements'!E26+'Historical Financial Statements'!E27)+('Historical Financial Statements'!D26+'Historical Financial Statements'!D27))/2)</f>
        <v/>
      </c>
      <c r="F12" s="29">
        <f>'Historical Financial Statements'!F14/((('Historical Financial Statements'!F26+'Historical Financial Statements'!F27)+('Historical Financial Statements'!E26+'Historical Financial Statements'!E27))/2)</f>
        <v/>
      </c>
      <c r="G12" s="29">
        <f>'Historical Financial Statements'!G14/((('Historical Financial Statements'!G26+'Historical Financial Statements'!G27)+('Historical Financial Statements'!F26+'Historical Financial Statements'!F27))/2)</f>
        <v/>
      </c>
      <c r="H12" s="29">
        <f>'Forecast Financial Statements'!H14/((('Forecast Financial Statements'!H29+'Forecast Financial Statements'!H30)+('Historical Financial Statements'!G26+'Historical Financial Statements'!G27))/2)</f>
        <v/>
      </c>
      <c r="I12" s="29">
        <f>'Forecast Financial Statements'!I14/((('Forecast Financial Statements'!I29+'Forecast Financial Statements'!I30)+('Forecast Financial Statements'!H29+'Forecast Financial Statements'!H30))/2)</f>
        <v/>
      </c>
      <c r="J12" s="29">
        <f>'Forecast Financial Statements'!J14/((('Forecast Financial Statements'!J29+'Forecast Financial Statements'!J30)+('Forecast Financial Statements'!I29+'Forecast Financial Statements'!I30))/2)</f>
        <v/>
      </c>
      <c r="K12" s="29">
        <f>'Forecast Financial Statements'!K14/((('Forecast Financial Statements'!K29+'Forecast Financial Statements'!K30)+('Forecast Financial Statements'!J29+'Forecast Financial Statements'!J30))/2)</f>
        <v/>
      </c>
      <c r="L12" s="29">
        <f>'Forecast Financial Statements'!L14/((('Forecast Financial Statements'!L29+'Forecast Financial Statements'!L30)+('Forecast Financial Statements'!K29+'Forecast Financial Statements'!K30))/2)</f>
        <v/>
      </c>
      <c r="M12" s="29">
        <f>'Forecast Financial Statements'!M14/((('Forecast Financial Statements'!M29+'Forecast Financial Statements'!M30)+('Forecast Financial Statements'!L29+'Forecast Financial Statements'!L30))/2)</f>
        <v/>
      </c>
      <c r="N12" s="29">
        <f>'Forecast Financial Statements'!N14/((('Forecast Financial Statements'!N29+'Forecast Financial Statements'!N30)+('Forecast Financial Statements'!M29+'Forecast Financial Statements'!M30))/2)</f>
        <v/>
      </c>
      <c r="O12" s="29">
        <f>'Forecast Financial Statements'!O14/((('Forecast Financial Statements'!O29+'Forecast Financial Statements'!O30)+('Forecast Financial Statements'!N29+'Forecast Financial Statements'!N30))/2)</f>
        <v/>
      </c>
    </row>
    <row r="13">
      <c r="A13" s="6" t="inlineStr">
        <is>
          <t>ROCE %</t>
        </is>
      </c>
      <c r="B13" s="29">
        <f>'Historical Financial Statements'!B10/(('Historical Financial Statements'!B26+'Historical Financial Statements'!B27)+'Historical Financial Statements'!B28)</f>
        <v/>
      </c>
      <c r="C13" s="29">
        <f>'Historical Financial Statements'!C10/(('Historical Financial Statements'!C26+'Historical Financial Statements'!C27)+'Historical Financial Statements'!C28)</f>
        <v/>
      </c>
      <c r="D13" s="29">
        <f>'Historical Financial Statements'!D10/(('Historical Financial Statements'!D26+'Historical Financial Statements'!D27)+'Historical Financial Statements'!D28)</f>
        <v/>
      </c>
      <c r="E13" s="29">
        <f>'Historical Financial Statements'!E10/(('Historical Financial Statements'!E26+'Historical Financial Statements'!E27)+'Historical Financial Statements'!E28)</f>
        <v/>
      </c>
      <c r="F13" s="29">
        <f>'Historical Financial Statements'!F10/(('Historical Financial Statements'!F26+'Historical Financial Statements'!F27)+'Historical Financial Statements'!F28)</f>
        <v/>
      </c>
      <c r="G13" s="29">
        <f>'Historical Financial Statements'!G10/(('Historical Financial Statements'!G26+'Historical Financial Statements'!G27)+'Historical Financial Statements'!G28)</f>
        <v/>
      </c>
      <c r="H13" s="29">
        <f>'Forecast Financial Statements'!H10/(('Forecast Financial Statements'!H29+'Forecast Financial Statements'!H30)+'Forecast Financial Statements'!H31)</f>
        <v/>
      </c>
      <c r="I13" s="29">
        <f>'Forecast Financial Statements'!I10/(('Forecast Financial Statements'!I29+'Forecast Financial Statements'!I30)+'Forecast Financial Statements'!I31)</f>
        <v/>
      </c>
      <c r="J13" s="29">
        <f>'Forecast Financial Statements'!J10/(('Forecast Financial Statements'!J29+'Forecast Financial Statements'!J30)+'Forecast Financial Statements'!J31)</f>
        <v/>
      </c>
      <c r="K13" s="29">
        <f>'Forecast Financial Statements'!K10/(('Forecast Financial Statements'!K29+'Forecast Financial Statements'!K30)+'Forecast Financial Statements'!K31)</f>
        <v/>
      </c>
      <c r="L13" s="29">
        <f>'Forecast Financial Statements'!L10/(('Forecast Financial Statements'!L29+'Forecast Financial Statements'!L30)+'Forecast Financial Statements'!L31)</f>
        <v/>
      </c>
      <c r="M13" s="29">
        <f>'Forecast Financial Statements'!M10/(('Forecast Financial Statements'!M29+'Forecast Financial Statements'!M30)+'Forecast Financial Statements'!M31)</f>
        <v/>
      </c>
      <c r="N13" s="29">
        <f>'Forecast Financial Statements'!N10/(('Forecast Financial Statements'!N29+'Forecast Financial Statements'!N30)+'Forecast Financial Statements'!N31)</f>
        <v/>
      </c>
      <c r="O13" s="29">
        <f>'Forecast Financial Statements'!O10/(('Forecast Financial Statements'!O29+'Forecast Financial Statements'!O30)+'Forecast Financial Statements'!O31)</f>
        <v/>
      </c>
    </row>
    <row r="14">
      <c r="A14" s="6" t="inlineStr">
        <is>
          <t>ROA %</t>
        </is>
      </c>
      <c r="B14" s="29">
        <f>'Historical Financial Statements'!B14/'Historical Financial Statements'!B25</f>
        <v/>
      </c>
      <c r="C14" s="29">
        <f>'Historical Financial Statements'!C14/'Historical Financial Statements'!C25</f>
        <v/>
      </c>
      <c r="D14" s="29">
        <f>'Historical Financial Statements'!D14/'Historical Financial Statements'!D25</f>
        <v/>
      </c>
      <c r="E14" s="29">
        <f>'Historical Financial Statements'!E14/'Historical Financial Statements'!E25</f>
        <v/>
      </c>
      <c r="F14" s="29">
        <f>'Historical Financial Statements'!F14/'Historical Financial Statements'!F25</f>
        <v/>
      </c>
      <c r="G14" s="29">
        <f>'Historical Financial Statements'!G14/'Historical Financial Statements'!G25</f>
        <v/>
      </c>
      <c r="H14" s="29">
        <f>'Forecast Financial Statements'!H14/'Forecast Financial Statements'!H28</f>
        <v/>
      </c>
      <c r="I14" s="29">
        <f>'Forecast Financial Statements'!I14/'Forecast Financial Statements'!I28</f>
        <v/>
      </c>
      <c r="J14" s="29">
        <f>'Forecast Financial Statements'!J14/'Forecast Financial Statements'!J28</f>
        <v/>
      </c>
      <c r="K14" s="29">
        <f>'Forecast Financial Statements'!K14/'Forecast Financial Statements'!K28</f>
        <v/>
      </c>
      <c r="L14" s="29">
        <f>'Forecast Financial Statements'!L14/'Forecast Financial Statements'!L28</f>
        <v/>
      </c>
      <c r="M14" s="29">
        <f>'Forecast Financial Statements'!M14/'Forecast Financial Statements'!M28</f>
        <v/>
      </c>
      <c r="N14" s="29">
        <f>'Forecast Financial Statements'!N14/'Forecast Financial Statements'!N28</f>
        <v/>
      </c>
      <c r="O14" s="29">
        <f>'Forecast Financial Statements'!O14/'Forecast Financial Statements'!O28</f>
        <v/>
      </c>
    </row>
    <row r="15">
      <c r="A15" s="6" t="inlineStr">
        <is>
          <t>Asset turnover (x)</t>
        </is>
      </c>
      <c r="B15" s="30">
        <f>'Historical Financial Statements'!B5/'Historical Financial Statements'!B25</f>
        <v/>
      </c>
      <c r="C15" s="30">
        <f>'Historical Financial Statements'!C5/'Historical Financial Statements'!C25</f>
        <v/>
      </c>
      <c r="D15" s="30">
        <f>'Historical Financial Statements'!D5/'Historical Financial Statements'!D25</f>
        <v/>
      </c>
      <c r="E15" s="30">
        <f>'Historical Financial Statements'!E5/'Historical Financial Statements'!E25</f>
        <v/>
      </c>
      <c r="F15" s="30">
        <f>'Historical Financial Statements'!F5/'Historical Financial Statements'!F25</f>
        <v/>
      </c>
      <c r="G15" s="30">
        <f>'Historical Financial Statements'!G5/'Historical Financial Statements'!G25</f>
        <v/>
      </c>
      <c r="H15" s="30">
        <f>'Forecast Financial Statements'!H5/'Forecast Financial Statements'!H28</f>
        <v/>
      </c>
      <c r="I15" s="30">
        <f>'Forecast Financial Statements'!I5/'Forecast Financial Statements'!I28</f>
        <v/>
      </c>
      <c r="J15" s="30">
        <f>'Forecast Financial Statements'!J5/'Forecast Financial Statements'!J28</f>
        <v/>
      </c>
      <c r="K15" s="30">
        <f>'Forecast Financial Statements'!K5/'Forecast Financial Statements'!K28</f>
        <v/>
      </c>
      <c r="L15" s="30">
        <f>'Forecast Financial Statements'!L5/'Forecast Financial Statements'!L28</f>
        <v/>
      </c>
      <c r="M15" s="30">
        <f>'Forecast Financial Statements'!M5/'Forecast Financial Statements'!M28</f>
        <v/>
      </c>
      <c r="N15" s="30">
        <f>'Forecast Financial Statements'!N5/'Forecast Financial Statements'!N28</f>
        <v/>
      </c>
      <c r="O15" s="30">
        <f>'Forecast Financial Statements'!O5/'Forecast Financial Statements'!O28</f>
        <v/>
      </c>
    </row>
    <row r="17">
      <c r="A17" s="11" t="inlineStr">
        <is>
          <t>Leverage &amp; coverage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6" t="inlineStr">
        <is>
          <t>Debt / equity (x)</t>
        </is>
      </c>
      <c r="B18" s="30">
        <f>'Historical Financial Statements'!B28/('Historical Financial Statements'!B26+'Historical Financial Statements'!B27)</f>
        <v/>
      </c>
      <c r="C18" s="30">
        <f>'Historical Financial Statements'!C28/('Historical Financial Statements'!C26+'Historical Financial Statements'!C27)</f>
        <v/>
      </c>
      <c r="D18" s="30">
        <f>'Historical Financial Statements'!D28/('Historical Financial Statements'!D26+'Historical Financial Statements'!D27)</f>
        <v/>
      </c>
      <c r="E18" s="30">
        <f>'Historical Financial Statements'!E28/('Historical Financial Statements'!E26+'Historical Financial Statements'!E27)</f>
        <v/>
      </c>
      <c r="F18" s="30">
        <f>'Historical Financial Statements'!F28/('Historical Financial Statements'!F26+'Historical Financial Statements'!F27)</f>
        <v/>
      </c>
      <c r="G18" s="30">
        <f>'Historical Financial Statements'!G28/('Historical Financial Statements'!G26+'Historical Financial Statements'!G27)</f>
        <v/>
      </c>
      <c r="H18" s="30">
        <f>'Forecast Financial Statements'!H31/('Forecast Financial Statements'!H29+'Forecast Financial Statements'!H30)</f>
        <v/>
      </c>
      <c r="I18" s="30">
        <f>'Forecast Financial Statements'!I31/('Forecast Financial Statements'!I29+'Forecast Financial Statements'!I30)</f>
        <v/>
      </c>
      <c r="J18" s="30">
        <f>'Forecast Financial Statements'!J31/('Forecast Financial Statements'!J29+'Forecast Financial Statements'!J30)</f>
        <v/>
      </c>
      <c r="K18" s="30">
        <f>'Forecast Financial Statements'!K31/('Forecast Financial Statements'!K29+'Forecast Financial Statements'!K30)</f>
        <v/>
      </c>
      <c r="L18" s="30">
        <f>'Forecast Financial Statements'!L31/('Forecast Financial Statements'!L29+'Forecast Financial Statements'!L30)</f>
        <v/>
      </c>
      <c r="M18" s="30">
        <f>'Forecast Financial Statements'!M31/('Forecast Financial Statements'!M29+'Forecast Financial Statements'!M30)</f>
        <v/>
      </c>
      <c r="N18" s="30">
        <f>'Forecast Financial Statements'!N31/('Forecast Financial Statements'!N29+'Forecast Financial Statements'!N30)</f>
        <v/>
      </c>
      <c r="O18" s="30">
        <f>'Forecast Financial Statements'!O31/('Forecast Financial Statements'!O29+'Forecast Financial Statements'!O30)</f>
        <v/>
      </c>
    </row>
    <row r="19">
      <c r="A19" s="6" t="inlineStr">
        <is>
          <t>Interest coverage (x)</t>
        </is>
      </c>
      <c r="B19" s="30">
        <f>'Historical Financial Statements'!B10/'Historical Financial Statements'!B11</f>
        <v/>
      </c>
      <c r="C19" s="30">
        <f>'Historical Financial Statements'!C10/'Historical Financial Statements'!C11</f>
        <v/>
      </c>
      <c r="D19" s="30">
        <f>'Historical Financial Statements'!D10/'Historical Financial Statements'!D11</f>
        <v/>
      </c>
      <c r="E19" s="30">
        <f>'Historical Financial Statements'!E10/'Historical Financial Statements'!E11</f>
        <v/>
      </c>
      <c r="F19" s="30">
        <f>'Historical Financial Statements'!F10/'Historical Financial Statements'!F11</f>
        <v/>
      </c>
      <c r="G19" s="30">
        <f>'Historical Financial Statements'!G10/'Historical Financial Statements'!G11</f>
        <v/>
      </c>
      <c r="H19" s="30">
        <f>'Forecast Financial Statements'!H10/'Forecast Financial Statements'!H11</f>
        <v/>
      </c>
      <c r="I19" s="30">
        <f>'Forecast Financial Statements'!I10/'Forecast Financial Statements'!I11</f>
        <v/>
      </c>
      <c r="J19" s="30">
        <f>'Forecast Financial Statements'!J10/'Forecast Financial Statements'!J11</f>
        <v/>
      </c>
      <c r="K19" s="30">
        <f>'Forecast Financial Statements'!K10/'Forecast Financial Statements'!K11</f>
        <v/>
      </c>
      <c r="L19" s="30">
        <f>'Forecast Financial Statements'!L10/'Forecast Financial Statements'!L11</f>
        <v/>
      </c>
      <c r="M19" s="30">
        <f>'Forecast Financial Statements'!M10/'Forecast Financial Statements'!M11</f>
        <v/>
      </c>
      <c r="N19" s="30">
        <f>'Forecast Financial Statements'!N10/'Forecast Financial Statements'!N11</f>
        <v/>
      </c>
      <c r="O19" s="30">
        <f>'Forecast Financial Statements'!O10/'Forecast Financial Statements'!O11</f>
        <v/>
      </c>
    </row>
    <row r="20">
      <c r="A20" s="6" t="inlineStr">
        <is>
          <t>Net debt / EBITDA (x)</t>
        </is>
      </c>
      <c r="H20" s="30">
        <f>('Forecast Financial Statements'!H31-'Forecast Financial Statements'!H26)/'Forecast Financial Statements'!H8</f>
        <v/>
      </c>
      <c r="I20" s="30">
        <f>('Forecast Financial Statements'!I31-'Forecast Financial Statements'!I26)/'Forecast Financial Statements'!I8</f>
        <v/>
      </c>
      <c r="J20" s="30">
        <f>('Forecast Financial Statements'!J31-'Forecast Financial Statements'!J26)/'Forecast Financial Statements'!J8</f>
        <v/>
      </c>
      <c r="K20" s="30">
        <f>('Forecast Financial Statements'!K31-'Forecast Financial Statements'!K26)/'Forecast Financial Statements'!K8</f>
        <v/>
      </c>
      <c r="L20" s="30">
        <f>('Forecast Financial Statements'!L31-'Forecast Financial Statements'!L26)/'Forecast Financial Statements'!L8</f>
        <v/>
      </c>
      <c r="M20" s="30">
        <f>('Forecast Financial Statements'!M31-'Forecast Financial Statements'!M26)/'Forecast Financial Statements'!M8</f>
        <v/>
      </c>
      <c r="N20" s="30">
        <f>('Forecast Financial Statements'!N31-'Forecast Financial Statements'!N26)/'Forecast Financial Statements'!N8</f>
        <v/>
      </c>
      <c r="O20" s="30">
        <f>('Forecast Financial Statements'!O31-'Forecast Financial Statements'!O26)/'Forecast Financial Statements'!O8</f>
        <v/>
      </c>
    </row>
    <row r="22">
      <c r="A22" s="11" t="inlineStr">
        <is>
          <t>Per share &amp; payout</t>
        </is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A23" s="6" t="inlineStr">
        <is>
          <t>EPS (INR)</t>
        </is>
      </c>
      <c r="B23" s="41">
        <f>'Historical Financial Statements'!B15</f>
        <v/>
      </c>
      <c r="C23" s="41">
        <f>'Historical Financial Statements'!C15</f>
        <v/>
      </c>
      <c r="D23" s="41">
        <f>'Historical Financial Statements'!D15</f>
        <v/>
      </c>
      <c r="E23" s="41">
        <f>'Historical Financial Statements'!E15</f>
        <v/>
      </c>
      <c r="F23" s="41">
        <f>'Historical Financial Statements'!F15</f>
        <v/>
      </c>
      <c r="G23" s="41">
        <f>'Historical Financial Statements'!G15</f>
        <v/>
      </c>
      <c r="H23" s="41">
        <f>'Forecast Financial Statements'!H15</f>
        <v/>
      </c>
      <c r="I23" s="41">
        <f>'Forecast Financial Statements'!I15</f>
        <v/>
      </c>
      <c r="J23" s="41">
        <f>'Forecast Financial Statements'!J15</f>
        <v/>
      </c>
      <c r="K23" s="41">
        <f>'Forecast Financial Statements'!K15</f>
        <v/>
      </c>
      <c r="L23" s="41">
        <f>'Forecast Financial Statements'!L15</f>
        <v/>
      </c>
      <c r="M23" s="41">
        <f>'Forecast Financial Statements'!M15</f>
        <v/>
      </c>
      <c r="N23" s="41">
        <f>'Forecast Financial Statements'!N15</f>
        <v/>
      </c>
      <c r="O23" s="41">
        <f>'Forecast Financial Statements'!O15</f>
        <v/>
      </c>
    </row>
    <row r="24">
      <c r="A24" s="6" t="inlineStr">
        <is>
          <t>DPS (INR)</t>
        </is>
      </c>
      <c r="B24" s="41">
        <f>'Historical Financial Statements'!B16/'Assumptions'!C40</f>
        <v/>
      </c>
      <c r="C24" s="41">
        <f>'Historical Financial Statements'!C16/'Assumptions'!C40</f>
        <v/>
      </c>
      <c r="D24" s="41">
        <f>'Historical Financial Statements'!D16/'Assumptions'!C40</f>
        <v/>
      </c>
      <c r="E24" s="41">
        <f>'Historical Financial Statements'!E16/'Assumptions'!C40</f>
        <v/>
      </c>
      <c r="F24" s="41">
        <f>'Historical Financial Statements'!F16/'Assumptions'!C40</f>
        <v/>
      </c>
      <c r="G24" s="41">
        <f>'Historical Financial Statements'!G16/'Assumptions'!C40</f>
        <v/>
      </c>
      <c r="H24" s="41">
        <f>'Forecast Financial Statements'!H16/'Assumptions'!C40</f>
        <v/>
      </c>
      <c r="I24" s="41">
        <f>'Forecast Financial Statements'!I16/'Assumptions'!C40</f>
        <v/>
      </c>
      <c r="J24" s="41">
        <f>'Forecast Financial Statements'!J16/'Assumptions'!C40</f>
        <v/>
      </c>
      <c r="K24" s="41">
        <f>'Forecast Financial Statements'!K16/'Assumptions'!C40</f>
        <v/>
      </c>
      <c r="L24" s="41">
        <f>'Forecast Financial Statements'!L16/'Assumptions'!C40</f>
        <v/>
      </c>
      <c r="M24" s="41">
        <f>'Forecast Financial Statements'!M16/'Assumptions'!C40</f>
        <v/>
      </c>
      <c r="N24" s="41">
        <f>'Forecast Financial Statements'!N16/'Assumptions'!C40</f>
        <v/>
      </c>
      <c r="O24" s="41">
        <f>'Forecast Financial Statements'!O16/'Assumptions'!C40</f>
        <v/>
      </c>
    </row>
    <row r="25">
      <c r="A25" s="6" t="inlineStr">
        <is>
          <t>Dividend payout %</t>
        </is>
      </c>
      <c r="B25" s="29">
        <f>IF('Historical Financial Statements'!B14=0,0,'Historical Financial Statements'!B16/'Historical Financial Statements'!B14)</f>
        <v/>
      </c>
      <c r="C25" s="29">
        <f>IF('Historical Financial Statements'!C14=0,0,'Historical Financial Statements'!C16/'Historical Financial Statements'!C14)</f>
        <v/>
      </c>
      <c r="D25" s="29">
        <f>IF('Historical Financial Statements'!D14=0,0,'Historical Financial Statements'!D16/'Historical Financial Statements'!D14)</f>
        <v/>
      </c>
      <c r="E25" s="29">
        <f>IF('Historical Financial Statements'!E14=0,0,'Historical Financial Statements'!E16/'Historical Financial Statements'!E14)</f>
        <v/>
      </c>
      <c r="F25" s="29">
        <f>IF('Historical Financial Statements'!F14=0,0,'Historical Financial Statements'!F16/'Historical Financial Statements'!F14)</f>
        <v/>
      </c>
      <c r="G25" s="29">
        <f>IF('Historical Financial Statements'!G14=0,0,'Historical Financial Statements'!G16/'Historical Financial Statements'!G14)</f>
        <v/>
      </c>
      <c r="H25" s="29">
        <f>IF('Forecast Financial Statements'!H14=0,0,'Forecast Financial Statements'!H16/'Forecast Financial Statements'!H14)</f>
        <v/>
      </c>
      <c r="I25" s="29">
        <f>IF('Forecast Financial Statements'!I14=0,0,'Forecast Financial Statements'!I16/'Forecast Financial Statements'!I14)</f>
        <v/>
      </c>
      <c r="J25" s="29">
        <f>IF('Forecast Financial Statements'!J14=0,0,'Forecast Financial Statements'!J16/'Forecast Financial Statements'!J14)</f>
        <v/>
      </c>
      <c r="K25" s="29">
        <f>IF('Forecast Financial Statements'!K14=0,0,'Forecast Financial Statements'!K16/'Forecast Financial Statements'!K14)</f>
        <v/>
      </c>
      <c r="L25" s="29">
        <f>IF('Forecast Financial Statements'!L14=0,0,'Forecast Financial Statements'!L16/'Forecast Financial Statements'!L14)</f>
        <v/>
      </c>
      <c r="M25" s="29">
        <f>IF('Forecast Financial Statements'!M14=0,0,'Forecast Financial Statements'!M16/'Forecast Financial Statements'!M14)</f>
        <v/>
      </c>
      <c r="N25" s="29">
        <f>IF('Forecast Financial Statements'!N14=0,0,'Forecast Financial Statements'!N16/'Forecast Financial Statements'!N14)</f>
        <v/>
      </c>
      <c r="O25" s="29">
        <f>IF('Forecast Financial Statements'!O14=0,0,'Forecast Financial Statements'!O16/'Forecast Financial Statements'!O14)</f>
        <v/>
      </c>
    </row>
    <row r="26">
      <c r="A26" s="6" t="inlineStr">
        <is>
          <t>Book value per share (INR)</t>
        </is>
      </c>
      <c r="B26" s="41">
        <f>('Historical Financial Statements'!B26+'Historical Financial Statements'!B27)/'Assumptions'!C40</f>
        <v/>
      </c>
      <c r="C26" s="41">
        <f>('Historical Financial Statements'!C26+'Historical Financial Statements'!C27)/'Assumptions'!C40</f>
        <v/>
      </c>
      <c r="D26" s="41">
        <f>('Historical Financial Statements'!D26+'Historical Financial Statements'!D27)/'Assumptions'!C40</f>
        <v/>
      </c>
      <c r="E26" s="41">
        <f>('Historical Financial Statements'!E26+'Historical Financial Statements'!E27)/'Assumptions'!C40</f>
        <v/>
      </c>
      <c r="F26" s="41">
        <f>('Historical Financial Statements'!F26+'Historical Financial Statements'!F27)/'Assumptions'!C40</f>
        <v/>
      </c>
      <c r="G26" s="41">
        <f>('Historical Financial Statements'!G26+'Historical Financial Statements'!G27)/'Assumptions'!C40</f>
        <v/>
      </c>
      <c r="H26" s="41">
        <f>('Forecast Financial Statements'!H29+'Forecast Financial Statements'!H30)/'Assumptions'!C40</f>
        <v/>
      </c>
      <c r="I26" s="41">
        <f>('Forecast Financial Statements'!I29+'Forecast Financial Statements'!I30)/'Assumptions'!C40</f>
        <v/>
      </c>
      <c r="J26" s="41">
        <f>('Forecast Financial Statements'!J29+'Forecast Financial Statements'!J30)/'Assumptions'!C40</f>
        <v/>
      </c>
      <c r="K26" s="41">
        <f>('Forecast Financial Statements'!K29+'Forecast Financial Statements'!K30)/'Assumptions'!C40</f>
        <v/>
      </c>
      <c r="L26" s="41">
        <f>('Forecast Financial Statements'!L29+'Forecast Financial Statements'!L30)/'Assumptions'!C40</f>
        <v/>
      </c>
      <c r="M26" s="41">
        <f>('Forecast Financial Statements'!M29+'Forecast Financial Statements'!M30)/'Assumptions'!C40</f>
        <v/>
      </c>
      <c r="N26" s="41">
        <f>('Forecast Financial Statements'!N29+'Forecast Financial Statements'!N30)/'Assumptions'!C40</f>
        <v/>
      </c>
      <c r="O26" s="41">
        <f>('Forecast Financial Statements'!O29+'Forecast Financial Statements'!O30)/'Assumptions'!C40</f>
        <v/>
      </c>
    </row>
    <row r="28">
      <c r="A28" s="11" t="inlineStr">
        <is>
          <t>Working capital &amp; cash flow (forecast)</t>
        </is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</row>
    <row r="29">
      <c r="A29" s="6" t="inlineStr">
        <is>
          <t>Receivable days</t>
        </is>
      </c>
      <c r="H29" s="42">
        <f>'Forecast Financial Statements'!H24/'Forecast Financial Statements'!H5*365</f>
        <v/>
      </c>
      <c r="I29" s="42">
        <f>'Forecast Financial Statements'!I24/'Forecast Financial Statements'!I5*365</f>
        <v/>
      </c>
      <c r="J29" s="42">
        <f>'Forecast Financial Statements'!J24/'Forecast Financial Statements'!J5*365</f>
        <v/>
      </c>
      <c r="K29" s="42">
        <f>'Forecast Financial Statements'!K24/'Forecast Financial Statements'!K5*365</f>
        <v/>
      </c>
      <c r="L29" s="42">
        <f>'Forecast Financial Statements'!L24/'Forecast Financial Statements'!L5*365</f>
        <v/>
      </c>
      <c r="M29" s="42">
        <f>'Forecast Financial Statements'!M24/'Forecast Financial Statements'!M5*365</f>
        <v/>
      </c>
      <c r="N29" s="42">
        <f>'Forecast Financial Statements'!N24/'Forecast Financial Statements'!N5*365</f>
        <v/>
      </c>
      <c r="O29" s="42">
        <f>'Forecast Financial Statements'!O24/'Forecast Financial Statements'!O5*365</f>
        <v/>
      </c>
    </row>
    <row r="30">
      <c r="A30" s="6" t="inlineStr">
        <is>
          <t>Inventory days</t>
        </is>
      </c>
      <c r="I30" s="42">
        <f>'Forecast Financial Statements'!I23/'Forecast Financial Statements'!I7*365</f>
        <v/>
      </c>
      <c r="J30" s="42">
        <f>'Forecast Financial Statements'!J23/'Forecast Financial Statements'!J7*365</f>
        <v/>
      </c>
      <c r="K30" s="42">
        <f>'Forecast Financial Statements'!K23/'Forecast Financial Statements'!K7*365</f>
        <v/>
      </c>
      <c r="L30" s="42">
        <f>'Forecast Financial Statements'!L23/'Forecast Financial Statements'!L7*365</f>
        <v/>
      </c>
      <c r="M30" s="42">
        <f>'Forecast Financial Statements'!M23/'Forecast Financial Statements'!M7*365</f>
        <v/>
      </c>
      <c r="N30" s="42">
        <f>'Forecast Financial Statements'!N23/'Forecast Financial Statements'!N7*365</f>
        <v/>
      </c>
      <c r="O30" s="42">
        <f>'Forecast Financial Statements'!O23/'Forecast Financial Statements'!O7*365</f>
        <v/>
      </c>
    </row>
    <row r="31">
      <c r="A31" s="6" t="inlineStr">
        <is>
          <t>Payable days</t>
        </is>
      </c>
      <c r="I31" s="42">
        <f>'Forecast Financial Statements'!I32/'Forecast Financial Statements'!I7*365</f>
        <v/>
      </c>
      <c r="J31" s="42">
        <f>'Forecast Financial Statements'!J32/'Forecast Financial Statements'!J7*365</f>
        <v/>
      </c>
      <c r="K31" s="42">
        <f>'Forecast Financial Statements'!K32/'Forecast Financial Statements'!K7*365</f>
        <v/>
      </c>
      <c r="L31" s="42">
        <f>'Forecast Financial Statements'!L32/'Forecast Financial Statements'!L7*365</f>
        <v/>
      </c>
      <c r="M31" s="42">
        <f>'Forecast Financial Statements'!M32/'Forecast Financial Statements'!M7*365</f>
        <v/>
      </c>
      <c r="N31" s="42">
        <f>'Forecast Financial Statements'!N32/'Forecast Financial Statements'!N7*365</f>
        <v/>
      </c>
      <c r="O31" s="42">
        <f>'Forecast Financial Statements'!O32/'Forecast Financial Statements'!O7*365</f>
        <v/>
      </c>
    </row>
    <row r="32">
      <c r="A32" s="6" t="inlineStr">
        <is>
          <t>FCFF (INR Cr)</t>
        </is>
      </c>
      <c r="I32" s="36">
        <f>'DCF Valuation'!I12</f>
        <v/>
      </c>
      <c r="J32" s="36">
        <f>'DCF Valuation'!J12</f>
        <v/>
      </c>
      <c r="K32" s="36">
        <f>'DCF Valuation'!K12</f>
        <v/>
      </c>
      <c r="L32" s="36">
        <f>'DCF Valuation'!L12</f>
        <v/>
      </c>
      <c r="M32" s="36">
        <f>'DCF Valuation'!M12</f>
        <v/>
      </c>
      <c r="N32" s="36">
        <f>'DCF Valuation'!N12</f>
        <v/>
      </c>
      <c r="O32" s="36">
        <f>'DCF Valuation'!O12</f>
        <v/>
      </c>
    </row>
    <row r="33">
      <c r="A33" s="6" t="inlineStr">
        <is>
          <t>Capex / sales %</t>
        </is>
      </c>
      <c r="I33" s="29">
        <f>'Assumptions'!I12/'Forecast Financial Statements'!I5</f>
        <v/>
      </c>
      <c r="J33" s="29">
        <f>'Assumptions'!J12/'Forecast Financial Statements'!J5</f>
        <v/>
      </c>
      <c r="K33" s="29">
        <f>'Assumptions'!K12/'Forecast Financial Statements'!K5</f>
        <v/>
      </c>
      <c r="L33" s="29">
        <f>'Assumptions'!L12/'Forecast Financial Statements'!L5</f>
        <v/>
      </c>
      <c r="M33" s="29">
        <f>'Assumptions'!M12/'Forecast Financial Statements'!M5</f>
        <v/>
      </c>
      <c r="N33" s="29">
        <f>'Assumptions'!N12/'Forecast Financial Statements'!N5</f>
        <v/>
      </c>
      <c r="O33" s="29">
        <f>'Assumptions'!O12/'Forecast Financial Statements'!O5</f>
        <v/>
      </c>
    </row>
    <row r="34">
      <c r="A34" s="6" t="inlineStr">
        <is>
          <t>FCFE (INR Cr)</t>
        </is>
      </c>
      <c r="I34" s="36">
        <f>'DCF Valuation'!I12-'Forecast Financial Statements'!I11*(1-'Assumptions'!I23)+'Debt Schedule'!I7+'Debt Schedule'!I8</f>
        <v/>
      </c>
      <c r="J34" s="36">
        <f>'DCF Valuation'!J12-'Forecast Financial Statements'!J11*(1-'Assumptions'!J23)+'Debt Schedule'!J7+'Debt Schedule'!J8</f>
        <v/>
      </c>
      <c r="K34" s="36">
        <f>'DCF Valuation'!K12-'Forecast Financial Statements'!K11*(1-'Assumptions'!K23)+'Debt Schedule'!K7+'Debt Schedule'!K8</f>
        <v/>
      </c>
      <c r="L34" s="36">
        <f>'DCF Valuation'!L12-'Forecast Financial Statements'!L11*(1-'Assumptions'!L23)+'Debt Schedule'!L7+'Debt Schedule'!L8</f>
        <v/>
      </c>
      <c r="M34" s="36">
        <f>'DCF Valuation'!M12-'Forecast Financial Statements'!M11*(1-'Assumptions'!M23)+'Debt Schedule'!M7+'Debt Schedule'!M8</f>
        <v/>
      </c>
      <c r="N34" s="36">
        <f>'DCF Valuation'!N12-'Forecast Financial Statements'!N11*(1-'Assumptions'!N23)+'Debt Schedule'!N7+'Debt Schedule'!N8</f>
        <v/>
      </c>
      <c r="O34" s="36">
        <f>'DCF Valuation'!O12-'Forecast Financial Statements'!O11*(1-'Assumptions'!O23)+'Debt Schedule'!O7+'Debt Schedule'!O8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Free Cash Flow to Firm (FCFF) valuation. WACC computed dynamically on the Assumptions sheet.</t>
        </is>
      </c>
    </row>
    <row r="4">
      <c r="A4" s="12" t="inlineStr">
        <is>
          <t>INR Crore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A.  Unlevered free cash flow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EBIT</t>
        </is>
      </c>
      <c r="I6" s="36">
        <f>'Forecast Financial Statements'!I10</f>
        <v/>
      </c>
      <c r="J6" s="36">
        <f>'Forecast Financial Statements'!J10</f>
        <v/>
      </c>
      <c r="K6" s="36">
        <f>'Forecast Financial Statements'!K10</f>
        <v/>
      </c>
      <c r="L6" s="36">
        <f>'Forecast Financial Statements'!L10</f>
        <v/>
      </c>
      <c r="M6" s="36">
        <f>'Forecast Financial Statements'!M10</f>
        <v/>
      </c>
      <c r="N6" s="36">
        <f>'Forecast Financial Statements'!N10</f>
        <v/>
      </c>
      <c r="O6" s="36">
        <f>'Forecast Financial Statements'!O10</f>
        <v/>
      </c>
    </row>
    <row r="7">
      <c r="A7" s="6" t="inlineStr">
        <is>
          <t xml:space="preserve">   Less: cash taxes on EBIT</t>
        </is>
      </c>
      <c r="I7" s="23">
        <f>-I6*'Assumptions'!I23</f>
        <v/>
      </c>
      <c r="J7" s="23">
        <f>-J6*'Assumptions'!J23</f>
        <v/>
      </c>
      <c r="K7" s="23">
        <f>-K6*'Assumptions'!K23</f>
        <v/>
      </c>
      <c r="L7" s="23">
        <f>-L6*'Assumptions'!L23</f>
        <v/>
      </c>
      <c r="M7" s="23">
        <f>-M6*'Assumptions'!M23</f>
        <v/>
      </c>
      <c r="N7" s="23">
        <f>-N6*'Assumptions'!N23</f>
        <v/>
      </c>
      <c r="O7" s="23">
        <f>-O6*'Assumptions'!O23</f>
        <v/>
      </c>
    </row>
    <row r="8">
      <c r="A8" s="5" t="inlineStr">
        <is>
          <t>NOPAT</t>
        </is>
      </c>
      <c r="I8" s="23">
        <f>I6+I7</f>
        <v/>
      </c>
      <c r="J8" s="23">
        <f>J6+J7</f>
        <v/>
      </c>
      <c r="K8" s="23">
        <f>K6+K7</f>
        <v/>
      </c>
      <c r="L8" s="23">
        <f>L6+L7</f>
        <v/>
      </c>
      <c r="M8" s="23">
        <f>M6+M7</f>
        <v/>
      </c>
      <c r="N8" s="23">
        <f>N6+N7</f>
        <v/>
      </c>
      <c r="O8" s="23">
        <f>O6+O7</f>
        <v/>
      </c>
    </row>
    <row r="9">
      <c r="A9" s="6" t="inlineStr">
        <is>
          <t xml:space="preserve">   Add: depreciation &amp; amortisation</t>
        </is>
      </c>
      <c r="I9" s="36">
        <f>'Depreciation Schedule'!I8</f>
        <v/>
      </c>
      <c r="J9" s="36">
        <f>'Depreciation Schedule'!J8</f>
        <v/>
      </c>
      <c r="K9" s="36">
        <f>'Depreciation Schedule'!K8</f>
        <v/>
      </c>
      <c r="L9" s="36">
        <f>'Depreciation Schedule'!L8</f>
        <v/>
      </c>
      <c r="M9" s="36">
        <f>'Depreciation Schedule'!M8</f>
        <v/>
      </c>
      <c r="N9" s="36">
        <f>'Depreciation Schedule'!N8</f>
        <v/>
      </c>
      <c r="O9" s="36">
        <f>'Depreciation Schedule'!O8</f>
        <v/>
      </c>
    </row>
    <row r="10">
      <c r="A10" s="6" t="inlineStr">
        <is>
          <t xml:space="preserve">   Less: capital expenditure</t>
        </is>
      </c>
      <c r="I10" s="36">
        <f>-'Assumptions'!I12</f>
        <v/>
      </c>
      <c r="J10" s="36">
        <f>-'Assumptions'!J12</f>
        <v/>
      </c>
      <c r="K10" s="36">
        <f>-'Assumptions'!K12</f>
        <v/>
      </c>
      <c r="L10" s="36">
        <f>-'Assumptions'!L12</f>
        <v/>
      </c>
      <c r="M10" s="36">
        <f>-'Assumptions'!M12</f>
        <v/>
      </c>
      <c r="N10" s="36">
        <f>-'Assumptions'!N12</f>
        <v/>
      </c>
      <c r="O10" s="36">
        <f>-'Assumptions'!O12</f>
        <v/>
      </c>
    </row>
    <row r="11">
      <c r="A11" s="6" t="inlineStr">
        <is>
          <t xml:space="preserve">   Add/(less): change in working capital</t>
        </is>
      </c>
      <c r="I11" s="36">
        <f>'Working Capital Schedule'!I18</f>
        <v/>
      </c>
      <c r="J11" s="36">
        <f>'Working Capital Schedule'!J18</f>
        <v/>
      </c>
      <c r="K11" s="36">
        <f>'Working Capital Schedule'!K18</f>
        <v/>
      </c>
      <c r="L11" s="36">
        <f>'Working Capital Schedule'!L18</f>
        <v/>
      </c>
      <c r="M11" s="36">
        <f>'Working Capital Schedule'!M18</f>
        <v/>
      </c>
      <c r="N11" s="36">
        <f>'Working Capital Schedule'!N18</f>
        <v/>
      </c>
      <c r="O11" s="36">
        <f>'Working Capital Schedule'!O18</f>
        <v/>
      </c>
    </row>
    <row r="12">
      <c r="A12" s="5" t="inlineStr">
        <is>
          <t>Free cash flow to firm (FCFF)</t>
        </is>
      </c>
      <c r="I12" s="38">
        <f>I8+I9+I10+I11</f>
        <v/>
      </c>
      <c r="J12" s="38">
        <f>J8+J9+J10+J11</f>
        <v/>
      </c>
      <c r="K12" s="38">
        <f>K8+K9+K10+K11</f>
        <v/>
      </c>
      <c r="L12" s="38">
        <f>L8+L9+L10+L11</f>
        <v/>
      </c>
      <c r="M12" s="38">
        <f>M8+M9+M10+M11</f>
        <v/>
      </c>
      <c r="N12" s="38">
        <f>N8+N9+N10+N11</f>
        <v/>
      </c>
      <c r="O12" s="38">
        <f>O8+O9+O10+O11</f>
        <v/>
      </c>
    </row>
    <row r="13">
      <c r="A13" s="6" t="inlineStr">
        <is>
          <t>Discount period (years)</t>
        </is>
      </c>
      <c r="I13" s="43" t="n">
        <v>1</v>
      </c>
      <c r="J13" s="43" t="n">
        <v>2</v>
      </c>
      <c r="K13" s="43" t="n">
        <v>3</v>
      </c>
      <c r="L13" s="43" t="n">
        <v>4</v>
      </c>
      <c r="M13" s="43" t="n">
        <v>5</v>
      </c>
      <c r="N13" s="43" t="n">
        <v>6</v>
      </c>
      <c r="O13" s="43" t="n">
        <v>7</v>
      </c>
    </row>
    <row r="14">
      <c r="A14" s="6" t="inlineStr">
        <is>
          <t>Discount factor @ WACC</t>
        </is>
      </c>
      <c r="I14" s="44">
        <f>1/(1+'Assumptions'!C39)^I13</f>
        <v/>
      </c>
      <c r="J14" s="44">
        <f>1/(1+'Assumptions'!C39)^J13</f>
        <v/>
      </c>
      <c r="K14" s="44">
        <f>1/(1+'Assumptions'!C39)^K13</f>
        <v/>
      </c>
      <c r="L14" s="44">
        <f>1/(1+'Assumptions'!C39)^L13</f>
        <v/>
      </c>
      <c r="M14" s="44">
        <f>1/(1+'Assumptions'!C39)^M13</f>
        <v/>
      </c>
      <c r="N14" s="44">
        <f>1/(1+'Assumptions'!C39)^N13</f>
        <v/>
      </c>
      <c r="O14" s="44">
        <f>1/(1+'Assumptions'!C39)^O13</f>
        <v/>
      </c>
    </row>
    <row r="15">
      <c r="A15" s="5" t="inlineStr">
        <is>
          <t>PV of FCFF</t>
        </is>
      </c>
      <c r="I15" s="38">
        <f>I12*I14</f>
        <v/>
      </c>
      <c r="J15" s="38">
        <f>J12*J14</f>
        <v/>
      </c>
      <c r="K15" s="38">
        <f>K12*K14</f>
        <v/>
      </c>
      <c r="L15" s="38">
        <f>L12*L14</f>
        <v/>
      </c>
      <c r="M15" s="38">
        <f>M12*M14</f>
        <v/>
      </c>
      <c r="N15" s="38">
        <f>N12*N14</f>
        <v/>
      </c>
      <c r="O15" s="38">
        <f>O12*O14</f>
        <v/>
      </c>
    </row>
    <row r="17">
      <c r="A17" s="11" t="inlineStr">
        <is>
          <t>B.  Enterprise &amp; equity value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5" t="inlineStr">
        <is>
          <t>Sum of PV of explicit FCFF (FY27-33)</t>
        </is>
      </c>
      <c r="C18" s="45">
        <f>SUM(I15:O15)</f>
        <v/>
      </c>
    </row>
    <row r="19">
      <c r="A19" s="6" t="inlineStr">
        <is>
          <t>WACC</t>
        </is>
      </c>
      <c r="C19" s="46">
        <f>'Assumptions'!C39</f>
        <v/>
      </c>
    </row>
    <row r="20">
      <c r="A20" s="6" t="inlineStr">
        <is>
          <t>Terminal growth rate (g)</t>
        </is>
      </c>
      <c r="C20" s="46">
        <f>'Assumptions'!C37</f>
        <v/>
      </c>
    </row>
    <row r="21">
      <c r="A21" s="6" t="inlineStr">
        <is>
          <t>Terminal value (Gordon growth)</t>
        </is>
      </c>
      <c r="C21" s="45">
        <f>O12*(1+C20)/(C19-C20)</f>
        <v/>
      </c>
    </row>
    <row r="22">
      <c r="A22" s="6" t="inlineStr">
        <is>
          <t>PV of terminal value</t>
        </is>
      </c>
      <c r="C22" s="45">
        <f>C21*O14</f>
        <v/>
      </c>
    </row>
    <row r="23">
      <c r="A23" s="5" t="inlineStr">
        <is>
          <t>Enterprise value (EV)</t>
        </is>
      </c>
      <c r="C23" s="47">
        <f>C18+C22</f>
        <v/>
      </c>
    </row>
    <row r="24">
      <c r="A24" s="6" t="inlineStr">
        <is>
          <t>Less: net debt (FY26 debt - cash)</t>
        </is>
      </c>
      <c r="C24" s="48">
        <f>-('Forecast Financial Statements'!H31-'Forecast Financial Statements'!H26)</f>
        <v/>
      </c>
    </row>
    <row r="25">
      <c r="A25" s="5" t="inlineStr">
        <is>
          <t>Equity value</t>
        </is>
      </c>
      <c r="C25" s="47">
        <f>C23+C24</f>
        <v/>
      </c>
    </row>
    <row r="26">
      <c r="A26" s="6" t="inlineStr">
        <is>
          <t>Shares outstanding (crore)</t>
        </is>
      </c>
      <c r="C26" s="49">
        <f>'Assumptions'!C40</f>
        <v/>
      </c>
    </row>
    <row r="27">
      <c r="A27" s="5" t="inlineStr">
        <is>
          <t>Intrinsic value per share (INR)</t>
        </is>
      </c>
      <c r="C27" s="50">
        <f>C25/C26</f>
        <v/>
      </c>
    </row>
    <row r="28">
      <c r="A28" s="6" t="inlineStr">
        <is>
          <t>Current market price (INR)</t>
        </is>
      </c>
      <c r="C28" s="51">
        <f>'Assumptions'!C41</f>
        <v/>
      </c>
    </row>
    <row r="29">
      <c r="A29" s="5" t="inlineStr">
        <is>
          <t>Upside / (downside)</t>
        </is>
      </c>
      <c r="C29" s="18">
        <f>C27/C28-1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6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RELATIVE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Peer trading multiples are INDICATIVE / illustrative and must be refreshed with live market data before use.</t>
        </is>
      </c>
    </row>
    <row r="4">
      <c r="A4" s="11" t="inlineStr">
        <is>
          <t>A.  Peer trading multiples (indicative)</t>
        </is>
      </c>
      <c r="B4" s="1" t="n"/>
      <c r="C4" s="1" t="n"/>
      <c r="D4" s="1" t="n"/>
      <c r="E4" s="1" t="n"/>
      <c r="F4" s="1" t="n"/>
      <c r="G4" s="1" t="n"/>
      <c r="H4" s="1" t="n"/>
    </row>
    <row r="5">
      <c r="A5" s="13" t="inlineStr">
        <is>
          <t>Peer company</t>
        </is>
      </c>
      <c r="B5" s="13" t="inlineStr">
        <is>
          <t>EV/Revenue (x)</t>
        </is>
      </c>
      <c r="C5" s="13" t="inlineStr">
        <is>
          <t>EV/EBITDA (x)</t>
        </is>
      </c>
      <c r="D5" s="13" t="inlineStr">
        <is>
          <t>P/E (x)</t>
        </is>
      </c>
      <c r="E5" s="13" t="inlineStr">
        <is>
          <t>P/B (x)</t>
        </is>
      </c>
      <c r="F5" s="13" t="inlineStr">
        <is>
          <t>Div yield %</t>
        </is>
      </c>
    </row>
    <row r="6">
      <c r="A6" s="6" t="inlineStr">
        <is>
          <t>Siemens India</t>
        </is>
      </c>
      <c r="B6" s="52" t="n">
        <v>5.5</v>
      </c>
      <c r="C6" s="52" t="n">
        <v>42</v>
      </c>
      <c r="D6" s="52" t="n">
        <v>60</v>
      </c>
      <c r="E6" s="52" t="n">
        <v>9</v>
      </c>
      <c r="F6" s="53" t="n">
        <v>0.4</v>
      </c>
    </row>
    <row r="7">
      <c r="A7" s="6" t="inlineStr">
        <is>
          <t>ABB India</t>
        </is>
      </c>
      <c r="B7" s="52" t="n">
        <v>7</v>
      </c>
      <c r="C7" s="52" t="n">
        <v>50</v>
      </c>
      <c r="D7" s="52" t="n">
        <v>68</v>
      </c>
      <c r="E7" s="52" t="n">
        <v>14</v>
      </c>
      <c r="F7" s="53" t="n">
        <v>0.4</v>
      </c>
    </row>
    <row r="8">
      <c r="A8" s="6" t="inlineStr">
        <is>
          <t>CG Power &amp; Ind.</t>
        </is>
      </c>
      <c r="B8" s="52" t="n">
        <v>6.5</v>
      </c>
      <c r="C8" s="52" t="n">
        <v>45</v>
      </c>
      <c r="D8" s="52" t="n">
        <v>62</v>
      </c>
      <c r="E8" s="52" t="n">
        <v>18</v>
      </c>
      <c r="F8" s="53" t="n">
        <v>0.2</v>
      </c>
    </row>
    <row r="9">
      <c r="A9" s="6" t="inlineStr">
        <is>
          <t>GE Vernova T&amp;D India</t>
        </is>
      </c>
      <c r="B9" s="52" t="n">
        <v>8</v>
      </c>
      <c r="C9" s="52" t="n">
        <v>48</v>
      </c>
      <c r="D9" s="52" t="n">
        <v>65</v>
      </c>
      <c r="E9" s="52" t="n">
        <v>20</v>
      </c>
      <c r="F9" s="53" t="n">
        <v>0.1</v>
      </c>
    </row>
    <row r="10">
      <c r="A10" s="6" t="inlineStr">
        <is>
          <t>Thermax</t>
        </is>
      </c>
      <c r="B10" s="52" t="n">
        <v>4</v>
      </c>
      <c r="C10" s="52" t="n">
        <v>38</v>
      </c>
      <c r="D10" s="52" t="n">
        <v>55</v>
      </c>
      <c r="E10" s="52" t="n">
        <v>8</v>
      </c>
      <c r="F10" s="53" t="n">
        <v>0.3</v>
      </c>
    </row>
    <row r="11">
      <c r="A11" s="6" t="inlineStr">
        <is>
          <t>Triveni Turbine</t>
        </is>
      </c>
      <c r="B11" s="52" t="n">
        <v>7.5</v>
      </c>
      <c r="C11" s="52" t="n">
        <v>40</v>
      </c>
      <c r="D11" s="52" t="n">
        <v>52</v>
      </c>
      <c r="E11" s="52" t="n">
        <v>16</v>
      </c>
      <c r="F11" s="53" t="n">
        <v>0.5</v>
      </c>
    </row>
    <row r="12">
      <c r="A12" s="6" t="inlineStr">
        <is>
          <t>Larsen &amp; Toubro</t>
        </is>
      </c>
      <c r="B12" s="52" t="n">
        <v>2</v>
      </c>
      <c r="C12" s="52" t="n">
        <v>22</v>
      </c>
      <c r="D12" s="52" t="n">
        <v>32</v>
      </c>
      <c r="E12" s="52" t="n">
        <v>5</v>
      </c>
      <c r="F12" s="53" t="n">
        <v>0.7</v>
      </c>
    </row>
    <row r="13">
      <c r="A13" s="6" t="inlineStr">
        <is>
          <t>Kalpataru Projects</t>
        </is>
      </c>
      <c r="B13" s="52" t="n">
        <v>0.9</v>
      </c>
      <c r="C13" s="52" t="n">
        <v>12</v>
      </c>
      <c r="D13" s="52" t="n">
        <v>22</v>
      </c>
      <c r="E13" s="52" t="n">
        <v>3</v>
      </c>
      <c r="F13" s="53" t="n">
        <v>0.4</v>
      </c>
    </row>
    <row r="14">
      <c r="A14" s="54" t="inlineStr">
        <is>
          <t>Median</t>
        </is>
      </c>
      <c r="B14" s="55">
        <f>MEDIAN(B6:B13)</f>
        <v/>
      </c>
      <c r="C14" s="55">
        <f>MEDIAN(C6:C13)</f>
        <v/>
      </c>
      <c r="D14" s="55">
        <f>MEDIAN(D6:D13)</f>
        <v/>
      </c>
      <c r="E14" s="55">
        <f>MEDIAN(E6:E13)</f>
        <v/>
      </c>
      <c r="F14" s="56">
        <f>MEDIAN(F6:F13)</f>
        <v/>
      </c>
    </row>
    <row r="16">
      <c r="A16" s="11" t="inlineStr">
        <is>
          <t>B.  Implied valuation for BHEL (on FY2027E)</t>
        </is>
      </c>
      <c r="B16" s="1" t="n"/>
      <c r="C16" s="1" t="n"/>
      <c r="D16" s="1" t="n"/>
      <c r="E16" s="1" t="n"/>
      <c r="F16" s="1" t="n"/>
      <c r="G16" s="1" t="n"/>
      <c r="H16" s="1" t="n"/>
    </row>
    <row r="17">
      <c r="A17" s="6" t="inlineStr">
        <is>
          <t>BHEL FY2027E revenue</t>
        </is>
      </c>
      <c r="C17" s="48">
        <f>'Forecast Financial Statements'!I5</f>
        <v/>
      </c>
    </row>
    <row r="18">
      <c r="A18" s="6" t="inlineStr">
        <is>
          <t>BHEL FY2027E EBITDA</t>
        </is>
      </c>
      <c r="C18" s="48">
        <f>'Forecast Financial Statements'!I8</f>
        <v/>
      </c>
    </row>
    <row r="19">
      <c r="A19" s="6" t="inlineStr">
        <is>
          <t>BHEL FY2027E EPS (INR)</t>
        </is>
      </c>
      <c r="C19" s="51">
        <f>'Forecast Financial Statements'!I15</f>
        <v/>
      </c>
    </row>
    <row r="20">
      <c r="A20" s="6" t="inlineStr">
        <is>
          <t>Net debt (FY26)</t>
        </is>
      </c>
      <c r="C20" s="48">
        <f>'Forecast Financial Statements'!H31-'Forecast Financial Statements'!H26</f>
        <v/>
      </c>
    </row>
    <row r="22">
      <c r="A22" s="6" t="inlineStr">
        <is>
          <t>Implied EV (EV/EBITDA method)</t>
        </is>
      </c>
      <c r="C22" s="45">
        <f>C18*C14</f>
        <v/>
      </c>
    </row>
    <row r="23">
      <c r="A23" s="6" t="inlineStr">
        <is>
          <t>Implied equity value (EV/EBITDA)</t>
        </is>
      </c>
      <c r="C23" s="45">
        <f>C22-C20</f>
        <v/>
      </c>
    </row>
    <row r="24">
      <c r="A24" s="5" t="inlineStr">
        <is>
          <t>Implied price - EV/EBITDA (INR)</t>
        </is>
      </c>
      <c r="C24" s="50">
        <f>C23/'Assumptions'!C40</f>
        <v/>
      </c>
    </row>
    <row r="25">
      <c r="A25" s="5" t="inlineStr">
        <is>
          <t>Implied price - P/E method (INR)</t>
        </is>
      </c>
      <c r="C25" s="50">
        <f>C19*D14</f>
        <v/>
      </c>
    </row>
    <row r="26">
      <c r="A26" s="6" t="inlineStr">
        <is>
          <t>Implied EV (EV/Revenue method)</t>
        </is>
      </c>
      <c r="C26" s="45">
        <f>C17*B14</f>
        <v/>
      </c>
    </row>
    <row r="27">
      <c r="A27" s="5" t="inlineStr">
        <is>
          <t>Implied price - EV/Revenue (INR)</t>
        </is>
      </c>
      <c r="C27" s="50">
        <f>(C26-C20)/'Assumptions'!C40</f>
        <v/>
      </c>
    </row>
    <row r="29">
      <c r="A29" s="5" t="inlineStr">
        <is>
          <t>Average implied target price (INR)</t>
        </is>
      </c>
      <c r="C29" s="57">
        <f>AVERAGE(C24,C25,C27)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SENSITIVITY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Two-way data table: intrinsic value per share (INR) vs WACC and terminal growth. Centre = base case.</t>
        </is>
      </c>
    </row>
    <row r="4">
      <c r="B4" s="5" t="inlineStr">
        <is>
          <t>Intrinsic value/share (INR)</t>
        </is>
      </c>
    </row>
    <row r="5">
      <c r="B5" s="13" t="inlineStr">
        <is>
          <t>WACC \ g</t>
        </is>
      </c>
      <c r="C5" s="58">
        <f>'Assumptions'!C37+-0.015</f>
        <v/>
      </c>
      <c r="D5" s="58">
        <f>'Assumptions'!C37+-0.0075</f>
        <v/>
      </c>
      <c r="E5" s="58">
        <f>'Assumptions'!C37+0.0</f>
        <v/>
      </c>
      <c r="F5" s="58">
        <f>'Assumptions'!C37+0.0075</f>
        <v/>
      </c>
      <c r="G5" s="58">
        <f>'Assumptions'!C37+0.015</f>
        <v/>
      </c>
    </row>
    <row r="6">
      <c r="B6" s="58">
        <f>'Assumptions'!C39+0.02</f>
        <v/>
      </c>
      <c r="C6" s="59">
        <f>(SUMPRODUCT('DCF Valuation'!$I$12:$O$12,(1+$B6)^(-'DCF Valuation'!$I$13:$O$13))+('DCF Valuation'!$O$12*(1+C$5)/($B6-C$5))*(1+$B6)^(-7)+'DCF Valuation'!$C$24)/'DCF Valuation'!$C$26</f>
        <v/>
      </c>
      <c r="D6" s="59">
        <f>(SUMPRODUCT('DCF Valuation'!$I$12:$O$12,(1+$B6)^(-'DCF Valuation'!$I$13:$O$13))+('DCF Valuation'!$O$12*(1+D$5)/($B6-D$5))*(1+$B6)^(-7)+'DCF Valuation'!$C$24)/'DCF Valuation'!$C$26</f>
        <v/>
      </c>
      <c r="E6" s="59">
        <f>(SUMPRODUCT('DCF Valuation'!$I$12:$O$12,(1+$B6)^(-'DCF Valuation'!$I$13:$O$13))+('DCF Valuation'!$O$12*(1+E$5)/($B6-E$5))*(1+$B6)^(-7)+'DCF Valuation'!$C$24)/'DCF Valuation'!$C$26</f>
        <v/>
      </c>
      <c r="F6" s="59">
        <f>(SUMPRODUCT('DCF Valuation'!$I$12:$O$12,(1+$B6)^(-'DCF Valuation'!$I$13:$O$13))+('DCF Valuation'!$O$12*(1+F$5)/($B6-F$5))*(1+$B6)^(-7)+'DCF Valuation'!$C$24)/'DCF Valuation'!$C$26</f>
        <v/>
      </c>
      <c r="G6" s="59">
        <f>(SUMPRODUCT('DCF Valuation'!$I$12:$O$12,(1+$B6)^(-'DCF Valuation'!$I$13:$O$13))+('DCF Valuation'!$O$12*(1+G$5)/($B6-G$5))*(1+$B6)^(-7)+'DCF Valuation'!$C$24)/'DCF Valuation'!$C$26</f>
        <v/>
      </c>
    </row>
    <row r="7">
      <c r="B7" s="58">
        <f>'Assumptions'!C39+0.01</f>
        <v/>
      </c>
      <c r="C7" s="59">
        <f>(SUMPRODUCT('DCF Valuation'!$I$12:$O$12,(1+$B7)^(-'DCF Valuation'!$I$13:$O$13))+('DCF Valuation'!$O$12*(1+C$5)/($B7-C$5))*(1+$B7)^(-7)+'DCF Valuation'!$C$24)/'DCF Valuation'!$C$26</f>
        <v/>
      </c>
      <c r="D7" s="59">
        <f>(SUMPRODUCT('DCF Valuation'!$I$12:$O$12,(1+$B7)^(-'DCF Valuation'!$I$13:$O$13))+('DCF Valuation'!$O$12*(1+D$5)/($B7-D$5))*(1+$B7)^(-7)+'DCF Valuation'!$C$24)/'DCF Valuation'!$C$26</f>
        <v/>
      </c>
      <c r="E7" s="59">
        <f>(SUMPRODUCT('DCF Valuation'!$I$12:$O$12,(1+$B7)^(-'DCF Valuation'!$I$13:$O$13))+('DCF Valuation'!$O$12*(1+E$5)/($B7-E$5))*(1+$B7)^(-7)+'DCF Valuation'!$C$24)/'DCF Valuation'!$C$26</f>
        <v/>
      </c>
      <c r="F7" s="59">
        <f>(SUMPRODUCT('DCF Valuation'!$I$12:$O$12,(1+$B7)^(-'DCF Valuation'!$I$13:$O$13))+('DCF Valuation'!$O$12*(1+F$5)/($B7-F$5))*(1+$B7)^(-7)+'DCF Valuation'!$C$24)/'DCF Valuation'!$C$26</f>
        <v/>
      </c>
      <c r="G7" s="59">
        <f>(SUMPRODUCT('DCF Valuation'!$I$12:$O$12,(1+$B7)^(-'DCF Valuation'!$I$13:$O$13))+('DCF Valuation'!$O$12*(1+G$5)/($B7-G$5))*(1+$B7)^(-7)+'DCF Valuation'!$C$24)/'DCF Valuation'!$C$26</f>
        <v/>
      </c>
    </row>
    <row r="8">
      <c r="B8" s="58">
        <f>'Assumptions'!C39+0.0</f>
        <v/>
      </c>
      <c r="C8" s="59">
        <f>(SUMPRODUCT('DCF Valuation'!$I$12:$O$12,(1+$B8)^(-'DCF Valuation'!$I$13:$O$13))+('DCF Valuation'!$O$12*(1+C$5)/($B8-C$5))*(1+$B8)^(-7)+'DCF Valuation'!$C$24)/'DCF Valuation'!$C$26</f>
        <v/>
      </c>
      <c r="D8" s="59">
        <f>(SUMPRODUCT('DCF Valuation'!$I$12:$O$12,(1+$B8)^(-'DCF Valuation'!$I$13:$O$13))+('DCF Valuation'!$O$12*(1+D$5)/($B8-D$5))*(1+$B8)^(-7)+'DCF Valuation'!$C$24)/'DCF Valuation'!$C$26</f>
        <v/>
      </c>
      <c r="E8" s="50">
        <f>(SUMPRODUCT('DCF Valuation'!$I$12:$O$12,(1+$B8)^(-'DCF Valuation'!$I$13:$O$13))+('DCF Valuation'!$O$12*(1+E$5)/($B8-E$5))*(1+$B8)^(-7)+'DCF Valuation'!$C$24)/'DCF Valuation'!$C$26</f>
        <v/>
      </c>
      <c r="F8" s="59">
        <f>(SUMPRODUCT('DCF Valuation'!$I$12:$O$12,(1+$B8)^(-'DCF Valuation'!$I$13:$O$13))+('DCF Valuation'!$O$12*(1+F$5)/($B8-F$5))*(1+$B8)^(-7)+'DCF Valuation'!$C$24)/'DCF Valuation'!$C$26</f>
        <v/>
      </c>
      <c r="G8" s="59">
        <f>(SUMPRODUCT('DCF Valuation'!$I$12:$O$12,(1+$B8)^(-'DCF Valuation'!$I$13:$O$13))+('DCF Valuation'!$O$12*(1+G$5)/($B8-G$5))*(1+$B8)^(-7)+'DCF Valuation'!$C$24)/'DCF Valuation'!$C$26</f>
        <v/>
      </c>
    </row>
    <row r="9">
      <c r="B9" s="58">
        <f>'Assumptions'!C39+-0.01</f>
        <v/>
      </c>
      <c r="C9" s="59">
        <f>(SUMPRODUCT('DCF Valuation'!$I$12:$O$12,(1+$B9)^(-'DCF Valuation'!$I$13:$O$13))+('DCF Valuation'!$O$12*(1+C$5)/($B9-C$5))*(1+$B9)^(-7)+'DCF Valuation'!$C$24)/'DCF Valuation'!$C$26</f>
        <v/>
      </c>
      <c r="D9" s="59">
        <f>(SUMPRODUCT('DCF Valuation'!$I$12:$O$12,(1+$B9)^(-'DCF Valuation'!$I$13:$O$13))+('DCF Valuation'!$O$12*(1+D$5)/($B9-D$5))*(1+$B9)^(-7)+'DCF Valuation'!$C$24)/'DCF Valuation'!$C$26</f>
        <v/>
      </c>
      <c r="E9" s="59">
        <f>(SUMPRODUCT('DCF Valuation'!$I$12:$O$12,(1+$B9)^(-'DCF Valuation'!$I$13:$O$13))+('DCF Valuation'!$O$12*(1+E$5)/($B9-E$5))*(1+$B9)^(-7)+'DCF Valuation'!$C$24)/'DCF Valuation'!$C$26</f>
        <v/>
      </c>
      <c r="F9" s="59">
        <f>(SUMPRODUCT('DCF Valuation'!$I$12:$O$12,(1+$B9)^(-'DCF Valuation'!$I$13:$O$13))+('DCF Valuation'!$O$12*(1+F$5)/($B9-F$5))*(1+$B9)^(-7)+'DCF Valuation'!$C$24)/'DCF Valuation'!$C$26</f>
        <v/>
      </c>
      <c r="G9" s="59">
        <f>(SUMPRODUCT('DCF Valuation'!$I$12:$O$12,(1+$B9)^(-'DCF Valuation'!$I$13:$O$13))+('DCF Valuation'!$O$12*(1+G$5)/($B9-G$5))*(1+$B9)^(-7)+'DCF Valuation'!$C$24)/'DCF Valuation'!$C$26</f>
        <v/>
      </c>
    </row>
    <row r="10">
      <c r="B10" s="58">
        <f>'Assumptions'!C39+-0.02</f>
        <v/>
      </c>
      <c r="C10" s="59">
        <f>(SUMPRODUCT('DCF Valuation'!$I$12:$O$12,(1+$B10)^(-'DCF Valuation'!$I$13:$O$13))+('DCF Valuation'!$O$12*(1+C$5)/($B10-C$5))*(1+$B10)^(-7)+'DCF Valuation'!$C$24)/'DCF Valuation'!$C$26</f>
        <v/>
      </c>
      <c r="D10" s="59">
        <f>(SUMPRODUCT('DCF Valuation'!$I$12:$O$12,(1+$B10)^(-'DCF Valuation'!$I$13:$O$13))+('DCF Valuation'!$O$12*(1+D$5)/($B10-D$5))*(1+$B10)^(-7)+'DCF Valuation'!$C$24)/'DCF Valuation'!$C$26</f>
        <v/>
      </c>
      <c r="E10" s="59">
        <f>(SUMPRODUCT('DCF Valuation'!$I$12:$O$12,(1+$B10)^(-'DCF Valuation'!$I$13:$O$13))+('DCF Valuation'!$O$12*(1+E$5)/($B10-E$5))*(1+$B10)^(-7)+'DCF Valuation'!$C$24)/'DCF Valuation'!$C$26</f>
        <v/>
      </c>
      <c r="F10" s="59">
        <f>(SUMPRODUCT('DCF Valuation'!$I$12:$O$12,(1+$B10)^(-'DCF Valuation'!$I$13:$O$13))+('DCF Valuation'!$O$12*(1+F$5)/($B10-F$5))*(1+$B10)^(-7)+'DCF Valuation'!$C$24)/'DCF Valuation'!$C$26</f>
        <v/>
      </c>
      <c r="G10" s="59">
        <f>(SUMPRODUCT('DCF Valuation'!$I$12:$O$12,(1+$B10)^(-'DCF Valuation'!$I$13:$O$13))+('DCF Valuation'!$O$12*(1+G$5)/($B10-G$5))*(1+$B10)^(-7)+'DCF Valuation'!$C$24)/'DCF Valuation'!$C$26</f>
        <v/>
      </c>
    </row>
    <row r="12">
      <c r="A12" s="10" t="inlineStr">
        <is>
          <t>Other key sensitivities (order inflow, execution rate, EBITDA margin, commodity prices, capex, interest &amp; tax rates, working-capital cycle) are modelled on the Scenario Analysis sheet and via the editable Assumptions sheet.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548235"/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SCENARIO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Bull / Base / Bear scenarios via exit EV/EBITDA on FY2033E, discounted to present. Base links to the live model.</t>
        </is>
      </c>
    </row>
    <row r="3">
      <c r="A3" s="11" t="inlineStr">
        <is>
          <t>Scenario drivers &amp; valuation</t>
        </is>
      </c>
      <c r="B3" s="1" t="n"/>
      <c r="C3" s="1" t="n"/>
      <c r="D3" s="1" t="n"/>
    </row>
    <row r="4">
      <c r="A4" s="13" t="inlineStr">
        <is>
          <t>Driver / output</t>
        </is>
      </c>
      <c r="B4" s="13" t="inlineStr">
        <is>
          <t>Bear case</t>
        </is>
      </c>
      <c r="C4" s="13" t="inlineStr">
        <is>
          <t>Base case</t>
        </is>
      </c>
      <c r="D4" s="13" t="inlineStr">
        <is>
          <t>Bull case</t>
        </is>
      </c>
    </row>
    <row r="5">
      <c r="A5" s="6" t="inlineStr">
        <is>
          <t>FY2033E revenue (INR Cr)</t>
        </is>
      </c>
      <c r="B5" s="15" t="n">
        <v>58000</v>
      </c>
      <c r="C5" s="48">
        <f>'Forecast Financial Statements'!O5</f>
        <v/>
      </c>
      <c r="D5" s="15" t="n">
        <v>92000</v>
      </c>
    </row>
    <row r="6">
      <c r="A6" s="6" t="inlineStr">
        <is>
          <t>Terminal EBITDA margin</t>
        </is>
      </c>
      <c r="B6" s="14" t="n">
        <v>0.09</v>
      </c>
      <c r="C6" s="46">
        <f>'Forecast Financial Statements'!O8/'Forecast Financial Statements'!O5</f>
        <v/>
      </c>
      <c r="D6" s="14" t="n">
        <v>0.15</v>
      </c>
    </row>
    <row r="7">
      <c r="A7" s="6" t="inlineStr">
        <is>
          <t>Exit EV/EBITDA multiple (x)</t>
        </is>
      </c>
      <c r="B7" s="52" t="n">
        <v>14</v>
      </c>
      <c r="C7" s="52" t="n">
        <v>18</v>
      </c>
      <c r="D7" s="52" t="n">
        <v>24</v>
      </c>
    </row>
    <row r="8">
      <c r="A8" s="6" t="inlineStr">
        <is>
          <t>WACC</t>
        </is>
      </c>
      <c r="B8" s="14" t="n">
        <v>0.155</v>
      </c>
      <c r="C8" s="46">
        <f>'Assumptions'!C39</f>
        <v/>
      </c>
      <c r="D8" s="14" t="n">
        <v>0.12</v>
      </c>
    </row>
    <row r="9">
      <c r="A9" s="6" t="inlineStr">
        <is>
          <t>FY2033E EBITDA (INR Cr)</t>
        </is>
      </c>
      <c r="B9" s="45">
        <f>B5*B6</f>
        <v/>
      </c>
      <c r="C9" s="45">
        <f>C5*C6</f>
        <v/>
      </c>
      <c r="D9" s="45">
        <f>D5*D6</f>
        <v/>
      </c>
    </row>
    <row r="10">
      <c r="A10" s="6" t="inlineStr">
        <is>
          <t>Terminal EV (INR Cr)</t>
        </is>
      </c>
      <c r="B10" s="45">
        <f>B9*B7</f>
        <v/>
      </c>
      <c r="C10" s="45">
        <f>C9*C7</f>
        <v/>
      </c>
      <c r="D10" s="45">
        <f>D9*D7</f>
        <v/>
      </c>
    </row>
    <row r="11">
      <c r="A11" s="6" t="inlineStr">
        <is>
          <t>PV of EV (discounted 7y)</t>
        </is>
      </c>
      <c r="B11" s="45">
        <f>B10/(1+B8)^7</f>
        <v/>
      </c>
      <c r="C11" s="45">
        <f>C10/(1+C8)^7</f>
        <v/>
      </c>
      <c r="D11" s="45">
        <f>D10/(1+D8)^7</f>
        <v/>
      </c>
    </row>
    <row r="12">
      <c r="A12" s="6" t="inlineStr">
        <is>
          <t>Less: net debt (FY26)</t>
        </is>
      </c>
      <c r="B12" s="48">
        <f>'Forecast Financial Statements'!H31-'Forecast Financial Statements'!H26</f>
        <v/>
      </c>
      <c r="C12" s="48">
        <f>'Forecast Financial Statements'!H31-'Forecast Financial Statements'!H26</f>
        <v/>
      </c>
      <c r="D12" s="48">
        <f>'Forecast Financial Statements'!H31-'Forecast Financial Statements'!H26</f>
        <v/>
      </c>
    </row>
    <row r="13">
      <c r="A13" s="6" t="inlineStr">
        <is>
          <t>Equity value (INR Cr)</t>
        </is>
      </c>
      <c r="B13" s="45">
        <f>B11-B12</f>
        <v/>
      </c>
      <c r="C13" s="45">
        <f>C11-C12</f>
        <v/>
      </c>
      <c r="D13" s="45">
        <f>D11-D12</f>
        <v/>
      </c>
    </row>
    <row r="14">
      <c r="A14" s="5" t="inlineStr">
        <is>
          <t>Target price (INR)</t>
        </is>
      </c>
      <c r="B14" s="50">
        <f>B13/'Assumptions'!C40</f>
        <v/>
      </c>
      <c r="C14" s="50">
        <f>C13/'Assumptions'!C40</f>
        <v/>
      </c>
      <c r="D14" s="50">
        <f>D13/'Assumptions'!C40</f>
        <v/>
      </c>
    </row>
    <row r="15">
      <c r="A15" s="5" t="inlineStr">
        <is>
          <t>Scenario probability</t>
        </is>
      </c>
      <c r="B15" s="14" t="n">
        <v>0.25</v>
      </c>
      <c r="C15" s="14" t="n">
        <v>0.5</v>
      </c>
      <c r="D15" s="14" t="n">
        <v>0.25</v>
      </c>
    </row>
    <row r="17">
      <c r="A17" s="5" t="inlineStr">
        <is>
          <t>Probability-weighted target price (INR)</t>
        </is>
      </c>
      <c r="B17" s="57">
        <f>SUMPRODUCT(B14:D14,B15:D15)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3864"/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" customWidth="1" min="3" max="3"/>
    <col width="26" customWidth="1" min="4" max="4"/>
    <col width="16" customWidth="1" min="5" max="5"/>
    <col width="4" customWidth="1" min="6" max="6"/>
    <col width="26" customWidth="1" min="7" max="7"/>
    <col width="16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BHEL  |  EXECUTIVE DASHBOARD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60" t="inlineStr">
        <is>
          <t>DCF value / share (INR)</t>
        </is>
      </c>
      <c r="B3" s="60" t="inlineStr">
        <is>
          <t>Current price (INR)</t>
        </is>
      </c>
      <c r="D3" s="60" t="inlineStr">
        <is>
          <t>Upside / (downside)</t>
        </is>
      </c>
      <c r="E3" s="60" t="inlineStr">
        <is>
          <t>Prob-weighted TP (INR)</t>
        </is>
      </c>
      <c r="G3" s="60" t="inlineStr">
        <is>
          <t>Avg relative TP (INR)</t>
        </is>
      </c>
      <c r="H3" s="60" t="inlineStr">
        <is>
          <t>WACC</t>
        </is>
      </c>
    </row>
    <row r="4">
      <c r="A4" s="61">
        <f>'DCF Valuation'!C27</f>
        <v/>
      </c>
      <c r="B4" s="61">
        <f>'DCF Valuation'!C28</f>
        <v/>
      </c>
      <c r="D4" s="62">
        <f>'DCF Valuation'!C29</f>
        <v/>
      </c>
      <c r="E4" s="61">
        <f>'Scenario Analysis'!B17</f>
        <v/>
      </c>
      <c r="G4" s="61">
        <f>'Relative Valuation'!C29</f>
        <v/>
      </c>
      <c r="H4" s="62">
        <f>'Assumptions'!C39</f>
        <v/>
      </c>
    </row>
    <row r="6">
      <c r="A6" s="60" t="inlineStr">
        <is>
          <t>FY27E revenue (INR Cr)</t>
        </is>
      </c>
      <c r="B6" s="60" t="inlineStr">
        <is>
          <t>FY33E revenue (INR Cr)</t>
        </is>
      </c>
      <c r="D6" s="60" t="inlineStr">
        <is>
          <t>FY27E EBITDA margin</t>
        </is>
      </c>
      <c r="E6" s="60" t="inlineStr">
        <is>
          <t>FY33E EBITDA margin</t>
        </is>
      </c>
      <c r="G6" s="60" t="inlineStr">
        <is>
          <t>FY26 order book (INR Cr)</t>
        </is>
      </c>
      <c r="H6" s="60" t="inlineStr">
        <is>
          <t>FY33E PAT (INR Cr)</t>
        </is>
      </c>
    </row>
    <row r="7">
      <c r="A7" s="63">
        <f>'Forecast Financial Statements'!I5</f>
        <v/>
      </c>
      <c r="B7" s="63">
        <f>'Forecast Financial Statements'!O5</f>
        <v/>
      </c>
      <c r="D7" s="62">
        <f>'Forecast Financial Statements'!I8/'Forecast Financial Statements'!I5</f>
        <v/>
      </c>
      <c r="E7" s="62">
        <f>'Forecast Financial Statements'!O8/'Forecast Financial Statements'!O5</f>
        <v/>
      </c>
      <c r="G7" s="63">
        <f>'Revenue Build-up'!H9</f>
        <v/>
      </c>
      <c r="H7" s="63">
        <f>'Forecast Financial Statements'!O14</f>
        <v/>
      </c>
    </row>
    <row r="9">
      <c r="A9" s="4" t="inlineStr">
        <is>
          <t>DCF bridge (INR Cr)</t>
        </is>
      </c>
    </row>
    <row r="10">
      <c r="A10" s="64" t="inlineStr">
        <is>
          <t>PV of explicit FCFF</t>
        </is>
      </c>
      <c r="B10" s="48">
        <f>'DCF Valuation'!C18</f>
        <v/>
      </c>
    </row>
    <row r="11">
      <c r="A11" s="64" t="inlineStr">
        <is>
          <t>PV of terminal value</t>
        </is>
      </c>
      <c r="B11" s="48">
        <f>'DCF Valuation'!C22</f>
        <v/>
      </c>
    </row>
    <row r="12">
      <c r="A12" s="64" t="inlineStr">
        <is>
          <t>Enterprise value</t>
        </is>
      </c>
      <c r="B12" s="48">
        <f>'DCF Valuation'!C23</f>
        <v/>
      </c>
    </row>
    <row r="13">
      <c r="A13" s="64" t="inlineStr">
        <is>
          <t>Less: net debt</t>
        </is>
      </c>
      <c r="B13" s="48">
        <f>'DCF Valuation'!C24</f>
        <v/>
      </c>
    </row>
    <row r="14">
      <c r="A14" s="64" t="inlineStr">
        <is>
          <t>Equity value</t>
        </is>
      </c>
      <c r="B14" s="48">
        <f>'DCF Valuation'!C25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0000"/>
    <outlinePr summaryBelow="1" summaryRight="1"/>
    <pageSetUpPr/>
  </sheetPr>
  <dimension ref="A1:O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ERROR CHECKS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Automated integrity checks. "OK" = pass (difference &lt; INR 0.5 Cr). Conditional formatting flags any "REVIEW".</t>
        </is>
      </c>
    </row>
    <row r="4">
      <c r="A4" s="60" t="inlineStr">
        <is>
          <t>Check</t>
        </is>
      </c>
      <c r="B4" s="13" t="inlineStr"/>
      <c r="C4" s="13" t="inlineStr"/>
      <c r="D4" s="13" t="inlineStr"/>
      <c r="E4" s="13" t="inlineStr"/>
      <c r="F4" s="13" t="inlineStr"/>
      <c r="G4" s="13" t="inlineStr"/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6" t="inlineStr">
        <is>
          <t>Balance sheet balances (TA = TE&amp;L)</t>
        </is>
      </c>
      <c r="H5" s="65">
        <f>IF(ABS('Forecast Financial Statements'!H28-'Forecast Financial Statements'!H35)&lt;0.5,"OK","REVIEW")</f>
        <v/>
      </c>
      <c r="I5" s="65">
        <f>IF(ABS('Forecast Financial Statements'!I28-'Forecast Financial Statements'!I35)&lt;0.5,"OK","REVIEW")</f>
        <v/>
      </c>
      <c r="J5" s="65">
        <f>IF(ABS('Forecast Financial Statements'!J28-'Forecast Financial Statements'!J35)&lt;0.5,"OK","REVIEW")</f>
        <v/>
      </c>
      <c r="K5" s="65">
        <f>IF(ABS('Forecast Financial Statements'!K28-'Forecast Financial Statements'!K35)&lt;0.5,"OK","REVIEW")</f>
        <v/>
      </c>
      <c r="L5" s="65">
        <f>IF(ABS('Forecast Financial Statements'!L28-'Forecast Financial Statements'!L35)&lt;0.5,"OK","REVIEW")</f>
        <v/>
      </c>
      <c r="M5" s="65">
        <f>IF(ABS('Forecast Financial Statements'!M28-'Forecast Financial Statements'!M35)&lt;0.5,"OK","REVIEW")</f>
        <v/>
      </c>
      <c r="N5" s="65">
        <f>IF(ABS('Forecast Financial Statements'!N28-'Forecast Financial Statements'!N35)&lt;0.5,"OK","REVIEW")</f>
        <v/>
      </c>
      <c r="O5" s="65">
        <f>IF(ABS('Forecast Financial Statements'!O28-'Forecast Financial Statements'!O35)&lt;0.5,"OK","REVIEW")</f>
        <v/>
      </c>
    </row>
    <row r="6">
      <c r="A6" s="6" t="inlineStr">
        <is>
          <t>Cash: Balance sheet = Cash flow stmt</t>
        </is>
      </c>
      <c r="I6" s="65">
        <f>IF(ABS('Forecast Financial Statements'!I26-'Cash Flow Statement'!I25)&lt;0.5,"OK","REVIEW")</f>
        <v/>
      </c>
      <c r="J6" s="65">
        <f>IF(ABS('Forecast Financial Statements'!J26-'Cash Flow Statement'!J25)&lt;0.5,"OK","REVIEW")</f>
        <v/>
      </c>
      <c r="K6" s="65">
        <f>IF(ABS('Forecast Financial Statements'!K26-'Cash Flow Statement'!K25)&lt;0.5,"OK","REVIEW")</f>
        <v/>
      </c>
      <c r="L6" s="65">
        <f>IF(ABS('Forecast Financial Statements'!L26-'Cash Flow Statement'!L25)&lt;0.5,"OK","REVIEW")</f>
        <v/>
      </c>
      <c r="M6" s="65">
        <f>IF(ABS('Forecast Financial Statements'!M26-'Cash Flow Statement'!M25)&lt;0.5,"OK","REVIEW")</f>
        <v/>
      </c>
      <c r="N6" s="65">
        <f>IF(ABS('Forecast Financial Statements'!N26-'Cash Flow Statement'!N25)&lt;0.5,"OK","REVIEW")</f>
        <v/>
      </c>
      <c r="O6" s="65">
        <f>IF(ABS('Forecast Financial Statements'!O26-'Cash Flow Statement'!O25)&lt;0.5,"OK","REVIEW")</f>
        <v/>
      </c>
    </row>
    <row r="7">
      <c r="A7" s="6" t="inlineStr">
        <is>
          <t>Retained earnings roll-forward ties</t>
        </is>
      </c>
      <c r="I7" s="65">
        <f>IF(ABS('Forecast Financial Statements'!I30-'Equity Schedule'!I10)&lt;0.5,"OK","REVIEW")</f>
        <v/>
      </c>
      <c r="J7" s="65">
        <f>IF(ABS('Forecast Financial Statements'!J30-'Equity Schedule'!J10)&lt;0.5,"OK","REVIEW")</f>
        <v/>
      </c>
      <c r="K7" s="65">
        <f>IF(ABS('Forecast Financial Statements'!K30-'Equity Schedule'!K10)&lt;0.5,"OK","REVIEW")</f>
        <v/>
      </c>
      <c r="L7" s="65">
        <f>IF(ABS('Forecast Financial Statements'!L30-'Equity Schedule'!L10)&lt;0.5,"OK","REVIEW")</f>
        <v/>
      </c>
      <c r="M7" s="65">
        <f>IF(ABS('Forecast Financial Statements'!M30-'Equity Schedule'!M10)&lt;0.5,"OK","REVIEW")</f>
        <v/>
      </c>
      <c r="N7" s="65">
        <f>IF(ABS('Forecast Financial Statements'!N30-'Equity Schedule'!N10)&lt;0.5,"OK","REVIEW")</f>
        <v/>
      </c>
      <c r="O7" s="65">
        <f>IF(ABS('Forecast Financial Statements'!O30-'Equity Schedule'!O10)&lt;0.5,"OK","REVIEW")</f>
        <v/>
      </c>
    </row>
    <row r="8">
      <c r="A8" s="6" t="inlineStr">
        <is>
          <t>Debt roll-forward ties</t>
        </is>
      </c>
      <c r="I8" s="65">
        <f>IF(ABS('Forecast Financial Statements'!I31-'Debt Schedule'!I9)&lt;0.5,"OK","REVIEW")</f>
        <v/>
      </c>
      <c r="J8" s="65">
        <f>IF(ABS('Forecast Financial Statements'!J31-'Debt Schedule'!J9)&lt;0.5,"OK","REVIEW")</f>
        <v/>
      </c>
      <c r="K8" s="65">
        <f>IF(ABS('Forecast Financial Statements'!K31-'Debt Schedule'!K9)&lt;0.5,"OK","REVIEW")</f>
        <v/>
      </c>
      <c r="L8" s="65">
        <f>IF(ABS('Forecast Financial Statements'!L31-'Debt Schedule'!L9)&lt;0.5,"OK","REVIEW")</f>
        <v/>
      </c>
      <c r="M8" s="65">
        <f>IF(ABS('Forecast Financial Statements'!M31-'Debt Schedule'!M9)&lt;0.5,"OK","REVIEW")</f>
        <v/>
      </c>
      <c r="N8" s="65">
        <f>IF(ABS('Forecast Financial Statements'!N31-'Debt Schedule'!N9)&lt;0.5,"OK","REVIEW")</f>
        <v/>
      </c>
      <c r="O8" s="65">
        <f>IF(ABS('Forecast Financial Statements'!O31-'Debt Schedule'!O9)&lt;0.5,"OK","REVIEW")</f>
        <v/>
      </c>
    </row>
    <row r="9">
      <c r="A9" s="6" t="inlineStr">
        <is>
          <t>Depreciation schedule ties to P&amp;L</t>
        </is>
      </c>
      <c r="I9" s="65">
        <f>IF(ABS('Forecast Financial Statements'!I9-'Depreciation Schedule'!I8)&lt;0.5,"OK","REVIEW")</f>
        <v/>
      </c>
      <c r="J9" s="65">
        <f>IF(ABS('Forecast Financial Statements'!J9-'Depreciation Schedule'!J8)&lt;0.5,"OK","REVIEW")</f>
        <v/>
      </c>
      <c r="K9" s="65">
        <f>IF(ABS('Forecast Financial Statements'!K9-'Depreciation Schedule'!K8)&lt;0.5,"OK","REVIEW")</f>
        <v/>
      </c>
      <c r="L9" s="65">
        <f>IF(ABS('Forecast Financial Statements'!L9-'Depreciation Schedule'!L8)&lt;0.5,"OK","REVIEW")</f>
        <v/>
      </c>
      <c r="M9" s="65">
        <f>IF(ABS('Forecast Financial Statements'!M9-'Depreciation Schedule'!M8)&lt;0.5,"OK","REVIEW")</f>
        <v/>
      </c>
      <c r="N9" s="65">
        <f>IF(ABS('Forecast Financial Statements'!N9-'Depreciation Schedule'!N8)&lt;0.5,"OK","REVIEW")</f>
        <v/>
      </c>
      <c r="O9" s="65">
        <f>IF(ABS('Forecast Financial Statements'!O9-'Depreciation Schedule'!O8)&lt;0.5,"OK","REVIEW")</f>
        <v/>
      </c>
    </row>
    <row r="10">
      <c r="A10" s="6" t="inlineStr">
        <is>
          <t>Revenue ties to Revenue Build-up</t>
        </is>
      </c>
      <c r="I10" s="65">
        <f>IF(ABS('Forecast Financial Statements'!I5-'Revenue Build-up'!I11)&lt;0.5,"OK","REVIEW")</f>
        <v/>
      </c>
      <c r="J10" s="65">
        <f>IF(ABS('Forecast Financial Statements'!J5-'Revenue Build-up'!J11)&lt;0.5,"OK","REVIEW")</f>
        <v/>
      </c>
      <c r="K10" s="65">
        <f>IF(ABS('Forecast Financial Statements'!K5-'Revenue Build-up'!K11)&lt;0.5,"OK","REVIEW")</f>
        <v/>
      </c>
      <c r="L10" s="65">
        <f>IF(ABS('Forecast Financial Statements'!L5-'Revenue Build-up'!L11)&lt;0.5,"OK","REVIEW")</f>
        <v/>
      </c>
      <c r="M10" s="65">
        <f>IF(ABS('Forecast Financial Statements'!M5-'Revenue Build-up'!M11)&lt;0.5,"OK","REVIEW")</f>
        <v/>
      </c>
      <c r="N10" s="65">
        <f>IF(ABS('Forecast Financial Statements'!N5-'Revenue Build-up'!N11)&lt;0.5,"OK","REVIEW")</f>
        <v/>
      </c>
      <c r="O10" s="65">
        <f>IF(ABS('Forecast Financial Statements'!O5-'Revenue Build-up'!O11)&lt;0.5,"OK","REVIEW")</f>
        <v/>
      </c>
    </row>
    <row r="11">
      <c r="A11" s="6" t="inlineStr">
        <is>
          <t>Net fixed assets tie to FA schedule</t>
        </is>
      </c>
      <c r="I11" s="65">
        <f>IF(ABS('Forecast Financial Statements'!I20-'Fixed Asset Schedule'!I10)&lt;0.5,"OK","REVIEW")</f>
        <v/>
      </c>
      <c r="J11" s="65">
        <f>IF(ABS('Forecast Financial Statements'!J20-'Fixed Asset Schedule'!J10)&lt;0.5,"OK","REVIEW")</f>
        <v/>
      </c>
      <c r="K11" s="65">
        <f>IF(ABS('Forecast Financial Statements'!K20-'Fixed Asset Schedule'!K10)&lt;0.5,"OK","REVIEW")</f>
        <v/>
      </c>
      <c r="L11" s="65">
        <f>IF(ABS('Forecast Financial Statements'!L20-'Fixed Asset Schedule'!L10)&lt;0.5,"OK","REVIEW")</f>
        <v/>
      </c>
      <c r="M11" s="65">
        <f>IF(ABS('Forecast Financial Statements'!M20-'Fixed Asset Schedule'!M10)&lt;0.5,"OK","REVIEW")</f>
        <v/>
      </c>
      <c r="N11" s="65">
        <f>IF(ABS('Forecast Financial Statements'!N20-'Fixed Asset Schedule'!N10)&lt;0.5,"OK","REVIEW")</f>
        <v/>
      </c>
      <c r="O11" s="65">
        <f>IF(ABS('Forecast Financial Statements'!O20-'Fixed Asset Schedule'!O10)&lt;0.5,"OK","REVIEW")</f>
        <v/>
      </c>
    </row>
    <row r="13">
      <c r="A13" s="6" t="inlineStr">
        <is>
          <t>Historical balance check max |diff| (FY20-26)</t>
        </is>
      </c>
      <c r="C13" s="66">
        <f>MAX(ABS('Historical Financial Statements'!B31),ABS('Historical Financial Statements'!C31),ABS('Historical Financial Statements'!D31),ABS('Historical Financial Statements'!E31),ABS('Historical Financial Statements'!F31),ABS('Historical Financial Statements'!G31),ABS('Historical Financial Statements'!H31))</f>
        <v/>
      </c>
    </row>
    <row r="14">
      <c r="A14" s="6" t="inlineStr">
        <is>
          <t>Forecast balance check max |diff|</t>
        </is>
      </c>
      <c r="C14" s="66">
        <f>MAX(ABS('Forecast Financial Statements'!I36),ABS('Forecast Financial Statements'!J36),ABS('Forecast Financial Statements'!K36),ABS('Forecast Financial Statements'!L36),ABS('Forecast Financial Statements'!M36),ABS('Forecast Financial Statements'!N36),ABS('Forecast Financial Statements'!O36))</f>
        <v/>
      </c>
    </row>
    <row r="15">
      <c r="A15" s="6" t="inlineStr">
        <is>
          <t>Circular references</t>
        </is>
      </c>
      <c r="C15" s="6" t="inlineStr">
        <is>
          <t>None (interest charged on opening debt)</t>
        </is>
      </c>
    </row>
    <row r="16">
      <c r="A16" s="5" t="inlineStr">
        <is>
          <t>Overall model status</t>
        </is>
      </c>
      <c r="C16" s="67">
        <f>IF(COUNTIF(B5:O11,"REVIEW")=0,"ALL CHECKS PASS","REVIEW REQUIRED")</f>
        <v/>
      </c>
    </row>
  </sheetData>
  <conditionalFormatting sqref="B5:O11">
    <cfRule type="cellIs" priority="1" operator="equal" dxfId="0">
      <formula>"OK"</formula>
    </cfRule>
    <cfRule type="cellIs" priority="2" operator="equal" dxfId="1">
      <formula>"REVIEW"</formula>
    </cfRule>
  </conditionalFormatting>
  <conditionalFormatting sqref="C16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2026-06-27T11:28:37Z</dcterms:created>
  <dcterms:modified xsi:type="dcterms:W3CDTF">2026-06-27T11:28:37Z</dcterms:modified>
</cp:coreProperties>
</file>