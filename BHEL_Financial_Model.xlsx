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.xml" ContentType="application/vnd.openxmlformats-officedocument.drawing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0" autoFilterDateGrouping="1"/>
  </bookViews>
  <sheets>
    <sheet name="Cover Page" sheetId="1" state="visible" r:id="rId1"/>
    <sheet name="Assumptions" sheetId="2" state="visible" r:id="rId2"/>
    <sheet name="Historical Financial Statements" sheetId="3" state="visible" r:id="rId3"/>
    <sheet name="Historical Ratio Analysis" sheetId="4" state="visible" r:id="rId4"/>
    <sheet name="Operational Drivers" sheetId="5" state="visible" r:id="rId5"/>
    <sheet name="Revenue Build-up" sheetId="6" state="visible" r:id="rId6"/>
    <sheet name="Cost Forecast" sheetId="7" state="visible" r:id="rId7"/>
    <sheet name="Working Capital Schedule" sheetId="8" state="visible" r:id="rId8"/>
    <sheet name="Fixed Asset Schedule" sheetId="9" state="visible" r:id="rId9"/>
    <sheet name="Depreciation Schedule" sheetId="10" state="visible" r:id="rId10"/>
    <sheet name="Debt Schedule" sheetId="11" state="visible" r:id="rId11"/>
    <sheet name="Equity Schedule" sheetId="12" state="visible" r:id="rId12"/>
    <sheet name="Other Assets &amp; Liabilities" sheetId="13" state="visible" r:id="rId13"/>
    <sheet name="Cash Flow Statement" sheetId="14" state="visible" r:id="rId14"/>
    <sheet name="Forecast Financial Statements" sheetId="15" state="visible" r:id="rId15"/>
    <sheet name="Ratio Analysis" sheetId="16" state="visible" r:id="rId16"/>
    <sheet name="DCF Valuation" sheetId="17" state="visible" r:id="rId17"/>
    <sheet name="Relative Valuation" sheetId="18" state="visible" r:id="rId18"/>
    <sheet name="Sensitivity Analysis" sheetId="19" state="visible" r:id="rId19"/>
    <sheet name="Scenario Analysis" sheetId="20" state="visible" r:id="rId20"/>
    <sheet name="Dashboard" sheetId="21" state="visible" r:id="rId21"/>
    <sheet name="Error Check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7" fillId="0" borderId="2" applyAlignment="1" pivotButton="0" quotePrefix="0" xfId="0">
      <alignment horizontal="right"/>
    </xf>
    <xf numFmtId="165" fontId="7" fillId="5" borderId="2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5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0" fontId="10" fillId="0" borderId="0" pivotButton="0" quotePrefix="0" xfId="0"/>
    <xf numFmtId="164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5" fontId="7" fillId="5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4" fillId="5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0" fontId="3" fillId="4" borderId="1" pivotButton="0" quotePrefix="0" xfId="0"/>
    <xf numFmtId="2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Build-up'!$B$9:$O$9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6" t="inlineStr">
        <is>
          <t>Operating &amp; financial drivers (editable inputs in gold)</t>
        </is>
      </c>
    </row>
    <row r="4">
      <c r="A4" s="12" t="inlineStr">
        <is>
          <t>ratios / 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5" t="inlineStr">
        <is>
          <t>Execution rate (revenue / opening order book)</t>
        </is>
      </c>
      <c r="I5" s="14" t="n">
        <v>0.165</v>
      </c>
      <c r="J5" s="14" t="n">
        <v>0.17</v>
      </c>
      <c r="K5" s="14" t="n">
        <v>0.175</v>
      </c>
      <c r="L5" s="14" t="n">
        <v>0.18</v>
      </c>
      <c r="M5" s="14" t="n">
        <v>0.185</v>
      </c>
      <c r="N5" s="14" t="n">
        <v>0.19</v>
      </c>
      <c r="O5" s="14" t="n">
        <v>0.195</v>
      </c>
    </row>
    <row r="6">
      <c r="A6" s="5" t="inlineStr">
        <is>
          <t>New order inflow</t>
        </is>
      </c>
      <c r="I6" s="15" t="n">
        <v>78000</v>
      </c>
      <c r="J6" s="15" t="n">
        <v>82000</v>
      </c>
      <c r="K6" s="15" t="n">
        <v>86000</v>
      </c>
      <c r="L6" s="15" t="n">
        <v>90000</v>
      </c>
      <c r="M6" s="15" t="n">
        <v>92000</v>
      </c>
      <c r="N6" s="15" t="n">
        <v>94000</v>
      </c>
      <c r="O6" s="15" t="n">
        <v>96000</v>
      </c>
    </row>
    <row r="7">
      <c r="A7" s="5" t="inlineStr">
        <is>
          <t>EBITDA margin (% revenue)</t>
        </is>
      </c>
      <c r="I7" s="14" t="n">
        <v>0.075</v>
      </c>
      <c r="J7" s="14" t="n">
        <v>0.08500000000000001</v>
      </c>
      <c r="K7" s="14" t="n">
        <v>0.095</v>
      </c>
      <c r="L7" s="14" t="n">
        <v>0.105</v>
      </c>
      <c r="M7" s="14" t="n">
        <v>0.11</v>
      </c>
      <c r="N7" s="14" t="n">
        <v>0.115</v>
      </c>
      <c r="O7" s="14" t="n">
        <v>0.12</v>
      </c>
    </row>
    <row r="8">
      <c r="A8" s="5" t="inlineStr">
        <is>
          <t>Other income (% revenue)</t>
        </is>
      </c>
      <c r="I8" s="14" t="n">
        <v>0.018</v>
      </c>
      <c r="J8" s="14" t="n">
        <v>0.018</v>
      </c>
      <c r="K8" s="14" t="n">
        <v>0.018</v>
      </c>
      <c r="L8" s="14" t="n">
        <v>0.018</v>
      </c>
      <c r="M8" s="14" t="n">
        <v>0.018</v>
      </c>
      <c r="N8" s="14" t="n">
        <v>0.018</v>
      </c>
      <c r="O8" s="14" t="n">
        <v>0.018</v>
      </c>
    </row>
    <row r="9">
      <c r="A9" s="5" t="inlineStr">
        <is>
          <t>Employee cost (% revenue)</t>
        </is>
      </c>
      <c r="I9" s="14" t="n">
        <v>0.135</v>
      </c>
      <c r="J9" s="14" t="n">
        <v>0.128</v>
      </c>
      <c r="K9" s="14" t="n">
        <v>0.122</v>
      </c>
      <c r="L9" s="14" t="n">
        <v>0.116</v>
      </c>
      <c r="M9" s="14" t="n">
        <v>0.112</v>
      </c>
      <c r="N9" s="14" t="n">
        <v>0.108</v>
      </c>
      <c r="O9" s="14" t="n">
        <v>0.105</v>
      </c>
    </row>
    <row r="10">
      <c r="A10" s="5" t="inlineStr">
        <is>
          <t>Subcontracting &amp; erection (% revenue, in COGS)</t>
        </is>
      </c>
      <c r="I10" s="14" t="n">
        <v>0.08500000000000001</v>
      </c>
      <c r="J10" s="14" t="n">
        <v>0.08500000000000001</v>
      </c>
      <c r="K10" s="14" t="n">
        <v>0.08500000000000001</v>
      </c>
      <c r="L10" s="14" t="n">
        <v>0.08500000000000001</v>
      </c>
      <c r="M10" s="14" t="n">
        <v>0.08500000000000001</v>
      </c>
      <c r="N10" s="14" t="n">
        <v>0.08500000000000001</v>
      </c>
      <c r="O10" s="14" t="n">
        <v>0.08500000000000001</v>
      </c>
    </row>
    <row r="11">
      <c r="A11" s="5" t="inlineStr">
        <is>
          <t>Selling &amp; admin (% revenue)</t>
        </is>
      </c>
      <c r="I11" s="14" t="n">
        <v>0.075</v>
      </c>
      <c r="J11" s="14" t="n">
        <v>0.075</v>
      </c>
      <c r="K11" s="14" t="n">
        <v>0.075</v>
      </c>
      <c r="L11" s="14" t="n">
        <v>0.075</v>
      </c>
      <c r="M11" s="14" t="n">
        <v>0.075</v>
      </c>
      <c r="N11" s="14" t="n">
        <v>0.075</v>
      </c>
      <c r="O11" s="14" t="n">
        <v>0.075</v>
      </c>
    </row>
    <row r="12">
      <c r="A12" s="5" t="inlineStr">
        <is>
          <t>Capital expenditure</t>
        </is>
      </c>
      <c r="I12" s="15" t="n">
        <v>600</v>
      </c>
      <c r="J12" s="15" t="n">
        <v>700</v>
      </c>
      <c r="K12" s="15" t="n">
        <v>750</v>
      </c>
      <c r="L12" s="15" t="n">
        <v>800</v>
      </c>
      <c r="M12" s="15" t="n">
        <v>850</v>
      </c>
      <c r="N12" s="15" t="n">
        <v>900</v>
      </c>
      <c r="O12" s="15" t="n">
        <v>950</v>
      </c>
    </row>
    <row r="13">
      <c r="A13" s="5" t="inlineStr">
        <is>
          <t>Depreciation rate (% opening net block)</t>
        </is>
      </c>
      <c r="I13" s="14" t="n">
        <v>0.095</v>
      </c>
      <c r="J13" s="14" t="n">
        <v>0.095</v>
      </c>
      <c r="K13" s="14" t="n">
        <v>0.095</v>
      </c>
      <c r="L13" s="14" t="n">
        <v>0.095</v>
      </c>
      <c r="M13" s="14" t="n">
        <v>0.095</v>
      </c>
      <c r="N13" s="14" t="n">
        <v>0.095</v>
      </c>
      <c r="O13" s="14" t="n">
        <v>0.095</v>
      </c>
    </row>
    <row r="14">
      <c r="A14" s="5" t="inlineStr">
        <is>
          <t>Trade receivable days</t>
        </is>
      </c>
      <c r="I14" s="16" t="n">
        <v>75</v>
      </c>
      <c r="J14" s="16" t="n">
        <v>75</v>
      </c>
      <c r="K14" s="16" t="n">
        <v>75</v>
      </c>
      <c r="L14" s="16" t="n">
        <v>75</v>
      </c>
      <c r="M14" s="16" t="n">
        <v>75</v>
      </c>
      <c r="N14" s="16" t="n">
        <v>75</v>
      </c>
      <c r="O14" s="16" t="n">
        <v>75</v>
      </c>
    </row>
    <row r="15">
      <c r="A15" s="5" t="inlineStr">
        <is>
          <t>Inventory days</t>
        </is>
      </c>
      <c r="I15" s="16" t="n">
        <v>210</v>
      </c>
      <c r="J15" s="16" t="n">
        <v>205</v>
      </c>
      <c r="K15" s="16" t="n">
        <v>200</v>
      </c>
      <c r="L15" s="16" t="n">
        <v>200</v>
      </c>
      <c r="M15" s="16" t="n">
        <v>195</v>
      </c>
      <c r="N15" s="16" t="n">
        <v>195</v>
      </c>
      <c r="O15" s="16" t="n">
        <v>190</v>
      </c>
    </row>
    <row r="16">
      <c r="A16" s="5" t="inlineStr">
        <is>
          <t>Trade payable days</t>
        </is>
      </c>
      <c r="I16" s="16" t="n">
        <v>175</v>
      </c>
      <c r="J16" s="16" t="n">
        <v>175</v>
      </c>
      <c r="K16" s="16" t="n">
        <v>175</v>
      </c>
      <c r="L16" s="16" t="n">
        <v>175</v>
      </c>
      <c r="M16" s="16" t="n">
        <v>175</v>
      </c>
      <c r="N16" s="16" t="n">
        <v>175</v>
      </c>
      <c r="O16" s="16" t="n">
        <v>175</v>
      </c>
    </row>
    <row r="17">
      <c r="A17" s="5" t="inlineStr">
        <is>
          <t>Contract assets (% revenue)</t>
        </is>
      </c>
      <c r="I17" s="14" t="n">
        <v>0.235</v>
      </c>
      <c r="J17" s="14" t="n">
        <v>0.235</v>
      </c>
      <c r="K17" s="14" t="n">
        <v>0.235</v>
      </c>
      <c r="L17" s="14" t="n">
        <v>0.235</v>
      </c>
      <c r="M17" s="14" t="n">
        <v>0.235</v>
      </c>
      <c r="N17" s="14" t="n">
        <v>0.235</v>
      </c>
      <c r="O17" s="14" t="n">
        <v>0.235</v>
      </c>
    </row>
    <row r="18">
      <c r="A18" s="5" t="inlineStr">
        <is>
          <t>Contract liabilities / advances (% revenue)</t>
        </is>
      </c>
      <c r="I18" s="14" t="n">
        <v>0.355</v>
      </c>
      <c r="J18" s="14" t="n">
        <v>0.355</v>
      </c>
      <c r="K18" s="14" t="n">
        <v>0.355</v>
      </c>
      <c r="L18" s="14" t="n">
        <v>0.355</v>
      </c>
      <c r="M18" s="14" t="n">
        <v>0.355</v>
      </c>
      <c r="N18" s="14" t="n">
        <v>0.355</v>
      </c>
      <c r="O18" s="14" t="n">
        <v>0.355</v>
      </c>
    </row>
    <row r="19">
      <c r="A19" s="5" t="inlineStr">
        <is>
          <t>Other current/non-curr assets growth %</t>
        </is>
      </c>
      <c r="I19" s="14" t="n">
        <v>0.03</v>
      </c>
      <c r="J19" s="14" t="n">
        <v>0.03</v>
      </c>
      <c r="K19" s="14" t="n">
        <v>0.03</v>
      </c>
      <c r="L19" s="14" t="n">
        <v>0.03</v>
      </c>
      <c r="M19" s="14" t="n">
        <v>0.03</v>
      </c>
      <c r="N19" s="14" t="n">
        <v>0.03</v>
      </c>
      <c r="O19" s="14" t="n">
        <v>0.03</v>
      </c>
    </row>
    <row r="20">
      <c r="A20" s="5" t="inlineStr">
        <is>
          <t>Provisions &amp; other liabilities growth %</t>
        </is>
      </c>
      <c r="I20" s="14" t="n">
        <v>0.03</v>
      </c>
      <c r="J20" s="14" t="n">
        <v>0.03</v>
      </c>
      <c r="K20" s="14" t="n">
        <v>0.03</v>
      </c>
      <c r="L20" s="14" t="n">
        <v>0.03</v>
      </c>
      <c r="M20" s="14" t="n">
        <v>0.03</v>
      </c>
      <c r="N20" s="14" t="n">
        <v>0.03</v>
      </c>
      <c r="O20" s="14" t="n">
        <v>0.03</v>
      </c>
    </row>
    <row r="21">
      <c r="A21" s="5" t="inlineStr">
        <is>
          <t>Capital work-in-progress (closing)</t>
        </is>
      </c>
      <c r="I21" s="15" t="n">
        <v>400</v>
      </c>
      <c r="J21" s="15" t="n">
        <v>400</v>
      </c>
      <c r="K21" s="15" t="n">
        <v>400</v>
      </c>
      <c r="L21" s="15" t="n">
        <v>400</v>
      </c>
      <c r="M21" s="15" t="n">
        <v>400</v>
      </c>
      <c r="N21" s="15" t="n">
        <v>400</v>
      </c>
      <c r="O21" s="15" t="n">
        <v>400</v>
      </c>
    </row>
    <row r="22">
      <c r="A22" s="5" t="inlineStr">
        <is>
          <t>Investments (closing)</t>
        </is>
      </c>
      <c r="I22" s="15" t="n">
        <v>310</v>
      </c>
      <c r="J22" s="15" t="n">
        <v>320</v>
      </c>
      <c r="K22" s="15" t="n">
        <v>330</v>
      </c>
      <c r="L22" s="15" t="n">
        <v>340</v>
      </c>
      <c r="M22" s="15" t="n">
        <v>350</v>
      </c>
      <c r="N22" s="15" t="n">
        <v>360</v>
      </c>
      <c r="O22" s="15" t="n">
        <v>370</v>
      </c>
    </row>
    <row r="23">
      <c r="A23" s="5" t="inlineStr">
        <is>
          <t>Effective tax rate</t>
        </is>
      </c>
      <c r="I23" s="14" t="n">
        <v>0.25</v>
      </c>
      <c r="J23" s="14" t="n">
        <v>0.25</v>
      </c>
      <c r="K23" s="14" t="n">
        <v>0.25</v>
      </c>
      <c r="L23" s="14" t="n">
        <v>0.25</v>
      </c>
      <c r="M23" s="14" t="n">
        <v>0.25</v>
      </c>
      <c r="N23" s="14" t="n">
        <v>0.25</v>
      </c>
      <c r="O23" s="14" t="n">
        <v>0.25</v>
      </c>
    </row>
    <row r="24">
      <c r="A24" s="5" t="inlineStr">
        <is>
          <t>Dividend payout (% PAT)</t>
        </is>
      </c>
      <c r="I24" s="14" t="n">
        <v>0.3</v>
      </c>
      <c r="J24" s="14" t="n">
        <v>0.3</v>
      </c>
      <c r="K24" s="14" t="n">
        <v>0.3</v>
      </c>
      <c r="L24" s="14" t="n">
        <v>0.3</v>
      </c>
      <c r="M24" s="14" t="n">
        <v>0.3</v>
      </c>
      <c r="N24" s="14" t="n">
        <v>0.3</v>
      </c>
      <c r="O24" s="14" t="n">
        <v>0.3</v>
      </c>
    </row>
    <row r="25">
      <c r="A25" s="5" t="inlineStr">
        <is>
          <t>New borrowings drawn</t>
        </is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  <c r="N25" s="15" t="n">
        <v>0</v>
      </c>
      <c r="O25" s="15" t="n">
        <v>0</v>
      </c>
    </row>
    <row r="26">
      <c r="A26" s="5" t="inlineStr">
        <is>
          <t>Debt repayment</t>
        </is>
      </c>
      <c r="I26" s="15" t="n">
        <v>1000</v>
      </c>
      <c r="J26" s="15" t="n">
        <v>1000</v>
      </c>
      <c r="K26" s="15" t="n">
        <v>1000</v>
      </c>
      <c r="L26" s="15" t="n">
        <v>1000</v>
      </c>
      <c r="M26" s="15" t="n">
        <v>1000</v>
      </c>
      <c r="N26" s="15" t="n">
        <v>1000</v>
      </c>
      <c r="O26" s="15" t="n">
        <v>1000</v>
      </c>
    </row>
    <row r="27">
      <c r="A27" s="5" t="inlineStr">
        <is>
          <t>Interest rate on opening debt</t>
        </is>
      </c>
      <c r="I27" s="14" t="n">
        <v>0.08500000000000001</v>
      </c>
      <c r="J27" s="14" t="n">
        <v>0.08500000000000001</v>
      </c>
      <c r="K27" s="14" t="n">
        <v>0.08500000000000001</v>
      </c>
      <c r="L27" s="14" t="n">
        <v>0.08500000000000001</v>
      </c>
      <c r="M27" s="14" t="n">
        <v>0.08500000000000001</v>
      </c>
      <c r="N27" s="14" t="n">
        <v>0.08500000000000001</v>
      </c>
      <c r="O27" s="14" t="n">
        <v>0.08500000000000001</v>
      </c>
    </row>
    <row r="28">
      <c r="A28" s="5" t="inlineStr">
        <is>
          <t>LT borrowings (% of total debt)</t>
        </is>
      </c>
      <c r="I28" s="14" t="n">
        <v>0.35</v>
      </c>
      <c r="J28" s="14" t="n">
        <v>0.35</v>
      </c>
      <c r="K28" s="14" t="n">
        <v>0.35</v>
      </c>
      <c r="L28" s="14" t="n">
        <v>0.35</v>
      </c>
      <c r="M28" s="14" t="n">
        <v>0.35</v>
      </c>
      <c r="N28" s="14" t="n">
        <v>0.35</v>
      </c>
      <c r="O28" s="14" t="n">
        <v>0.35</v>
      </c>
    </row>
    <row r="29">
      <c r="A29" s="5" t="inlineStr">
        <is>
          <t>Other non-current assets (closing)</t>
        </is>
      </c>
      <c r="I29" s="15" t="n">
        <v>15500</v>
      </c>
      <c r="J29" s="15" t="n">
        <v>16000</v>
      </c>
      <c r="K29" s="15" t="n">
        <v>16500</v>
      </c>
      <c r="L29" s="15" t="n">
        <v>17000</v>
      </c>
      <c r="M29" s="15" t="n">
        <v>17500</v>
      </c>
      <c r="N29" s="15" t="n">
        <v>18000</v>
      </c>
      <c r="O29" s="15" t="n">
        <v>18500</v>
      </c>
    </row>
    <row r="30">
      <c r="A30" s="5" t="inlineStr">
        <is>
          <t>Other non-current liabilities (closing)</t>
        </is>
      </c>
      <c r="I30" s="15" t="n">
        <v>6200</v>
      </c>
      <c r="J30" s="15" t="n">
        <v>6400</v>
      </c>
      <c r="K30" s="15" t="n">
        <v>6600</v>
      </c>
      <c r="L30" s="15" t="n">
        <v>6800</v>
      </c>
      <c r="M30" s="15" t="n">
        <v>7000</v>
      </c>
      <c r="N30" s="15" t="n">
        <v>7200</v>
      </c>
      <c r="O30" s="15" t="n">
        <v>7400</v>
      </c>
    </row>
    <row r="32">
      <c r="A32" s="6" t="inlineStr">
        <is>
          <t>WACC &amp; valuation inputs</t>
        </is>
      </c>
    </row>
    <row r="33">
      <c r="A33" s="5" t="inlineStr">
        <is>
          <t>Risk-free rate (10Y India G-Sec)</t>
        </is>
      </c>
      <c r="C33" s="14" t="n">
        <v>0.068</v>
      </c>
    </row>
    <row r="34">
      <c r="A34" s="5" t="inlineStr">
        <is>
          <t>Levered beta</t>
        </is>
      </c>
      <c r="C34" s="17" t="n">
        <v>1.25</v>
      </c>
    </row>
    <row r="35">
      <c r="A35" s="5" t="inlineStr">
        <is>
          <t>Equity risk premium</t>
        </is>
      </c>
      <c r="C35" s="14" t="n">
        <v>0.065</v>
      </c>
    </row>
    <row r="36">
      <c r="A36" s="5" t="inlineStr">
        <is>
          <t>Pre-tax cost of debt</t>
        </is>
      </c>
      <c r="C36" s="14" t="n">
        <v>0.08500000000000001</v>
      </c>
    </row>
    <row r="37">
      <c r="A37" s="5" t="inlineStr">
        <is>
          <t>Marginal tax rate (WACC)</t>
        </is>
      </c>
      <c r="C37" s="14" t="n">
        <v>0.25</v>
      </c>
    </row>
    <row r="38">
      <c r="A38" s="5" t="inlineStr">
        <is>
          <t>Target weight of debt</t>
        </is>
      </c>
      <c r="C38" s="14" t="n">
        <v>0.15</v>
      </c>
    </row>
    <row r="39">
      <c r="A39" s="5" t="inlineStr">
        <is>
          <t>Target weight of equity</t>
        </is>
      </c>
      <c r="C39" s="14" t="n">
        <v>0.85</v>
      </c>
    </row>
    <row r="40">
      <c r="A40" s="5" t="inlineStr">
        <is>
          <t>Terminal growth rate</t>
        </is>
      </c>
      <c r="C40" s="14" t="n">
        <v>0.045</v>
      </c>
    </row>
    <row r="41">
      <c r="A41" s="4" t="inlineStr">
        <is>
          <t>Cost of equity (Ke = Rf + B x ERP)</t>
        </is>
      </c>
      <c r="C41" s="18">
        <f>'Assumptions'!C33+'Assumptions'!C34*'Assumptions'!C35</f>
        <v/>
      </c>
    </row>
    <row r="42">
      <c r="A42" s="4" t="inlineStr">
        <is>
          <t>WACC (We*Ke + Wd*Kd*(1-t))</t>
        </is>
      </c>
      <c r="C42" s="19">
        <f>'Assumptions'!C39*'Assumptions'!C41+'Assumptions'!C38*'Assumptions'!C36*(1-'Assumptions'!C37)</f>
        <v/>
      </c>
    </row>
    <row r="43">
      <c r="A43" s="5" t="inlineStr">
        <is>
          <t>Shares outstanding (crore)</t>
        </is>
      </c>
      <c r="C43" s="20" t="n">
        <v>348.05</v>
      </c>
    </row>
    <row r="44">
      <c r="A44" s="5" t="inlineStr">
        <is>
          <t>Current market price (INR)</t>
        </is>
      </c>
      <c r="C44" s="17" t="n">
        <v>403</v>
      </c>
    </row>
    <row r="45">
      <c r="A45" s="5" t="inlineStr">
        <is>
          <t>Face value (INR)</t>
        </is>
      </c>
      <c r="C45" s="17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Particulars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4" t="inlineStr">
        <is>
          <t>Sales</t>
        </is>
      </c>
      <c r="B5" s="21" t="n">
        <v>21463</v>
      </c>
      <c r="C5" s="21" t="n">
        <v>17309</v>
      </c>
      <c r="D5" s="21" t="n">
        <v>21211</v>
      </c>
      <c r="E5" s="21" t="n">
        <v>23365</v>
      </c>
      <c r="F5" s="21" t="n">
        <v>23893</v>
      </c>
      <c r="G5" s="21" t="n">
        <v>28339</v>
      </c>
      <c r="H5" s="21" t="n">
        <v>33782</v>
      </c>
    </row>
    <row r="6">
      <c r="A6" s="5" t="inlineStr">
        <is>
          <t>Total COGS</t>
        </is>
      </c>
      <c r="B6" s="21" t="n">
        <v>14496</v>
      </c>
      <c r="C6" s="21" t="n">
        <v>13657</v>
      </c>
      <c r="D6" s="21" t="n">
        <v>13783</v>
      </c>
      <c r="E6" s="21" t="n">
        <v>15721</v>
      </c>
      <c r="F6" s="21" t="n">
        <v>16682</v>
      </c>
      <c r="G6" s="21" t="n">
        <v>20040</v>
      </c>
      <c r="H6" s="21" t="n">
        <v>24040</v>
      </c>
    </row>
    <row r="7">
      <c r="A7" s="4" t="inlineStr">
        <is>
          <t>Gross Profit</t>
        </is>
      </c>
      <c r="B7" s="22">
        <f>B5-B6</f>
        <v/>
      </c>
      <c r="C7" s="22">
        <f>C5-C6</f>
        <v/>
      </c>
      <c r="D7" s="22">
        <f>D5-D6</f>
        <v/>
      </c>
      <c r="E7" s="22">
        <f>E5-E6</f>
        <v/>
      </c>
      <c r="F7" s="22">
        <f>F5-F6</f>
        <v/>
      </c>
      <c r="G7" s="22">
        <f>G5-G6</f>
        <v/>
      </c>
      <c r="H7" s="22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21" t="n">
        <v>6000</v>
      </c>
      <c r="C9" s="21" t="n">
        <v>5800</v>
      </c>
      <c r="D9" s="21" t="n">
        <v>5500</v>
      </c>
      <c r="E9" s="21" t="n">
        <v>5400</v>
      </c>
      <c r="F9" s="21" t="n">
        <v>5300</v>
      </c>
      <c r="G9" s="21" t="n">
        <v>5500</v>
      </c>
      <c r="H9" s="21" t="n">
        <v>5700</v>
      </c>
    </row>
    <row r="10">
      <c r="A10" s="5" t="inlineStr">
        <is>
          <t xml:space="preserve">   Selling and admin</t>
        </is>
      </c>
      <c r="B10" s="21" t="n">
        <v>1100</v>
      </c>
      <c r="C10" s="21" t="n">
        <v>900</v>
      </c>
      <c r="D10" s="21" t="n">
        <v>1100</v>
      </c>
      <c r="E10" s="21" t="n">
        <v>1200</v>
      </c>
      <c r="F10" s="21" t="n">
        <v>1200</v>
      </c>
      <c r="G10" s="21" t="n">
        <v>1400</v>
      </c>
      <c r="H10" s="21" t="n">
        <v>1700</v>
      </c>
    </row>
    <row r="11">
      <c r="A11" s="4" t="inlineStr">
        <is>
          <t>Total Operating Expenses</t>
        </is>
      </c>
      <c r="B11" s="22">
        <f>B9+B10</f>
        <v/>
      </c>
      <c r="C11" s="22">
        <f>C9+C10</f>
        <v/>
      </c>
      <c r="D11" s="22">
        <f>D9+D10</f>
        <v/>
      </c>
      <c r="E11" s="22">
        <f>E9+E10</f>
        <v/>
      </c>
      <c r="F11" s="22">
        <f>F9+F10</f>
        <v/>
      </c>
      <c r="G11" s="22">
        <f>G9+G10</f>
        <v/>
      </c>
      <c r="H11" s="22">
        <f>H9+H10</f>
        <v/>
      </c>
    </row>
    <row r="12">
      <c r="A12" s="4" t="inlineStr">
        <is>
          <t>EBITDA</t>
        </is>
      </c>
      <c r="B12" s="23">
        <f>B7-B11</f>
        <v/>
      </c>
      <c r="C12" s="23">
        <f>C7-C11</f>
        <v/>
      </c>
      <c r="D12" s="23">
        <f>D7-D11</f>
        <v/>
      </c>
      <c r="E12" s="23">
        <f>E7-E11</f>
        <v/>
      </c>
      <c r="F12" s="23">
        <f>F7-F11</f>
        <v/>
      </c>
      <c r="G12" s="23">
        <f>G7-G11</f>
        <v/>
      </c>
      <c r="H12" s="23">
        <f>H7-H11</f>
        <v/>
      </c>
    </row>
    <row r="13">
      <c r="A13" s="5" t="inlineStr">
        <is>
          <t>Depreciation &amp; Amortization</t>
        </is>
      </c>
      <c r="B13" s="21" t="n">
        <v>503</v>
      </c>
      <c r="C13" s="21" t="n">
        <v>473</v>
      </c>
      <c r="D13" s="21" t="n">
        <v>314</v>
      </c>
      <c r="E13" s="21" t="n">
        <v>260</v>
      </c>
      <c r="F13" s="21" t="n">
        <v>249</v>
      </c>
      <c r="G13" s="21" t="n">
        <v>272</v>
      </c>
      <c r="H13" s="21" t="n">
        <v>316</v>
      </c>
    </row>
    <row r="14">
      <c r="A14" s="4" t="inlineStr">
        <is>
          <t>EBIT</t>
        </is>
      </c>
      <c r="B14" s="24">
        <f>B12-B13</f>
        <v/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</row>
    <row r="15">
      <c r="A15" s="5" t="inlineStr">
        <is>
          <t>Other Income</t>
        </is>
      </c>
      <c r="B15" s="21" t="n">
        <v>590</v>
      </c>
      <c r="C15" s="21" t="n">
        <v>393</v>
      </c>
      <c r="D15" s="21" t="n">
        <v>405</v>
      </c>
      <c r="E15" s="21" t="n">
        <v>544</v>
      </c>
      <c r="F15" s="21" t="n">
        <v>608</v>
      </c>
      <c r="G15" s="21" t="n">
        <v>524</v>
      </c>
      <c r="H15" s="21" t="n">
        <v>869</v>
      </c>
    </row>
    <row r="16">
      <c r="A16" s="5" t="inlineStr">
        <is>
          <t>Interest Paid</t>
        </is>
      </c>
      <c r="B16" s="21" t="n">
        <v>613</v>
      </c>
      <c r="C16" s="21" t="n">
        <v>467</v>
      </c>
      <c r="D16" s="21" t="n">
        <v>448</v>
      </c>
      <c r="E16" s="21" t="n">
        <v>612</v>
      </c>
      <c r="F16" s="21" t="n">
        <v>828</v>
      </c>
      <c r="G16" s="21" t="n">
        <v>906</v>
      </c>
      <c r="H16" s="21" t="n">
        <v>756</v>
      </c>
    </row>
    <row r="17">
      <c r="A17" s="4" t="inlineStr">
        <is>
          <t>Profit Before Tax (PBT)</t>
        </is>
      </c>
      <c r="B17" s="22">
        <f>B14+B15-B16</f>
        <v/>
      </c>
      <c r="C17" s="22">
        <f>C14+C15-C16</f>
        <v/>
      </c>
      <c r="D17" s="22">
        <f>D14+D15-D16</f>
        <v/>
      </c>
      <c r="E17" s="22">
        <f>E14+E15-E16</f>
        <v/>
      </c>
      <c r="F17" s="22">
        <f>F14+F15-F16</f>
        <v/>
      </c>
      <c r="G17" s="22">
        <f>G14+G15-G16</f>
        <v/>
      </c>
      <c r="H17" s="22">
        <f>H14+H15-H16</f>
        <v/>
      </c>
    </row>
    <row r="18">
      <c r="A18" s="5" t="inlineStr">
        <is>
          <t>Tax</t>
        </is>
      </c>
      <c r="B18" s="21" t="n">
        <v>809</v>
      </c>
      <c r="C18" s="21" t="n">
        <v>-896</v>
      </c>
      <c r="D18" s="21" t="n">
        <v>25</v>
      </c>
      <c r="E18" s="21" t="n">
        <v>62</v>
      </c>
      <c r="F18" s="21" t="n">
        <v>-39</v>
      </c>
      <c r="G18" s="21" t="n">
        <v>212</v>
      </c>
      <c r="H18" s="21" t="n">
        <v>539</v>
      </c>
    </row>
    <row r="19">
      <c r="A19" s="5" t="inlineStr">
        <is>
          <t>Adjustments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</row>
    <row r="20">
      <c r="A20" s="4" t="inlineStr">
        <is>
          <t>Profit After Tax (PAT)</t>
        </is>
      </c>
      <c r="B20" s="25">
        <f>B17-B18+B19</f>
        <v/>
      </c>
      <c r="C20" s="25">
        <f>C17-C18+C19</f>
        <v/>
      </c>
      <c r="D20" s="25">
        <f>D17-D18+D19</f>
        <v/>
      </c>
      <c r="E20" s="25">
        <f>E17-E18+E19</f>
        <v/>
      </c>
      <c r="F20" s="25">
        <f>F17-F18+F19</f>
        <v/>
      </c>
      <c r="G20" s="25">
        <f>G17-G18+G19</f>
        <v/>
      </c>
      <c r="H20" s="25">
        <f>H17-H18+H19</f>
        <v/>
      </c>
    </row>
    <row r="21">
      <c r="A21" s="5" t="inlineStr">
        <is>
          <t>EPS (INR)</t>
        </is>
      </c>
      <c r="B21" s="26">
        <f>B20/'Assumptions'!C43</f>
        <v/>
      </c>
      <c r="C21" s="26">
        <f>C20/'Assumptions'!C43</f>
        <v/>
      </c>
      <c r="D21" s="26">
        <f>D20/'Assumptions'!C43</f>
        <v/>
      </c>
      <c r="E21" s="26">
        <f>E20/'Assumptions'!C43</f>
        <v/>
      </c>
      <c r="F21" s="26">
        <f>F20/'Assumptions'!C43</f>
        <v/>
      </c>
      <c r="G21" s="26">
        <f>G20/'Assumptions'!C43</f>
        <v/>
      </c>
      <c r="H21" s="26">
        <f>H20/'Assumptions'!C43</f>
        <v/>
      </c>
    </row>
    <row r="22">
      <c r="A22" s="5" t="inlineStr">
        <is>
          <t>Dividend</t>
        </is>
      </c>
      <c r="B22" s="21" t="n">
        <v>0</v>
      </c>
      <c r="C22" s="21" t="n">
        <v>0</v>
      </c>
      <c r="D22" s="21" t="n">
        <v>138</v>
      </c>
      <c r="E22" s="21" t="n">
        <v>137</v>
      </c>
      <c r="F22" s="21" t="n">
        <v>87</v>
      </c>
      <c r="G22" s="21" t="n">
        <v>176</v>
      </c>
      <c r="H22" s="21" t="n">
        <v>487</v>
      </c>
    </row>
    <row r="23">
      <c r="A23" s="7" t="inlineStr">
        <is>
          <t>Memo: total operating cost (COGS+OpEx)</t>
        </is>
      </c>
      <c r="B23" s="24">
        <f>B6+B11</f>
        <v/>
      </c>
      <c r="C23" s="24">
        <f>C6+C11</f>
        <v/>
      </c>
      <c r="D23" s="24">
        <f>D6+D11</f>
        <v/>
      </c>
      <c r="E23" s="24">
        <f>E6+E11</f>
        <v/>
      </c>
      <c r="F23" s="24">
        <f>F6+F11</f>
        <v/>
      </c>
      <c r="G23" s="24">
        <f>G6+G11</f>
        <v/>
      </c>
      <c r="H23" s="24">
        <f>H6+H11</f>
        <v/>
      </c>
    </row>
    <row r="24">
      <c r="A24" s="27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2" t="inlineStr">
        <is>
          <t>Particulars</t>
        </is>
      </c>
      <c r="B27" s="13" t="inlineStr">
        <is>
          <t>FY2020</t>
        </is>
      </c>
      <c r="C27" s="13" t="inlineStr">
        <is>
          <t>FY2021</t>
        </is>
      </c>
      <c r="D27" s="13" t="inlineStr">
        <is>
          <t>FY2022</t>
        </is>
      </c>
      <c r="E27" s="13" t="inlineStr">
        <is>
          <t>FY2023</t>
        </is>
      </c>
      <c r="F27" s="13" t="inlineStr">
        <is>
          <t>FY2024</t>
        </is>
      </c>
      <c r="G27" s="13" t="inlineStr">
        <is>
          <t>FY2025</t>
        </is>
      </c>
      <c r="H27" s="13" t="inlineStr">
        <is>
          <t>FY2026</t>
        </is>
      </c>
      <c r="I27" s="13" t="inlineStr">
        <is>
          <t>FY2027</t>
        </is>
      </c>
      <c r="J27" s="13" t="inlineStr">
        <is>
          <t>FY2028</t>
        </is>
      </c>
      <c r="K27" s="13" t="inlineStr">
        <is>
          <t>FY2029</t>
        </is>
      </c>
      <c r="L27" s="13" t="inlineStr">
        <is>
          <t>FY2030</t>
        </is>
      </c>
      <c r="M27" s="13" t="inlineStr">
        <is>
          <t>FY2031</t>
        </is>
      </c>
      <c r="N27" s="13" t="inlineStr">
        <is>
          <t>FY2032</t>
        </is>
      </c>
      <c r="O27" s="13" t="inlineStr">
        <is>
          <t>FY2033</t>
        </is>
      </c>
    </row>
    <row r="28">
      <c r="A28" s="5" t="inlineStr">
        <is>
          <t>Net property, plant &amp; equipment</t>
        </is>
      </c>
      <c r="B28" s="21" t="n">
        <v>2817</v>
      </c>
      <c r="C28" s="21" t="n">
        <v>2491</v>
      </c>
      <c r="D28" s="21" t="n">
        <v>2398</v>
      </c>
      <c r="E28" s="21" t="n">
        <v>2476</v>
      </c>
      <c r="F28" s="21" t="n">
        <v>2574</v>
      </c>
      <c r="G28" s="21" t="n">
        <v>2947</v>
      </c>
      <c r="H28" s="21" t="n">
        <v>3094</v>
      </c>
    </row>
    <row r="29">
      <c r="A29" s="5" t="inlineStr">
        <is>
          <t>Capital work-in-progress</t>
        </is>
      </c>
      <c r="B29" s="21" t="n">
        <v>314</v>
      </c>
      <c r="C29" s="21" t="n">
        <v>420</v>
      </c>
      <c r="D29" s="21" t="n">
        <v>431</v>
      </c>
      <c r="E29" s="21" t="n">
        <v>354</v>
      </c>
      <c r="F29" s="21" t="n">
        <v>308</v>
      </c>
      <c r="G29" s="21" t="n">
        <v>195</v>
      </c>
      <c r="H29" s="21" t="n">
        <v>399</v>
      </c>
    </row>
    <row r="30">
      <c r="A30" s="5" t="inlineStr">
        <is>
          <t>Investments</t>
        </is>
      </c>
      <c r="B30" s="21" t="n">
        <v>162</v>
      </c>
      <c r="C30" s="21" t="n">
        <v>185</v>
      </c>
      <c r="D30" s="21" t="n">
        <v>205</v>
      </c>
      <c r="E30" s="21" t="n">
        <v>235</v>
      </c>
      <c r="F30" s="21" t="n">
        <v>256</v>
      </c>
      <c r="G30" s="21" t="n">
        <v>276</v>
      </c>
      <c r="H30" s="21" t="n">
        <v>302</v>
      </c>
    </row>
    <row r="31">
      <c r="A31" s="5" t="inlineStr">
        <is>
          <t>Other assets (inventory, receivables, cash, contract &amp; other)</t>
        </is>
      </c>
      <c r="B31" s="21" t="n">
        <v>56998</v>
      </c>
      <c r="C31" s="21" t="n">
        <v>52864</v>
      </c>
      <c r="D31" s="21" t="n">
        <v>53956</v>
      </c>
      <c r="E31" s="21" t="n">
        <v>54599</v>
      </c>
      <c r="F31" s="21" t="n">
        <v>56646</v>
      </c>
      <c r="G31" s="21" t="n">
        <v>65431</v>
      </c>
      <c r="H31" s="21" t="n">
        <v>72390</v>
      </c>
    </row>
    <row r="32">
      <c r="A32" s="4" t="inlineStr">
        <is>
          <t>TOTAL ASSETS</t>
        </is>
      </c>
      <c r="B32" s="25">
        <f>SUM(B28:B31)</f>
        <v/>
      </c>
      <c r="C32" s="25">
        <f>SUM(C28:C31)</f>
        <v/>
      </c>
      <c r="D32" s="25">
        <f>SUM(D28:D31)</f>
        <v/>
      </c>
      <c r="E32" s="25">
        <f>SUM(E28:E31)</f>
        <v/>
      </c>
      <c r="F32" s="25">
        <f>SUM(F28:F31)</f>
        <v/>
      </c>
      <c r="G32" s="25">
        <f>SUM(G28:G31)</f>
        <v/>
      </c>
      <c r="H32" s="25">
        <f>SUM(H28:H31)</f>
        <v/>
      </c>
    </row>
    <row r="33">
      <c r="A33" s="5" t="inlineStr">
        <is>
          <t>Equity share capital</t>
        </is>
      </c>
      <c r="B33" s="21" t="n">
        <v>696</v>
      </c>
      <c r="C33" s="21" t="n">
        <v>696</v>
      </c>
      <c r="D33" s="21" t="n">
        <v>696</v>
      </c>
      <c r="E33" s="21" t="n">
        <v>696</v>
      </c>
      <c r="F33" s="21" t="n">
        <v>696</v>
      </c>
      <c r="G33" s="21" t="n">
        <v>696</v>
      </c>
      <c r="H33" s="21" t="n">
        <v>696</v>
      </c>
    </row>
    <row r="34">
      <c r="A34" s="5" t="inlineStr">
        <is>
          <t>Other equity (reserves &amp; surplus)</t>
        </is>
      </c>
      <c r="B34" s="21" t="n">
        <v>27964</v>
      </c>
      <c r="C34" s="21" t="n">
        <v>25287</v>
      </c>
      <c r="D34" s="21" t="n">
        <v>25810</v>
      </c>
      <c r="E34" s="21" t="n">
        <v>23682</v>
      </c>
      <c r="F34" s="21" t="n">
        <v>23742</v>
      </c>
      <c r="G34" s="21" t="n">
        <v>24026</v>
      </c>
      <c r="H34" s="21" t="n">
        <v>25450</v>
      </c>
    </row>
    <row r="35">
      <c r="A35" s="5" t="inlineStr">
        <is>
          <t>Borrowings (incl. lease liabilities)</t>
        </is>
      </c>
      <c r="B35" s="21" t="n">
        <v>5080</v>
      </c>
      <c r="C35" s="21" t="n">
        <v>4951</v>
      </c>
      <c r="D35" s="21" t="n">
        <v>4830</v>
      </c>
      <c r="E35" s="21" t="n">
        <v>5454</v>
      </c>
      <c r="F35" s="21" t="n">
        <v>8856</v>
      </c>
      <c r="G35" s="21" t="n">
        <v>9015</v>
      </c>
      <c r="H35" s="21" t="n">
        <v>8187</v>
      </c>
    </row>
    <row r="36">
      <c r="A36" s="5" t="inlineStr">
        <is>
          <t>Other liabilities (payables, advances, provisions)</t>
        </is>
      </c>
      <c r="B36" s="21" t="n">
        <v>26550</v>
      </c>
      <c r="C36" s="21" t="n">
        <v>25025</v>
      </c>
      <c r="D36" s="21" t="n">
        <v>25654</v>
      </c>
      <c r="E36" s="21" t="n">
        <v>27832</v>
      </c>
      <c r="F36" s="21" t="n">
        <v>26489</v>
      </c>
      <c r="G36" s="21" t="n">
        <v>35112</v>
      </c>
      <c r="H36" s="21" t="n">
        <v>41852</v>
      </c>
    </row>
    <row r="37">
      <c r="A37" s="4" t="inlineStr">
        <is>
          <t>TOTAL EQUITY &amp; LIABILITIES</t>
        </is>
      </c>
      <c r="B37" s="25">
        <f>SUM(B33:B36)</f>
        <v/>
      </c>
      <c r="C37" s="25">
        <f>SUM(C33:C36)</f>
        <v/>
      </c>
      <c r="D37" s="25">
        <f>SUM(D33:D36)</f>
        <v/>
      </c>
      <c r="E37" s="25">
        <f>SUM(E33:E36)</f>
        <v/>
      </c>
      <c r="F37" s="25">
        <f>SUM(F33:F36)</f>
        <v/>
      </c>
      <c r="G37" s="25">
        <f>SUM(G33:G36)</f>
        <v/>
      </c>
      <c r="H37" s="25">
        <f>SUM(H33:H36)</f>
        <v/>
      </c>
    </row>
    <row r="38">
      <c r="A38" s="5" t="inlineStr">
        <is>
          <t>Balance check (TA - TE&amp;L)</t>
        </is>
      </c>
      <c r="B38" s="24">
        <f>B32-B37</f>
        <v/>
      </c>
      <c r="C38" s="24">
        <f>C32-C37</f>
        <v/>
      </c>
      <c r="D38" s="24">
        <f>D32-D37</f>
        <v/>
      </c>
      <c r="E38" s="24">
        <f>E32-E37</f>
        <v/>
      </c>
      <c r="F38" s="24">
        <f>F32-F37</f>
        <v/>
      </c>
      <c r="G38" s="24">
        <f>G32-G37</f>
        <v/>
      </c>
      <c r="H38" s="24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2" t="inlineStr">
        <is>
          <t>Particulars</t>
        </is>
      </c>
      <c r="B41" s="13" t="inlineStr">
        <is>
          <t>FY2020</t>
        </is>
      </c>
      <c r="C41" s="13" t="inlineStr">
        <is>
          <t>FY2021</t>
        </is>
      </c>
      <c r="D41" s="13" t="inlineStr">
        <is>
          <t>FY2022</t>
        </is>
      </c>
      <c r="E41" s="13" t="inlineStr">
        <is>
          <t>FY2023</t>
        </is>
      </c>
      <c r="F41" s="13" t="inlineStr">
        <is>
          <t>FY2024</t>
        </is>
      </c>
      <c r="G41" s="13" t="inlineStr">
        <is>
          <t>FY2025</t>
        </is>
      </c>
      <c r="H41" s="13" t="inlineStr">
        <is>
          <t>FY2026</t>
        </is>
      </c>
      <c r="I41" s="13" t="inlineStr">
        <is>
          <t>FY2027</t>
        </is>
      </c>
      <c r="J41" s="13" t="inlineStr">
        <is>
          <t>FY2028</t>
        </is>
      </c>
      <c r="K41" s="13" t="inlineStr">
        <is>
          <t>FY2029</t>
        </is>
      </c>
      <c r="L41" s="13" t="inlineStr">
        <is>
          <t>FY2030</t>
        </is>
      </c>
      <c r="M41" s="13" t="inlineStr">
        <is>
          <t>FY2031</t>
        </is>
      </c>
      <c r="N41" s="13" t="inlineStr">
        <is>
          <t>FY2032</t>
        </is>
      </c>
      <c r="O41" s="13" t="inlineStr">
        <is>
          <t>FY2033</t>
        </is>
      </c>
    </row>
    <row r="42">
      <c r="A42" s="5" t="inlineStr">
        <is>
          <t>Cash flow from operating activities</t>
        </is>
      </c>
      <c r="B42" s="21" t="n">
        <v>-2892</v>
      </c>
      <c r="C42" s="21" t="n">
        <v>560</v>
      </c>
      <c r="D42" s="21" t="n">
        <v>660</v>
      </c>
      <c r="E42" s="21" t="n">
        <v>-741</v>
      </c>
      <c r="F42" s="21" t="n">
        <v>-3713</v>
      </c>
      <c r="G42" s="21" t="n">
        <v>2192</v>
      </c>
      <c r="H42" s="21" t="n">
        <v>5837</v>
      </c>
    </row>
    <row r="43">
      <c r="A43" s="5" t="inlineStr">
        <is>
          <t>Cash flow from investing activities</t>
        </is>
      </c>
      <c r="B43" s="21" t="n">
        <v>1877</v>
      </c>
      <c r="C43" s="21" t="n">
        <v>-42</v>
      </c>
      <c r="D43" s="21" t="n">
        <v>-1118</v>
      </c>
      <c r="E43" s="21" t="n">
        <v>1480</v>
      </c>
      <c r="F43" s="21" t="n">
        <v>1331</v>
      </c>
      <c r="G43" s="21" t="n">
        <v>-2731</v>
      </c>
      <c r="H43" s="21" t="n">
        <v>-3035</v>
      </c>
    </row>
    <row r="44">
      <c r="A44" s="5" t="inlineStr">
        <is>
          <t>Cash flow from financing activities</t>
        </is>
      </c>
      <c r="B44" s="21" t="n">
        <v>1622</v>
      </c>
      <c r="C44" s="21" t="n">
        <v>-394</v>
      </c>
      <c r="D44" s="21" t="n">
        <v>-329</v>
      </c>
      <c r="E44" s="21" t="n">
        <v>89</v>
      </c>
      <c r="F44" s="21" t="n">
        <v>2656</v>
      </c>
      <c r="G44" s="21" t="n">
        <v>-857</v>
      </c>
      <c r="H44" s="21" t="n">
        <v>-1806</v>
      </c>
    </row>
    <row r="45">
      <c r="A45" s="4" t="inlineStr">
        <is>
          <t>Net increase/(decrease) in cash</t>
        </is>
      </c>
      <c r="B45" s="25">
        <f>SUM(B42:B44)</f>
        <v/>
      </c>
      <c r="C45" s="25">
        <f>SUM(C42:C44)</f>
        <v/>
      </c>
      <c r="D45" s="25">
        <f>SUM(D42:D44)</f>
        <v/>
      </c>
      <c r="E45" s="25">
        <f>SUM(E42:E44)</f>
        <v/>
      </c>
      <c r="F45" s="25">
        <f>SUM(F42:F44)</f>
        <v/>
      </c>
      <c r="G45" s="25">
        <f>SUM(G42:G44)</f>
        <v/>
      </c>
      <c r="H45" s="25">
        <f>SUM(H42:H44)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2" t="inlineStr">
        <is>
          <t>INR Crore</t>
        </is>
      </c>
      <c r="B3" s="13" t="inlineStr">
        <is>
          <t>FY2020</t>
        </is>
      </c>
      <c r="C3" s="13" t="inlineStr">
        <is>
          <t>FY2021</t>
        </is>
      </c>
      <c r="D3" s="13" t="inlineStr">
        <is>
          <t>FY2022</t>
        </is>
      </c>
      <c r="E3" s="13" t="inlineStr">
        <is>
          <t>FY2023</t>
        </is>
      </c>
      <c r="F3" s="13" t="inlineStr">
        <is>
          <t>FY2024</t>
        </is>
      </c>
      <c r="G3" s="13" t="inlineStr">
        <is>
          <t>FY2025</t>
        </is>
      </c>
      <c r="H3" s="13" t="inlineStr">
        <is>
          <t>FY2026</t>
        </is>
      </c>
      <c r="I3" s="13" t="inlineStr">
        <is>
          <t>FY2027</t>
        </is>
      </c>
      <c r="J3" s="13" t="inlineStr">
        <is>
          <t>FY2028</t>
        </is>
      </c>
      <c r="K3" s="13" t="inlineStr">
        <is>
          <t>FY2029</t>
        </is>
      </c>
      <c r="L3" s="13" t="inlineStr">
        <is>
          <t>FY2030</t>
        </is>
      </c>
      <c r="M3" s="13" t="inlineStr">
        <is>
          <t>FY2031</t>
        </is>
      </c>
      <c r="N3" s="13" t="inlineStr">
        <is>
          <t>FY2032</t>
        </is>
      </c>
      <c r="O3" s="13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28">
        <f>'Historical Financial Statements'!C5/'Historical Financial Statements'!B5-1</f>
        <v/>
      </c>
      <c r="D5" s="28">
        <f>'Historical Financial Statements'!D5/'Historical Financial Statements'!C5-1</f>
        <v/>
      </c>
      <c r="E5" s="28">
        <f>'Historical Financial Statements'!E5/'Historical Financial Statements'!D5-1</f>
        <v/>
      </c>
      <c r="F5" s="28">
        <f>'Historical Financial Statements'!F5/'Historical Financial Statements'!E5-1</f>
        <v/>
      </c>
      <c r="G5" s="28">
        <f>'Historical Financial Statements'!G5/'Historical Financial Statements'!F5-1</f>
        <v/>
      </c>
      <c r="H5" s="28">
        <f>'Historical Financial Statements'!H5/'Historical Financial Statements'!G5-1</f>
        <v/>
      </c>
    </row>
    <row r="6">
      <c r="A6" s="5" t="inlineStr">
        <is>
          <t>Gross margin %</t>
        </is>
      </c>
      <c r="B6" s="28">
        <f>'Historical Financial Statements'!B7/'Historical Financial Statements'!B5</f>
        <v/>
      </c>
      <c r="C6" s="28">
        <f>'Historical Financial Statements'!C7/'Historical Financial Statements'!C5</f>
        <v/>
      </c>
      <c r="D6" s="28">
        <f>'Historical Financial Statements'!D7/'Historical Financial Statements'!D5</f>
        <v/>
      </c>
      <c r="E6" s="28">
        <f>'Historical Financial Statements'!E7/'Historical Financial Statements'!E5</f>
        <v/>
      </c>
      <c r="F6" s="28">
        <f>'Historical Financial Statements'!F7/'Historical Financial Statements'!F5</f>
        <v/>
      </c>
      <c r="G6" s="28">
        <f>'Historical Financial Statements'!G7/'Historical Financial Statements'!G5</f>
        <v/>
      </c>
      <c r="H6" s="28">
        <f>'Historical Financial Statements'!H7/'Historical Financial Statements'!H5</f>
        <v/>
      </c>
    </row>
    <row r="7">
      <c r="A7" s="5" t="inlineStr">
        <is>
          <t>EBITDA margin %</t>
        </is>
      </c>
      <c r="B7" s="28">
        <f>'Historical Financial Statements'!B12/'Historical Financial Statements'!B5</f>
        <v/>
      </c>
      <c r="C7" s="28">
        <f>'Historical Financial Statements'!C12/'Historical Financial Statements'!C5</f>
        <v/>
      </c>
      <c r="D7" s="28">
        <f>'Historical Financial Statements'!D12/'Historical Financial Statements'!D5</f>
        <v/>
      </c>
      <c r="E7" s="28">
        <f>'Historical Financial Statements'!E12/'Historical Financial Statements'!E5</f>
        <v/>
      </c>
      <c r="F7" s="28">
        <f>'Historical Financial Statements'!F12/'Historical Financial Statements'!F5</f>
        <v/>
      </c>
      <c r="G7" s="28">
        <f>'Historical Financial Statements'!G12/'Historical Financial Statements'!G5</f>
        <v/>
      </c>
      <c r="H7" s="28">
        <f>'Historical Financial Statements'!H12/'Historical Financial Statements'!H5</f>
        <v/>
      </c>
    </row>
    <row r="8">
      <c r="A8" s="5" t="inlineStr">
        <is>
          <t>EBIT margin %</t>
        </is>
      </c>
      <c r="B8" s="28">
        <f>'Historical Financial Statements'!B14/'Historical Financial Statements'!B5</f>
        <v/>
      </c>
      <c r="C8" s="28">
        <f>'Historical Financial Statements'!C14/'Historical Financial Statements'!C5</f>
        <v/>
      </c>
      <c r="D8" s="28">
        <f>'Historical Financial Statements'!D14/'Historical Financial Statements'!D5</f>
        <v/>
      </c>
      <c r="E8" s="28">
        <f>'Historical Financial Statements'!E14/'Historical Financial Statements'!E5</f>
        <v/>
      </c>
      <c r="F8" s="28">
        <f>'Historical Financial Statements'!F14/'Historical Financial Statements'!F5</f>
        <v/>
      </c>
      <c r="G8" s="28">
        <f>'Historical Financial Statements'!G14/'Historical Financial Statements'!G5</f>
        <v/>
      </c>
      <c r="H8" s="28">
        <f>'Historical Financial Statements'!H14/'Historical Financial Statements'!H5</f>
        <v/>
      </c>
    </row>
    <row r="9">
      <c r="A9" s="5" t="inlineStr">
        <is>
          <t>PAT margin %</t>
        </is>
      </c>
      <c r="B9" s="28">
        <f>'Historical Financial Statements'!B20/'Historical Financial Statements'!B5</f>
        <v/>
      </c>
      <c r="C9" s="28">
        <f>'Historical Financial Statements'!C20/'Historical Financial Statements'!C5</f>
        <v/>
      </c>
      <c r="D9" s="28">
        <f>'Historical Financial Statements'!D20/'Historical Financial Statements'!D5</f>
        <v/>
      </c>
      <c r="E9" s="28">
        <f>'Historical Financial Statements'!E20/'Historical Financial Statements'!E5</f>
        <v/>
      </c>
      <c r="F9" s="28">
        <f>'Historical Financial Statements'!F20/'Historical Financial Statements'!F5</f>
        <v/>
      </c>
      <c r="G9" s="28">
        <f>'Historical Financial Statements'!G20/'Historical Financial Statements'!G5</f>
        <v/>
      </c>
      <c r="H9" s="28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28">
        <f>'Historical Financial Statements'!C20/(('Historical Financial Statements'!C33+'Historical Financial Statements'!C34+'Historical Financial Statements'!B33+'Historical Financial Statements'!B34)/2)</f>
        <v/>
      </c>
      <c r="D12" s="28">
        <f>'Historical Financial Statements'!D20/(('Historical Financial Statements'!D33+'Historical Financial Statements'!D34+'Historical Financial Statements'!C33+'Historical Financial Statements'!C34)/2)</f>
        <v/>
      </c>
      <c r="E12" s="28">
        <f>'Historical Financial Statements'!E20/(('Historical Financial Statements'!E33+'Historical Financial Statements'!E34+'Historical Financial Statements'!D33+'Historical Financial Statements'!D34)/2)</f>
        <v/>
      </c>
      <c r="F12" s="28">
        <f>'Historical Financial Statements'!F20/(('Historical Financial Statements'!F33+'Historical Financial Statements'!F34+'Historical Financial Statements'!E33+'Historical Financial Statements'!E34)/2)</f>
        <v/>
      </c>
      <c r="G12" s="28">
        <f>'Historical Financial Statements'!G20/(('Historical Financial Statements'!G33+'Historical Financial Statements'!G34+'Historical Financial Statements'!F33+'Historical Financial Statements'!F34)/2)</f>
        <v/>
      </c>
      <c r="H12" s="28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28">
        <f>'Historical Financial Statements'!B14/('Historical Financial Statements'!B33+'Historical Financial Statements'!B34+'Historical Financial Statements'!B35)</f>
        <v/>
      </c>
      <c r="C13" s="28">
        <f>'Historical Financial Statements'!C14/('Historical Financial Statements'!C33+'Historical Financial Statements'!C34+'Historical Financial Statements'!C35)</f>
        <v/>
      </c>
      <c r="D13" s="28">
        <f>'Historical Financial Statements'!D14/('Historical Financial Statements'!D33+'Historical Financial Statements'!D34+'Historical Financial Statements'!D35)</f>
        <v/>
      </c>
      <c r="E13" s="28">
        <f>'Historical Financial Statements'!E14/('Historical Financial Statements'!E33+'Historical Financial Statements'!E34+'Historical Financial Statements'!E35)</f>
        <v/>
      </c>
      <c r="F13" s="28">
        <f>'Historical Financial Statements'!F14/('Historical Financial Statements'!F33+'Historical Financial Statements'!F34+'Historical Financial Statements'!F35)</f>
        <v/>
      </c>
      <c r="G13" s="28">
        <f>'Historical Financial Statements'!G14/('Historical Financial Statements'!G33+'Historical Financial Statements'!G34+'Historical Financial Statements'!G35)</f>
        <v/>
      </c>
      <c r="H13" s="28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28">
        <f>'Historical Financial Statements'!B20/'Historical Financial Statements'!B32</f>
        <v/>
      </c>
      <c r="C14" s="28">
        <f>'Historical Financial Statements'!C20/'Historical Financial Statements'!C32</f>
        <v/>
      </c>
      <c r="D14" s="28">
        <f>'Historical Financial Statements'!D20/'Historical Financial Statements'!D32</f>
        <v/>
      </c>
      <c r="E14" s="28">
        <f>'Historical Financial Statements'!E20/'Historical Financial Statements'!E32</f>
        <v/>
      </c>
      <c r="F14" s="28">
        <f>'Historical Financial Statements'!F20/'Historical Financial Statements'!F32</f>
        <v/>
      </c>
      <c r="G14" s="28">
        <f>'Historical Financial Statements'!G20/'Historical Financial Statements'!G32</f>
        <v/>
      </c>
      <c r="H14" s="28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29">
        <f>'Historical Financial Statements'!B35/('Historical Financial Statements'!B33+'Historical Financial Statements'!B34)</f>
        <v/>
      </c>
      <c r="C17" s="29">
        <f>'Historical Financial Statements'!C35/('Historical Financial Statements'!C33+'Historical Financial Statements'!C34)</f>
        <v/>
      </c>
      <c r="D17" s="29">
        <f>'Historical Financial Statements'!D35/('Historical Financial Statements'!D33+'Historical Financial Statements'!D34)</f>
        <v/>
      </c>
      <c r="E17" s="29">
        <f>'Historical Financial Statements'!E35/('Historical Financial Statements'!E33+'Historical Financial Statements'!E34)</f>
        <v/>
      </c>
      <c r="F17" s="29">
        <f>'Historical Financial Statements'!F35/('Historical Financial Statements'!F33+'Historical Financial Statements'!F34)</f>
        <v/>
      </c>
      <c r="G17" s="29">
        <f>'Historical Financial Statements'!G35/('Historical Financial Statements'!G33+'Historical Financial Statements'!G34)</f>
        <v/>
      </c>
      <c r="H17" s="29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29">
        <f>'Historical Financial Statements'!B14/'Historical Financial Statements'!B16</f>
        <v/>
      </c>
      <c r="C18" s="29">
        <f>'Historical Financial Statements'!C14/'Historical Financial Statements'!C16</f>
        <v/>
      </c>
      <c r="D18" s="29">
        <f>'Historical Financial Statements'!D14/'Historical Financial Statements'!D16</f>
        <v/>
      </c>
      <c r="E18" s="29">
        <f>'Historical Financial Statements'!E14/'Historical Financial Statements'!E16</f>
        <v/>
      </c>
      <c r="F18" s="29">
        <f>'Historical Financial Statements'!F14/'Historical Financial Statements'!F16</f>
        <v/>
      </c>
      <c r="G18" s="29">
        <f>'Historical Financial Statements'!G14/'Historical Financial Statements'!G16</f>
        <v/>
      </c>
      <c r="H18" s="29">
        <f>'Historical Financial Statements'!H14/'Historical Financial Statements'!H16</f>
        <v/>
      </c>
    </row>
    <row r="19">
      <c r="A19" s="5" t="inlineStr">
        <is>
          <t>Asset turnover (x)</t>
        </is>
      </c>
      <c r="B19" s="29">
        <f>'Historical Financial Statements'!B5/'Historical Financial Statements'!B32</f>
        <v/>
      </c>
      <c r="C19" s="29">
        <f>'Historical Financial Statements'!C5/'Historical Financial Statements'!C32</f>
        <v/>
      </c>
      <c r="D19" s="29">
        <f>'Historical Financial Statements'!D5/'Historical Financial Statements'!D32</f>
        <v/>
      </c>
      <c r="E19" s="29">
        <f>'Historical Financial Statements'!E5/'Historical Financial Statements'!E32</f>
        <v/>
      </c>
      <c r="F19" s="29">
        <f>'Historical Financial Statements'!F5/'Historical Financial Statements'!F32</f>
        <v/>
      </c>
      <c r="G19" s="29">
        <f>'Historical Financial Statements'!G5/'Historical Financial Statements'!G32</f>
        <v/>
      </c>
      <c r="H19" s="29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0" t="n">
        <v>121</v>
      </c>
      <c r="C22" s="30" t="n">
        <v>85</v>
      </c>
      <c r="D22" s="30" t="n">
        <v>52</v>
      </c>
      <c r="E22" s="30" t="n">
        <v>49</v>
      </c>
      <c r="F22" s="30" t="n">
        <v>73</v>
      </c>
      <c r="G22" s="30" t="n">
        <v>76</v>
      </c>
      <c r="H22" s="30" t="n">
        <v>73</v>
      </c>
    </row>
    <row r="23">
      <c r="A23" s="5" t="inlineStr">
        <is>
          <t>Inventory days</t>
        </is>
      </c>
      <c r="B23" s="30" t="n">
        <v>321</v>
      </c>
      <c r="C23" s="30" t="n">
        <v>333</v>
      </c>
      <c r="D23" s="30" t="n">
        <v>274</v>
      </c>
      <c r="E23" s="30" t="n">
        <v>261</v>
      </c>
      <c r="F23" s="30" t="n">
        <v>253</v>
      </c>
      <c r="G23" s="30" t="n">
        <v>289</v>
      </c>
      <c r="H23" s="30" t="n">
        <v>212</v>
      </c>
    </row>
    <row r="24">
      <c r="A24" s="5" t="inlineStr">
        <is>
          <t>Payable days</t>
        </is>
      </c>
      <c r="B24" s="30" t="n">
        <v>300</v>
      </c>
      <c r="C24" s="30" t="n">
        <v>281</v>
      </c>
      <c r="D24" s="30" t="n">
        <v>291</v>
      </c>
      <c r="E24" s="30" t="n">
        <v>345</v>
      </c>
      <c r="F24" s="30" t="n">
        <v>270</v>
      </c>
      <c r="G24" s="30" t="n">
        <v>259</v>
      </c>
      <c r="H24" s="30" t="n">
        <v>167</v>
      </c>
    </row>
    <row r="25">
      <c r="A25" s="5" t="inlineStr">
        <is>
          <t>Cash conversion cycle (days)</t>
        </is>
      </c>
      <c r="B25" s="30" t="n">
        <v>142</v>
      </c>
      <c r="C25" s="30" t="n">
        <v>137</v>
      </c>
      <c r="D25" s="30" t="n">
        <v>35</v>
      </c>
      <c r="E25" s="30" t="n">
        <v>-35</v>
      </c>
      <c r="F25" s="30" t="n">
        <v>56</v>
      </c>
      <c r="G25" s="30" t="n">
        <v>106</v>
      </c>
      <c r="H25" s="30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Order data on standalone basis; FY20-FY22 order book are estimates (flagged).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Order book dynamics (INR Crore)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21" t="n">
        <v>115000</v>
      </c>
      <c r="C6" s="21" t="n">
        <v>110000</v>
      </c>
      <c r="D6" s="21" t="n">
        <v>102000</v>
      </c>
      <c r="E6" s="21" t="n">
        <v>98000</v>
      </c>
      <c r="F6" s="21" t="n">
        <v>91336</v>
      </c>
      <c r="G6" s="21" t="n">
        <v>131598</v>
      </c>
      <c r="H6" s="21" t="n">
        <v>196328</v>
      </c>
      <c r="P6" s="27" t="inlineStr">
        <is>
          <t>FY20-22 est.</t>
        </is>
      </c>
    </row>
    <row r="7">
      <c r="A7" s="5" t="inlineStr">
        <is>
          <t>Add: new order inflow</t>
        </is>
      </c>
      <c r="B7" s="21" t="n">
        <v>18000</v>
      </c>
      <c r="C7" s="21" t="n">
        <v>15000</v>
      </c>
      <c r="D7" s="21" t="n">
        <v>22000</v>
      </c>
      <c r="E7" s="21" t="n">
        <v>23548</v>
      </c>
      <c r="F7" s="21" t="n">
        <v>63000</v>
      </c>
      <c r="G7" s="21" t="n">
        <v>92535</v>
      </c>
      <c r="H7" s="21" t="n">
        <v>75000</v>
      </c>
      <c r="P7" s="27" t="inlineStr">
        <is>
          <t>some est.</t>
        </is>
      </c>
    </row>
    <row r="8">
      <c r="A8" s="5" t="inlineStr">
        <is>
          <t>Less: revenue executed (standalone)</t>
        </is>
      </c>
      <c r="B8" s="21" t="n">
        <v>-21000</v>
      </c>
      <c r="C8" s="21" t="n">
        <v>-17000</v>
      </c>
      <c r="D8" s="21" t="n">
        <v>-20800</v>
      </c>
      <c r="E8" s="21" t="n">
        <v>-22921</v>
      </c>
      <c r="F8" s="21" t="n">
        <v>-22921</v>
      </c>
      <c r="G8" s="21" t="n">
        <v>-27355</v>
      </c>
      <c r="H8" s="21" t="n">
        <v>-33800</v>
      </c>
    </row>
    <row r="9">
      <c r="A9" s="4" t="inlineStr">
        <is>
          <t>Closing order book</t>
        </is>
      </c>
      <c r="B9" s="21" t="n">
        <v>110000</v>
      </c>
      <c r="C9" s="21" t="n">
        <v>102000</v>
      </c>
      <c r="D9" s="21" t="n">
        <v>98000</v>
      </c>
      <c r="E9" s="21" t="n">
        <v>91336</v>
      </c>
      <c r="F9" s="21" t="n">
        <v>131598</v>
      </c>
      <c r="G9" s="21" t="n">
        <v>196328</v>
      </c>
      <c r="H9" s="21" t="n">
        <v>240000</v>
      </c>
    </row>
    <row r="10">
      <c r="A10" s="5" t="inlineStr">
        <is>
          <t>Book-to-bill (closing OB/revenue, x)</t>
        </is>
      </c>
      <c r="B10" s="31">
        <f>B9/-B8</f>
        <v/>
      </c>
      <c r="C10" s="31">
        <f>C9/-C8</f>
        <v/>
      </c>
      <c r="D10" s="31">
        <f>D9/-D8</f>
        <v/>
      </c>
      <c r="E10" s="31">
        <f>E9/-E8</f>
        <v/>
      </c>
      <c r="F10" s="31">
        <f>F9/-F8</f>
        <v/>
      </c>
      <c r="G10" s="31">
        <f>G9/-G8</f>
        <v/>
      </c>
      <c r="H10" s="31">
        <f>H9/-H8</f>
        <v/>
      </c>
    </row>
    <row r="11">
      <c r="A11" s="5" t="inlineStr">
        <is>
          <t>Execution rate (revenue/opening OB)</t>
        </is>
      </c>
      <c r="B11" s="32">
        <f>-B8/B6</f>
        <v/>
      </c>
      <c r="C11" s="32">
        <f>-C8/C6</f>
        <v/>
      </c>
      <c r="D11" s="32">
        <f>-D8/D6</f>
        <v/>
      </c>
      <c r="E11" s="32">
        <f>-E8/E6</f>
        <v/>
      </c>
      <c r="F11" s="32">
        <f>-F8/F6</f>
        <v/>
      </c>
      <c r="G11" s="32">
        <f>-G8/G6</f>
        <v/>
      </c>
      <c r="H11" s="32">
        <f>-H8/H6</f>
        <v/>
      </c>
    </row>
    <row r="13">
      <c r="A13" s="11" t="inlineStr">
        <is>
          <t>Segment revenue mix (INR Crore, est.)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5" t="inlineStr">
        <is>
          <t>Power segment</t>
        </is>
      </c>
      <c r="B14" s="21" t="n">
        <v>16800</v>
      </c>
      <c r="C14" s="21" t="n">
        <v>13500</v>
      </c>
      <c r="D14" s="21" t="n">
        <v>16500</v>
      </c>
      <c r="E14" s="21" t="n">
        <v>18100</v>
      </c>
      <c r="F14" s="21" t="n">
        <v>18600</v>
      </c>
      <c r="G14" s="21" t="n">
        <v>20937</v>
      </c>
      <c r="H14" s="21" t="n">
        <v>25407</v>
      </c>
    </row>
    <row r="15">
      <c r="A15" s="5" t="inlineStr">
        <is>
          <t>Industry segment</t>
        </is>
      </c>
      <c r="B15" s="21" t="n">
        <v>3900</v>
      </c>
      <c r="C15" s="21" t="n">
        <v>3200</v>
      </c>
      <c r="D15" s="21" t="n">
        <v>4000</v>
      </c>
      <c r="E15" s="21" t="n">
        <v>4600</v>
      </c>
      <c r="F15" s="21" t="n">
        <v>4700</v>
      </c>
      <c r="G15" s="21" t="n">
        <v>6400</v>
      </c>
      <c r="H15" s="21" t="n">
        <v>7400</v>
      </c>
    </row>
    <row r="16">
      <c r="A16" s="5" t="inlineStr">
        <is>
          <t>Others / exports / renewables</t>
        </is>
      </c>
      <c r="B16" s="21" t="n">
        <v>763</v>
      </c>
      <c r="C16" s="21" t="n">
        <v>609</v>
      </c>
      <c r="D16" s="21" t="n">
        <v>711</v>
      </c>
      <c r="E16" s="21" t="n">
        <v>665</v>
      </c>
      <c r="F16" s="21" t="n">
        <v>593</v>
      </c>
      <c r="G16" s="21" t="n">
        <v>1002</v>
      </c>
      <c r="H16" s="21" t="n">
        <v>975</v>
      </c>
    </row>
    <row r="17">
      <c r="A17" s="5" t="inlineStr">
        <is>
          <t>Total (check vs revenue)</t>
        </is>
      </c>
      <c r="B17" s="24">
        <f>SUM(B14:B16)</f>
        <v/>
      </c>
      <c r="C17" s="24">
        <f>SUM(C14:C16)</f>
        <v/>
      </c>
      <c r="D17" s="24">
        <f>SUM(D14:D16)</f>
        <v/>
      </c>
      <c r="E17" s="24">
        <f>SUM(E14:E16)</f>
        <v/>
      </c>
      <c r="F17" s="24">
        <f>SUM(F14:F16)</f>
        <v/>
      </c>
      <c r="G17" s="24">
        <f>SUM(G14:G16)</f>
        <v/>
      </c>
      <c r="H17" s="24">
        <f>SUM(H14:H16)</f>
        <v/>
      </c>
    </row>
    <row r="18">
      <c r="A18" s="5" t="inlineStr">
        <is>
          <t>Power as % of revenue</t>
        </is>
      </c>
      <c r="B18" s="32">
        <f>B14/'Historical Financial Statements'!B5</f>
        <v/>
      </c>
      <c r="C18" s="32">
        <f>C14/'Historical Financial Statements'!C5</f>
        <v/>
      </c>
      <c r="D18" s="32">
        <f>D14/'Historical Financial Statements'!D5</f>
        <v/>
      </c>
      <c r="E18" s="32">
        <f>E14/'Historical Financial Statements'!E5</f>
        <v/>
      </c>
      <c r="F18" s="32">
        <f>F14/'Historical Financial Statements'!F5</f>
        <v/>
      </c>
      <c r="G18" s="32">
        <f>G14/'Historical Financial Statements'!G5</f>
        <v/>
      </c>
      <c r="H18" s="32">
        <f>H14/'Historical Financial Statements'!H5</f>
        <v/>
      </c>
    </row>
    <row r="20">
      <c r="A20" s="11" t="inlineStr">
        <is>
          <t>Other KPIs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Approx. workforce (number)</t>
        </is>
      </c>
      <c r="B21" s="33" t="n">
        <v>33500</v>
      </c>
      <c r="C21" s="33" t="n">
        <v>31500</v>
      </c>
      <c r="D21" s="33" t="n">
        <v>29800</v>
      </c>
      <c r="E21" s="33" t="n">
        <v>28500</v>
      </c>
      <c r="F21" s="33" t="n">
        <v>27000</v>
      </c>
      <c r="G21" s="33" t="n">
        <v>26000</v>
      </c>
      <c r="H21" s="33" t="n">
        <v>25500</v>
      </c>
      <c r="P21" s="27" t="inlineStr">
        <is>
          <t>approx.</t>
        </is>
      </c>
    </row>
    <row r="22">
      <c r="A22" s="5" t="inlineStr">
        <is>
          <t>R&amp;D expenditure</t>
        </is>
      </c>
      <c r="B22" s="21" t="n">
        <v>1180</v>
      </c>
      <c r="C22" s="21" t="n">
        <v>1090</v>
      </c>
      <c r="D22" s="21" t="n">
        <v>1050</v>
      </c>
      <c r="E22" s="21" t="n">
        <v>1100</v>
      </c>
      <c r="F22" s="21" t="n">
        <v>1150</v>
      </c>
      <c r="G22" s="21" t="n">
        <v>1300</v>
      </c>
      <c r="H22" s="21" t="n">
        <v>1500</v>
      </c>
      <c r="P22" s="27" t="inlineStr">
        <is>
          <t>approx.</t>
        </is>
      </c>
    </row>
    <row r="23">
      <c r="A23" s="5" t="inlineStr">
        <is>
          <t>R&amp;D as % of revenue</t>
        </is>
      </c>
      <c r="B23" s="32">
        <f>B22/'Historical Financial Statements'!B5</f>
        <v/>
      </c>
      <c r="C23" s="32">
        <f>C22/'Historical Financial Statements'!C5</f>
        <v/>
      </c>
      <c r="D23" s="32">
        <f>D22/'Historical Financial Statements'!D5</f>
        <v/>
      </c>
      <c r="E23" s="32">
        <f>E22/'Historical Financial Statements'!E5</f>
        <v/>
      </c>
      <c r="F23" s="32">
        <f>F22/'Historical Financial Statements'!F5</f>
        <v/>
      </c>
      <c r="G23" s="32">
        <f>G22/'Historical Financial Statements'!G5</f>
        <v/>
      </c>
      <c r="H23" s="32">
        <f>H22/'Historical Financial Statements'!H5</f>
        <v/>
      </c>
    </row>
    <row r="24">
      <c r="A24" s="5" t="inlineStr">
        <is>
          <t>Capacity utilisation (mfg.)</t>
        </is>
      </c>
      <c r="B24" s="34" t="n">
        <v>0.55</v>
      </c>
      <c r="C24" s="34" t="n">
        <v>0.42</v>
      </c>
      <c r="D24" s="34" t="n">
        <v>0.5</v>
      </c>
      <c r="E24" s="34" t="n">
        <v>0.55</v>
      </c>
      <c r="F24" s="34" t="n">
        <v>0.58</v>
      </c>
      <c r="G24" s="34" t="n">
        <v>0.65</v>
      </c>
      <c r="H24" s="34" t="n">
        <v>0.72</v>
      </c>
      <c r="P24" s="27" t="inlineStr">
        <is>
          <t>approx.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Order-book-driven: Revenue = Execution rate x Opening order book. Closing OB = Opening + Inflow - Revenue.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Order book roll-forward &amp; revenue recognition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</t>
        </is>
      </c>
      <c r="B6" s="35">
        <f>'Operational Drivers'!B6</f>
        <v/>
      </c>
      <c r="C6" s="35">
        <f>'Operational Drivers'!C6</f>
        <v/>
      </c>
      <c r="D6" s="35">
        <f>'Operational Drivers'!D6</f>
        <v/>
      </c>
      <c r="E6" s="35">
        <f>'Operational Drivers'!E6</f>
        <v/>
      </c>
      <c r="F6" s="35">
        <f>'Operational Drivers'!F6</f>
        <v/>
      </c>
      <c r="G6" s="35">
        <f>'Operational Drivers'!G6</f>
        <v/>
      </c>
      <c r="H6" s="35">
        <f>'Operational Drivers'!H6</f>
        <v/>
      </c>
      <c r="I6" s="24">
        <f>'Operational Drivers'!H9</f>
        <v/>
      </c>
      <c r="J6" s="24">
        <f>I9</f>
        <v/>
      </c>
      <c r="K6" s="24">
        <f>J9</f>
        <v/>
      </c>
      <c r="L6" s="24">
        <f>K9</f>
        <v/>
      </c>
      <c r="M6" s="24">
        <f>L9</f>
        <v/>
      </c>
      <c r="N6" s="24">
        <f>M9</f>
        <v/>
      </c>
      <c r="O6" s="24">
        <f>N9</f>
        <v/>
      </c>
    </row>
    <row r="7">
      <c r="A7" s="5" t="inlineStr">
        <is>
          <t>Add: new order inflow</t>
        </is>
      </c>
      <c r="B7" s="35">
        <f>'Operational Drivers'!B7</f>
        <v/>
      </c>
      <c r="C7" s="35">
        <f>'Operational Drivers'!C7</f>
        <v/>
      </c>
      <c r="D7" s="35">
        <f>'Operational Drivers'!D7</f>
        <v/>
      </c>
      <c r="E7" s="35">
        <f>'Operational Drivers'!E7</f>
        <v/>
      </c>
      <c r="F7" s="35">
        <f>'Operational Drivers'!F7</f>
        <v/>
      </c>
      <c r="G7" s="35">
        <f>'Operational Drivers'!G7</f>
        <v/>
      </c>
      <c r="H7" s="35">
        <f>'Operational Drivers'!H7</f>
        <v/>
      </c>
      <c r="I7" s="24">
        <f>'Assumptions'!I6</f>
        <v/>
      </c>
      <c r="J7" s="24">
        <f>'Assumptions'!J6</f>
        <v/>
      </c>
      <c r="K7" s="24">
        <f>'Assumptions'!K6</f>
        <v/>
      </c>
      <c r="L7" s="24">
        <f>'Assumptions'!L6</f>
        <v/>
      </c>
      <c r="M7" s="24">
        <f>'Assumptions'!M6</f>
        <v/>
      </c>
      <c r="N7" s="24">
        <f>'Assumptions'!N6</f>
        <v/>
      </c>
      <c r="O7" s="24">
        <f>'Assumptions'!O6</f>
        <v/>
      </c>
    </row>
    <row r="8">
      <c r="A8" s="5" t="inlineStr">
        <is>
          <t>Less: revenue executed</t>
        </is>
      </c>
      <c r="B8" s="35">
        <f>-'Historical Financial Statements'!B5</f>
        <v/>
      </c>
      <c r="C8" s="35">
        <f>-'Historical Financial Statements'!C5</f>
        <v/>
      </c>
      <c r="D8" s="35">
        <f>-'Historical Financial Statements'!D5</f>
        <v/>
      </c>
      <c r="E8" s="35">
        <f>-'Historical Financial Statements'!E5</f>
        <v/>
      </c>
      <c r="F8" s="35">
        <f>-'Historical Financial Statements'!F5</f>
        <v/>
      </c>
      <c r="G8" s="35">
        <f>-'Historical Financial Statements'!G5</f>
        <v/>
      </c>
      <c r="H8" s="35">
        <f>-'Historical Financial Statements'!H5</f>
        <v/>
      </c>
      <c r="I8" s="24">
        <f>-'Assumptions'!I5*I6</f>
        <v/>
      </c>
      <c r="J8" s="24">
        <f>-'Assumptions'!J5*J6</f>
        <v/>
      </c>
      <c r="K8" s="24">
        <f>-'Assumptions'!K5*K6</f>
        <v/>
      </c>
      <c r="L8" s="24">
        <f>-'Assumptions'!L5*L6</f>
        <v/>
      </c>
      <c r="M8" s="24">
        <f>-'Assumptions'!M5*M6</f>
        <v/>
      </c>
      <c r="N8" s="24">
        <f>-'Assumptions'!N5*N6</f>
        <v/>
      </c>
      <c r="O8" s="24">
        <f>-'Assumptions'!O5*O6</f>
        <v/>
      </c>
    </row>
    <row r="9">
      <c r="A9" s="4" t="inlineStr">
        <is>
          <t>Closing order book</t>
        </is>
      </c>
      <c r="B9" s="36">
        <f>'Operational Drivers'!B9</f>
        <v/>
      </c>
      <c r="C9" s="36">
        <f>'Operational Drivers'!C9</f>
        <v/>
      </c>
      <c r="D9" s="36">
        <f>'Operational Drivers'!D9</f>
        <v/>
      </c>
      <c r="E9" s="36">
        <f>'Operational Drivers'!E9</f>
        <v/>
      </c>
      <c r="F9" s="36">
        <f>'Operational Drivers'!F9</f>
        <v/>
      </c>
      <c r="G9" s="36">
        <f>'Operational Drivers'!G9</f>
        <v/>
      </c>
      <c r="H9" s="36">
        <f>'Operational Drivers'!H9</f>
        <v/>
      </c>
      <c r="I9" s="37">
        <f>I6+I7+I8</f>
        <v/>
      </c>
      <c r="J9" s="37">
        <f>J6+J7+J8</f>
        <v/>
      </c>
      <c r="K9" s="37">
        <f>K6+K7+K8</f>
        <v/>
      </c>
      <c r="L9" s="37">
        <f>L6+L7+L8</f>
        <v/>
      </c>
      <c r="M9" s="37">
        <f>M6+M7+M8</f>
        <v/>
      </c>
      <c r="N9" s="37">
        <f>N6+N7+N8</f>
        <v/>
      </c>
      <c r="O9" s="37">
        <f>O6+O7+O8</f>
        <v/>
      </c>
    </row>
    <row r="11">
      <c r="A11" s="4" t="inlineStr">
        <is>
          <t>Revenue from operations</t>
        </is>
      </c>
      <c r="B11" s="36">
        <f>'Historical Financial Statements'!B5</f>
        <v/>
      </c>
      <c r="C11" s="36">
        <f>'Historical Financial Statements'!C5</f>
        <v/>
      </c>
      <c r="D11" s="36">
        <f>'Historical Financial Statements'!D5</f>
        <v/>
      </c>
      <c r="E11" s="36">
        <f>'Historical Financial Statements'!E5</f>
        <v/>
      </c>
      <c r="F11" s="36">
        <f>'Historical Financial Statements'!F5</f>
        <v/>
      </c>
      <c r="G11" s="36">
        <f>'Historical Financial Statements'!G5</f>
        <v/>
      </c>
      <c r="H11" s="36">
        <f>'Historical Financial Statements'!H5</f>
        <v/>
      </c>
      <c r="I11" s="37">
        <f>-I8</f>
        <v/>
      </c>
      <c r="J11" s="37">
        <f>-J8</f>
        <v/>
      </c>
      <c r="K11" s="37">
        <f>-K8</f>
        <v/>
      </c>
      <c r="L11" s="37">
        <f>-L8</f>
        <v/>
      </c>
      <c r="M11" s="37">
        <f>-M8</f>
        <v/>
      </c>
      <c r="N11" s="37">
        <f>-N8</f>
        <v/>
      </c>
      <c r="O11" s="37">
        <f>-O8</f>
        <v/>
      </c>
    </row>
    <row r="12">
      <c r="A12" s="5" t="inlineStr">
        <is>
          <t>Revenue growth %</t>
        </is>
      </c>
      <c r="C12" s="32">
        <f>C11/B11-1</f>
        <v/>
      </c>
      <c r="D12" s="32">
        <f>D11/C11-1</f>
        <v/>
      </c>
      <c r="E12" s="32">
        <f>E11/D11-1</f>
        <v/>
      </c>
      <c r="F12" s="32">
        <f>F11/E11-1</f>
        <v/>
      </c>
      <c r="G12" s="32">
        <f>G11/F11-1</f>
        <v/>
      </c>
      <c r="H12" s="32">
        <f>H11/G11-1</f>
        <v/>
      </c>
      <c r="I12" s="32">
        <f>I11/H11-1</f>
        <v/>
      </c>
      <c r="J12" s="32">
        <f>J11/I11-1</f>
        <v/>
      </c>
      <c r="K12" s="32">
        <f>K11/J11-1</f>
        <v/>
      </c>
      <c r="L12" s="32">
        <f>L11/K11-1</f>
        <v/>
      </c>
      <c r="M12" s="32">
        <f>M11/L11-1</f>
        <v/>
      </c>
      <c r="N12" s="32">
        <f>N11/M11-1</f>
        <v/>
      </c>
      <c r="O12" s="32">
        <f>O11/N11-1</f>
        <v/>
      </c>
    </row>
    <row r="13">
      <c r="A13" s="5" t="inlineStr">
        <is>
          <t>Execution rate %</t>
        </is>
      </c>
      <c r="B13" s="32">
        <f>B11/B6</f>
        <v/>
      </c>
      <c r="C13" s="32">
        <f>C11/C6</f>
        <v/>
      </c>
      <c r="D13" s="32">
        <f>D11/D6</f>
        <v/>
      </c>
      <c r="E13" s="32">
        <f>E11/E6</f>
        <v/>
      </c>
      <c r="F13" s="32">
        <f>F11/F6</f>
        <v/>
      </c>
      <c r="G13" s="32">
        <f>G11/G6</f>
        <v/>
      </c>
      <c r="H13" s="32">
        <f>H11/H6</f>
        <v/>
      </c>
      <c r="I13" s="32">
        <f>I11/I6</f>
        <v/>
      </c>
      <c r="J13" s="32">
        <f>J11/J6</f>
        <v/>
      </c>
      <c r="K13" s="32">
        <f>K11/K6</f>
        <v/>
      </c>
      <c r="L13" s="32">
        <f>L11/L6</f>
        <v/>
      </c>
      <c r="M13" s="32">
        <f>M11/M6</f>
        <v/>
      </c>
      <c r="N13" s="32">
        <f>N11/N6</f>
        <v/>
      </c>
      <c r="O13" s="32">
        <f>O11/O6</f>
        <v/>
      </c>
    </row>
    <row r="14">
      <c r="A14" s="5" t="inlineStr">
        <is>
          <t>Book-to-bill (x)</t>
        </is>
      </c>
      <c r="B14" s="31">
        <f>B9/B11</f>
        <v/>
      </c>
      <c r="C14" s="31">
        <f>C9/C11</f>
        <v/>
      </c>
      <c r="D14" s="31">
        <f>D9/D11</f>
        <v/>
      </c>
      <c r="E14" s="31">
        <f>E9/E11</f>
        <v/>
      </c>
      <c r="F14" s="31">
        <f>F9/F11</f>
        <v/>
      </c>
      <c r="G14" s="31">
        <f>G9/G11</f>
        <v/>
      </c>
      <c r="H14" s="31">
        <f>H9/H11</f>
        <v/>
      </c>
      <c r="I14" s="31">
        <f>I9/I11</f>
        <v/>
      </c>
      <c r="J14" s="31">
        <f>J9/J11</f>
        <v/>
      </c>
      <c r="K14" s="31">
        <f>K9/K11</f>
        <v/>
      </c>
      <c r="L14" s="31">
        <f>L9/L11</f>
        <v/>
      </c>
      <c r="M14" s="31">
        <f>M9/M11</f>
        <v/>
      </c>
      <c r="N14" s="31">
        <f>N9/N11</f>
        <v/>
      </c>
      <c r="O14" s="31">
        <f>O9/O11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COGS = raw materials + subcontracting. Operating expenses = employee + selling/admin. EBITDA = revenue x target margin.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Cost build-up (gross-profit format)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35">
        <f>'Historical Financial Statements'!B5</f>
        <v/>
      </c>
      <c r="C6" s="35">
        <f>'Historical Financial Statements'!C5</f>
        <v/>
      </c>
      <c r="D6" s="35">
        <f>'Historical Financial Statements'!D5</f>
        <v/>
      </c>
      <c r="E6" s="35">
        <f>'Historical Financial Statements'!E5</f>
        <v/>
      </c>
      <c r="F6" s="35">
        <f>'Historical Financial Statements'!F5</f>
        <v/>
      </c>
      <c r="G6" s="35">
        <f>'Historical Financial Statements'!G5</f>
        <v/>
      </c>
      <c r="H6" s="35">
        <f>'Historical Financial Statements'!H5</f>
        <v/>
      </c>
      <c r="I6" s="24">
        <f>'Revenue Build-up'!I11</f>
        <v/>
      </c>
      <c r="J6" s="24">
        <f>'Revenue Build-up'!J11</f>
        <v/>
      </c>
      <c r="K6" s="24">
        <f>'Revenue Build-up'!K11</f>
        <v/>
      </c>
      <c r="L6" s="24">
        <f>'Revenue Build-up'!L11</f>
        <v/>
      </c>
      <c r="M6" s="24">
        <f>'Revenue Build-up'!M11</f>
        <v/>
      </c>
      <c r="N6" s="24">
        <f>'Revenue Build-up'!N11</f>
        <v/>
      </c>
      <c r="O6" s="24">
        <f>'Revenue Build-up'!O11</f>
        <v/>
      </c>
    </row>
    <row r="7">
      <c r="A7" s="5" t="inlineStr">
        <is>
          <t xml:space="preserve">   Raw materials, components &amp; traded goods</t>
        </is>
      </c>
      <c r="I7" s="24">
        <f>I6*(1-'Assumptions'!I7-'Assumptions'!I9-'Assumptions'!I10-'Assumptions'!I11)</f>
        <v/>
      </c>
      <c r="J7" s="24">
        <f>J6*(1-'Assumptions'!J7-'Assumptions'!J9-'Assumptions'!J10-'Assumptions'!J11)</f>
        <v/>
      </c>
      <c r="K7" s="24">
        <f>K6*(1-'Assumptions'!K7-'Assumptions'!K9-'Assumptions'!K10-'Assumptions'!K11)</f>
        <v/>
      </c>
      <c r="L7" s="24">
        <f>L6*(1-'Assumptions'!L7-'Assumptions'!L9-'Assumptions'!L10-'Assumptions'!L11)</f>
        <v/>
      </c>
      <c r="M7" s="24">
        <f>M6*(1-'Assumptions'!M7-'Assumptions'!M9-'Assumptions'!M10-'Assumptions'!M11)</f>
        <v/>
      </c>
      <c r="N7" s="24">
        <f>N6*(1-'Assumptions'!N7-'Assumptions'!N9-'Assumptions'!N10-'Assumptions'!N11)</f>
        <v/>
      </c>
      <c r="O7" s="24">
        <f>O6*(1-'Assumptions'!O7-'Assumptions'!O9-'Assumptions'!O10-'Assumptions'!O11)</f>
        <v/>
      </c>
    </row>
    <row r="8">
      <c r="A8" s="5" t="inlineStr">
        <is>
          <t xml:space="preserve">   Subcontracting &amp; erection</t>
        </is>
      </c>
      <c r="I8" s="24">
        <f>I6*'Assumptions'!I10</f>
        <v/>
      </c>
      <c r="J8" s="24">
        <f>J6*'Assumptions'!J10</f>
        <v/>
      </c>
      <c r="K8" s="24">
        <f>K6*'Assumptions'!K10</f>
        <v/>
      </c>
      <c r="L8" s="24">
        <f>L6*'Assumptions'!L10</f>
        <v/>
      </c>
      <c r="M8" s="24">
        <f>M6*'Assumptions'!M10</f>
        <v/>
      </c>
      <c r="N8" s="24">
        <f>N6*'Assumptions'!N10</f>
        <v/>
      </c>
      <c r="O8" s="24">
        <f>O6*'Assumptions'!O10</f>
        <v/>
      </c>
    </row>
    <row r="9">
      <c r="A9" s="4" t="inlineStr">
        <is>
          <t>Total COGS</t>
        </is>
      </c>
      <c r="B9" s="36">
        <f>'Historical Financial Statements'!B6</f>
        <v/>
      </c>
      <c r="C9" s="36">
        <f>'Historical Financial Statements'!C6</f>
        <v/>
      </c>
      <c r="D9" s="36">
        <f>'Historical Financial Statements'!D6</f>
        <v/>
      </c>
      <c r="E9" s="36">
        <f>'Historical Financial Statements'!E6</f>
        <v/>
      </c>
      <c r="F9" s="36">
        <f>'Historical Financial Statements'!F6</f>
        <v/>
      </c>
      <c r="G9" s="36">
        <f>'Historical Financial Statements'!G6</f>
        <v/>
      </c>
      <c r="H9" s="36">
        <f>'Historical Financial Statements'!H6</f>
        <v/>
      </c>
      <c r="I9" s="37">
        <f>I7+I8</f>
        <v/>
      </c>
      <c r="J9" s="37">
        <f>J7+J8</f>
        <v/>
      </c>
      <c r="K9" s="37">
        <f>K7+K8</f>
        <v/>
      </c>
      <c r="L9" s="37">
        <f>L7+L8</f>
        <v/>
      </c>
      <c r="M9" s="37">
        <f>M7+M8</f>
        <v/>
      </c>
      <c r="N9" s="37">
        <f>N7+N8</f>
        <v/>
      </c>
      <c r="O9" s="37">
        <f>O7+O8</f>
        <v/>
      </c>
    </row>
    <row r="10">
      <c r="A10" s="4" t="inlineStr">
        <is>
          <t>Gross profit</t>
        </is>
      </c>
      <c r="B10" s="35">
        <f>'Historical Financial Statements'!B7</f>
        <v/>
      </c>
      <c r="C10" s="35">
        <f>'Historical Financial Statements'!C7</f>
        <v/>
      </c>
      <c r="D10" s="35">
        <f>'Historical Financial Statements'!D7</f>
        <v/>
      </c>
      <c r="E10" s="35">
        <f>'Historical Financial Statements'!E7</f>
        <v/>
      </c>
      <c r="F10" s="35">
        <f>'Historical Financial Statements'!F7</f>
        <v/>
      </c>
      <c r="G10" s="35">
        <f>'Historical Financial Statements'!G7</f>
        <v/>
      </c>
      <c r="H10" s="35">
        <f>'Historical Financial Statements'!H7</f>
        <v/>
      </c>
      <c r="I10" s="24">
        <f>I6-I9</f>
        <v/>
      </c>
      <c r="J10" s="24">
        <f>J6-J9</f>
        <v/>
      </c>
      <c r="K10" s="24">
        <f>K6-K9</f>
        <v/>
      </c>
      <c r="L10" s="24">
        <f>L6-L9</f>
        <v/>
      </c>
      <c r="M10" s="24">
        <f>M6-M9</f>
        <v/>
      </c>
      <c r="N10" s="24">
        <f>N6-N9</f>
        <v/>
      </c>
      <c r="O10" s="24">
        <f>O6-O9</f>
        <v/>
      </c>
    </row>
    <row r="11">
      <c r="A11" s="5" t="inlineStr">
        <is>
          <t xml:space="preserve">   Employee cost</t>
        </is>
      </c>
      <c r="B11" s="35">
        <f>'Historical Financial Statements'!B9</f>
        <v/>
      </c>
      <c r="C11" s="35">
        <f>'Historical Financial Statements'!C9</f>
        <v/>
      </c>
      <c r="D11" s="35">
        <f>'Historical Financial Statements'!D9</f>
        <v/>
      </c>
      <c r="E11" s="35">
        <f>'Historical Financial Statements'!E9</f>
        <v/>
      </c>
      <c r="F11" s="35">
        <f>'Historical Financial Statements'!F9</f>
        <v/>
      </c>
      <c r="G11" s="35">
        <f>'Historical Financial Statements'!G9</f>
        <v/>
      </c>
      <c r="H11" s="35">
        <f>'Historical Financial Statements'!H9</f>
        <v/>
      </c>
      <c r="I11" s="24">
        <f>I6*'Assumptions'!I9</f>
        <v/>
      </c>
      <c r="J11" s="24">
        <f>J6*'Assumptions'!J9</f>
        <v/>
      </c>
      <c r="K11" s="24">
        <f>K6*'Assumptions'!K9</f>
        <v/>
      </c>
      <c r="L11" s="24">
        <f>L6*'Assumptions'!L9</f>
        <v/>
      </c>
      <c r="M11" s="24">
        <f>M6*'Assumptions'!M9</f>
        <v/>
      </c>
      <c r="N11" s="24">
        <f>N6*'Assumptions'!N9</f>
        <v/>
      </c>
      <c r="O11" s="24">
        <f>O6*'Assumptions'!O9</f>
        <v/>
      </c>
    </row>
    <row r="12">
      <c r="A12" s="5" t="inlineStr">
        <is>
          <t xml:space="preserve">   Selling &amp; admin</t>
        </is>
      </c>
      <c r="B12" s="35">
        <f>'Historical Financial Statements'!B10</f>
        <v/>
      </c>
      <c r="C12" s="35">
        <f>'Historical Financial Statements'!C10</f>
        <v/>
      </c>
      <c r="D12" s="35">
        <f>'Historical Financial Statements'!D10</f>
        <v/>
      </c>
      <c r="E12" s="35">
        <f>'Historical Financial Statements'!E10</f>
        <v/>
      </c>
      <c r="F12" s="35">
        <f>'Historical Financial Statements'!F10</f>
        <v/>
      </c>
      <c r="G12" s="35">
        <f>'Historical Financial Statements'!G10</f>
        <v/>
      </c>
      <c r="H12" s="35">
        <f>'Historical Financial Statements'!H10</f>
        <v/>
      </c>
      <c r="I12" s="24">
        <f>I6*'Assumptions'!I11</f>
        <v/>
      </c>
      <c r="J12" s="24">
        <f>J6*'Assumptions'!J11</f>
        <v/>
      </c>
      <c r="K12" s="24">
        <f>K6*'Assumptions'!K11</f>
        <v/>
      </c>
      <c r="L12" s="24">
        <f>L6*'Assumptions'!L11</f>
        <v/>
      </c>
      <c r="M12" s="24">
        <f>M6*'Assumptions'!M11</f>
        <v/>
      </c>
      <c r="N12" s="24">
        <f>N6*'Assumptions'!N11</f>
        <v/>
      </c>
      <c r="O12" s="24">
        <f>O6*'Assumptions'!O11</f>
        <v/>
      </c>
    </row>
    <row r="13">
      <c r="A13" s="4" t="inlineStr">
        <is>
          <t>Total operating expenses</t>
        </is>
      </c>
      <c r="B13" s="36">
        <f>'Historical Financial Statements'!B11</f>
        <v/>
      </c>
      <c r="C13" s="36">
        <f>'Historical Financial Statements'!C11</f>
        <v/>
      </c>
      <c r="D13" s="36">
        <f>'Historical Financial Statements'!D11</f>
        <v/>
      </c>
      <c r="E13" s="36">
        <f>'Historical Financial Statements'!E11</f>
        <v/>
      </c>
      <c r="F13" s="36">
        <f>'Historical Financial Statements'!F11</f>
        <v/>
      </c>
      <c r="G13" s="36">
        <f>'Historical Financial Statements'!G11</f>
        <v/>
      </c>
      <c r="H13" s="36">
        <f>'Historical Financial Statements'!H11</f>
        <v/>
      </c>
      <c r="I13" s="37">
        <f>I11+I12</f>
        <v/>
      </c>
      <c r="J13" s="37">
        <f>J11+J12</f>
        <v/>
      </c>
      <c r="K13" s="37">
        <f>K11+K12</f>
        <v/>
      </c>
      <c r="L13" s="37">
        <f>L11+L12</f>
        <v/>
      </c>
      <c r="M13" s="37">
        <f>M11+M12</f>
        <v/>
      </c>
      <c r="N13" s="37">
        <f>N11+N12</f>
        <v/>
      </c>
      <c r="O13" s="37">
        <f>O11+O12</f>
        <v/>
      </c>
    </row>
    <row r="14">
      <c r="A14" s="4" t="inlineStr">
        <is>
          <t>EBITDA</t>
        </is>
      </c>
      <c r="B14" s="36">
        <f>'Historical Financial Statements'!B12</f>
        <v/>
      </c>
      <c r="C14" s="36">
        <f>'Historical Financial Statements'!C12</f>
        <v/>
      </c>
      <c r="D14" s="36">
        <f>'Historical Financial Statements'!D12</f>
        <v/>
      </c>
      <c r="E14" s="36">
        <f>'Historical Financial Statements'!E12</f>
        <v/>
      </c>
      <c r="F14" s="36">
        <f>'Historical Financial Statements'!F12</f>
        <v/>
      </c>
      <c r="G14" s="36">
        <f>'Historical Financial Statements'!G12</f>
        <v/>
      </c>
      <c r="H14" s="36">
        <f>'Historical Financial Statements'!H12</f>
        <v/>
      </c>
      <c r="I14" s="37">
        <f>I10-I13</f>
        <v/>
      </c>
      <c r="J14" s="37">
        <f>J10-J13</f>
        <v/>
      </c>
      <c r="K14" s="37">
        <f>K10-K13</f>
        <v/>
      </c>
      <c r="L14" s="37">
        <f>L10-L13</f>
        <v/>
      </c>
      <c r="M14" s="37">
        <f>M10-M13</f>
        <v/>
      </c>
      <c r="N14" s="37">
        <f>N10-N13</f>
        <v/>
      </c>
      <c r="O14" s="37">
        <f>O10-O13</f>
        <v/>
      </c>
    </row>
    <row r="15">
      <c r="A15" s="5" t="inlineStr">
        <is>
          <t>EBITDA margin %</t>
        </is>
      </c>
      <c r="B15" s="32">
        <f>B14/B6</f>
        <v/>
      </c>
      <c r="C15" s="32">
        <f>C14/C6</f>
        <v/>
      </c>
      <c r="D15" s="32">
        <f>D14/D6</f>
        <v/>
      </c>
      <c r="E15" s="32">
        <f>E14/E6</f>
        <v/>
      </c>
      <c r="F15" s="32">
        <f>F14/F6</f>
        <v/>
      </c>
      <c r="G15" s="32">
        <f>G14/G6</f>
        <v/>
      </c>
      <c r="H15" s="32">
        <f>H14/H6</f>
        <v/>
      </c>
      <c r="I15" s="32">
        <f>I14/I6</f>
        <v/>
      </c>
      <c r="J15" s="32">
        <f>J14/J6</f>
        <v/>
      </c>
      <c r="K15" s="32">
        <f>K14/K6</f>
        <v/>
      </c>
      <c r="L15" s="32">
        <f>L14/L6</f>
        <v/>
      </c>
      <c r="M15" s="32">
        <f>M14/M6</f>
        <v/>
      </c>
      <c r="N15" s="32">
        <f>N14/N6</f>
        <v/>
      </c>
      <c r="O15" s="32">
        <f>O14/O6</f>
        <v/>
      </c>
    </row>
    <row r="16">
      <c r="A16" s="5" t="inlineStr">
        <is>
          <t>Memo: total operating cost (COGS+OpEx)</t>
        </is>
      </c>
      <c r="B16" s="35">
        <f>'Historical Financial Statements'!B23</f>
        <v/>
      </c>
      <c r="C16" s="35">
        <f>'Historical Financial Statements'!C23</f>
        <v/>
      </c>
      <c r="D16" s="35">
        <f>'Historical Financial Statements'!D23</f>
        <v/>
      </c>
      <c r="E16" s="35">
        <f>'Historical Financial Statements'!E23</f>
        <v/>
      </c>
      <c r="F16" s="35">
        <f>'Historical Financial Statements'!F23</f>
        <v/>
      </c>
      <c r="G16" s="35">
        <f>'Historical Financial Statements'!G23</f>
        <v/>
      </c>
      <c r="H16" s="35">
        <f>'Historical Financial Statements'!H23</f>
        <v/>
      </c>
      <c r="I16" s="24">
        <f>I9+I13</f>
        <v/>
      </c>
      <c r="J16" s="24">
        <f>J9+J13</f>
        <v/>
      </c>
      <c r="K16" s="24">
        <f>K9+K13</f>
        <v/>
      </c>
      <c r="L16" s="24">
        <f>L9+L13</f>
        <v/>
      </c>
      <c r="M16" s="24">
        <f>M9+M13</f>
        <v/>
      </c>
      <c r="N16" s="24">
        <f>N9+N13</f>
        <v/>
      </c>
      <c r="O16" s="24">
        <f>O9+O13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FY2026 components are flagged estimates summing to reported totals; used to seed the forecast.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35">
        <f>'Historical Financial Statements'!B5</f>
        <v/>
      </c>
      <c r="C6" s="35">
        <f>'Historical Financial Statements'!C5</f>
        <v/>
      </c>
      <c r="D6" s="35">
        <f>'Historical Financial Statements'!D5</f>
        <v/>
      </c>
      <c r="E6" s="35">
        <f>'Historical Financial Statements'!E5</f>
        <v/>
      </c>
      <c r="F6" s="35">
        <f>'Historical Financial Statements'!F5</f>
        <v/>
      </c>
      <c r="G6" s="35">
        <f>'Historical Financial Statements'!G5</f>
        <v/>
      </c>
      <c r="H6" s="35">
        <f>'Historical Financial Statements'!H5</f>
        <v/>
      </c>
      <c r="I6" s="24">
        <f>'Cost Forecast'!I6</f>
        <v/>
      </c>
      <c r="J6" s="24">
        <f>'Cost Forecast'!J6</f>
        <v/>
      </c>
      <c r="K6" s="24">
        <f>'Cost Forecast'!K6</f>
        <v/>
      </c>
      <c r="L6" s="24">
        <f>'Cost Forecast'!L6</f>
        <v/>
      </c>
      <c r="M6" s="24">
        <f>'Cost Forecast'!M6</f>
        <v/>
      </c>
      <c r="N6" s="24">
        <f>'Cost Forecast'!N6</f>
        <v/>
      </c>
      <c r="O6" s="24">
        <f>'Cost Forecast'!O6</f>
        <v/>
      </c>
    </row>
    <row r="7">
      <c r="A7" s="5" t="inlineStr">
        <is>
          <t>Cost of sales (total operating cost)</t>
        </is>
      </c>
      <c r="B7" s="35">
        <f>'Historical Financial Statements'!B23</f>
        <v/>
      </c>
      <c r="C7" s="35">
        <f>'Historical Financial Statements'!C23</f>
        <v/>
      </c>
      <c r="D7" s="35">
        <f>'Historical Financial Statements'!D23</f>
        <v/>
      </c>
      <c r="E7" s="35">
        <f>'Historical Financial Statements'!E23</f>
        <v/>
      </c>
      <c r="F7" s="35">
        <f>'Historical Financial Statements'!F23</f>
        <v/>
      </c>
      <c r="G7" s="35">
        <f>'Historical Financial Statements'!G23</f>
        <v/>
      </c>
      <c r="H7" s="35">
        <f>'Historical Financial Statements'!H23</f>
        <v/>
      </c>
      <c r="I7" s="24">
        <f>'Cost Forecast'!I16</f>
        <v/>
      </c>
      <c r="J7" s="24">
        <f>'Cost Forecast'!J16</f>
        <v/>
      </c>
      <c r="K7" s="24">
        <f>'Cost Forecast'!K16</f>
        <v/>
      </c>
      <c r="L7" s="24">
        <f>'Cost Forecast'!L16</f>
        <v/>
      </c>
      <c r="M7" s="24">
        <f>'Cost Forecast'!M16</f>
        <v/>
      </c>
      <c r="N7" s="24">
        <f>'Cost Forecast'!N16</f>
        <v/>
      </c>
      <c r="O7" s="24">
        <f>'Cost Forecast'!O16</f>
        <v/>
      </c>
    </row>
    <row r="8">
      <c r="A8" s="5" t="inlineStr">
        <is>
          <t xml:space="preserve">   Trade receivables</t>
        </is>
      </c>
      <c r="H8" s="38" t="n">
        <v>6757</v>
      </c>
      <c r="I8" s="24">
        <f>'Assumptions'!I14/365*I6</f>
        <v/>
      </c>
      <c r="J8" s="24">
        <f>'Assumptions'!J14/365*J6</f>
        <v/>
      </c>
      <c r="K8" s="24">
        <f>'Assumptions'!K14/365*K6</f>
        <v/>
      </c>
      <c r="L8" s="24">
        <f>'Assumptions'!L14/365*L6</f>
        <v/>
      </c>
      <c r="M8" s="24">
        <f>'Assumptions'!M14/365*M6</f>
        <v/>
      </c>
      <c r="N8" s="24">
        <f>'Assumptions'!N14/365*N6</f>
        <v/>
      </c>
      <c r="O8" s="24">
        <f>'Assumptions'!O14/365*O6</f>
        <v/>
      </c>
    </row>
    <row r="9">
      <c r="A9" s="5" t="inlineStr">
        <is>
          <t xml:space="preserve">   Inventories</t>
        </is>
      </c>
      <c r="H9" s="38" t="n">
        <v>18260</v>
      </c>
      <c r="I9" s="24">
        <f>'Assumptions'!I15/365*I7</f>
        <v/>
      </c>
      <c r="J9" s="24">
        <f>'Assumptions'!J15/365*J7</f>
        <v/>
      </c>
      <c r="K9" s="24">
        <f>'Assumptions'!K15/365*K7</f>
        <v/>
      </c>
      <c r="L9" s="24">
        <f>'Assumptions'!L15/365*L7</f>
        <v/>
      </c>
      <c r="M9" s="24">
        <f>'Assumptions'!M15/365*M7</f>
        <v/>
      </c>
      <c r="N9" s="24">
        <f>'Assumptions'!N15/365*N7</f>
        <v/>
      </c>
      <c r="O9" s="24">
        <f>'Assumptions'!O15/365*O7</f>
        <v/>
      </c>
    </row>
    <row r="10">
      <c r="A10" s="5" t="inlineStr">
        <is>
          <t xml:space="preserve">   Contract assets</t>
        </is>
      </c>
      <c r="H10" s="38" t="n">
        <v>8000</v>
      </c>
      <c r="I10" s="24">
        <f>'Assumptions'!I17*I6</f>
        <v/>
      </c>
      <c r="J10" s="24">
        <f>'Assumptions'!J17*J6</f>
        <v/>
      </c>
      <c r="K10" s="24">
        <f>'Assumptions'!K17*K6</f>
        <v/>
      </c>
      <c r="L10" s="24">
        <f>'Assumptions'!L17*L6</f>
        <v/>
      </c>
      <c r="M10" s="24">
        <f>'Assumptions'!M17*M6</f>
        <v/>
      </c>
      <c r="N10" s="24">
        <f>'Assumptions'!N17*N6</f>
        <v/>
      </c>
      <c r="O10" s="24">
        <f>'Assumptions'!O17*O6</f>
        <v/>
      </c>
    </row>
    <row r="11">
      <c r="A11" s="5" t="inlineStr">
        <is>
          <t xml:space="preserve">   Other current &amp; non-current assets</t>
        </is>
      </c>
      <c r="H11" s="38" t="n">
        <v>32373</v>
      </c>
      <c r="I11" s="24">
        <f>H11*(1+'Assumptions'!I19)</f>
        <v/>
      </c>
      <c r="J11" s="24">
        <f>I11*(1+'Assumptions'!J19)</f>
        <v/>
      </c>
      <c r="K11" s="24">
        <f>J11*(1+'Assumptions'!K19)</f>
        <v/>
      </c>
      <c r="L11" s="24">
        <f>K11*(1+'Assumptions'!L19)</f>
        <v/>
      </c>
      <c r="M11" s="24">
        <f>L11*(1+'Assumptions'!M19)</f>
        <v/>
      </c>
      <c r="N11" s="24">
        <f>M11*(1+'Assumptions'!N19)</f>
        <v/>
      </c>
      <c r="O11" s="24">
        <f>N11*(1+'Assumptions'!O19)</f>
        <v/>
      </c>
    </row>
    <row r="12">
      <c r="A12" s="4" t="inlineStr">
        <is>
          <t>Total operating assets</t>
        </is>
      </c>
      <c r="H12" s="37">
        <f>SUM(H8:H11)</f>
        <v/>
      </c>
      <c r="I12" s="37">
        <f>SUM(I8:I11)</f>
        <v/>
      </c>
      <c r="J12" s="37">
        <f>SUM(J8:J11)</f>
        <v/>
      </c>
      <c r="K12" s="37">
        <f>SUM(K8:K11)</f>
        <v/>
      </c>
      <c r="L12" s="37">
        <f>SUM(L8:L11)</f>
        <v/>
      </c>
      <c r="M12" s="37">
        <f>SUM(M8:M11)</f>
        <v/>
      </c>
      <c r="N12" s="37">
        <f>SUM(N8:N11)</f>
        <v/>
      </c>
      <c r="O12" s="37">
        <f>SUM(O8:O11)</f>
        <v/>
      </c>
    </row>
    <row r="13">
      <c r="A13" s="5" t="inlineStr">
        <is>
          <t xml:space="preserve">   Trade payables</t>
        </is>
      </c>
      <c r="H13" s="38" t="n">
        <v>14386</v>
      </c>
      <c r="I13" s="24">
        <f>'Assumptions'!I16/365*I7</f>
        <v/>
      </c>
      <c r="J13" s="24">
        <f>'Assumptions'!J16/365*J7</f>
        <v/>
      </c>
      <c r="K13" s="24">
        <f>'Assumptions'!K16/365*K7</f>
        <v/>
      </c>
      <c r="L13" s="24">
        <f>'Assumptions'!L16/365*L7</f>
        <v/>
      </c>
      <c r="M13" s="24">
        <f>'Assumptions'!M16/365*M7</f>
        <v/>
      </c>
      <c r="N13" s="24">
        <f>'Assumptions'!N16/365*N7</f>
        <v/>
      </c>
      <c r="O13" s="24">
        <f>'Assumptions'!O16/365*O7</f>
        <v/>
      </c>
    </row>
    <row r="14">
      <c r="A14" s="5" t="inlineStr">
        <is>
          <t xml:space="preserve">   Contract liabilities / advances</t>
        </is>
      </c>
      <c r="H14" s="38" t="n">
        <v>12000</v>
      </c>
      <c r="I14" s="24">
        <f>'Assumptions'!I18*I6</f>
        <v/>
      </c>
      <c r="J14" s="24">
        <f>'Assumptions'!J18*J6</f>
        <v/>
      </c>
      <c r="K14" s="24">
        <f>'Assumptions'!K18*K6</f>
        <v/>
      </c>
      <c r="L14" s="24">
        <f>'Assumptions'!L18*L6</f>
        <v/>
      </c>
      <c r="M14" s="24">
        <f>'Assumptions'!M18*M6</f>
        <v/>
      </c>
      <c r="N14" s="24">
        <f>'Assumptions'!N18*N6</f>
        <v/>
      </c>
      <c r="O14" s="24">
        <f>'Assumptions'!O18*O6</f>
        <v/>
      </c>
    </row>
    <row r="15">
      <c r="A15" s="5" t="inlineStr">
        <is>
          <t xml:space="preserve">   Provisions &amp; other liabilities</t>
        </is>
      </c>
      <c r="H15" s="38" t="n">
        <v>15466</v>
      </c>
      <c r="I15" s="24">
        <f>H15*(1+'Assumptions'!I20)</f>
        <v/>
      </c>
      <c r="J15" s="24">
        <f>I15*(1+'Assumptions'!J20)</f>
        <v/>
      </c>
      <c r="K15" s="24">
        <f>J15*(1+'Assumptions'!K20)</f>
        <v/>
      </c>
      <c r="L15" s="24">
        <f>K15*(1+'Assumptions'!L20)</f>
        <v/>
      </c>
      <c r="M15" s="24">
        <f>L15*(1+'Assumptions'!M20)</f>
        <v/>
      </c>
      <c r="N15" s="24">
        <f>M15*(1+'Assumptions'!N20)</f>
        <v/>
      </c>
      <c r="O15" s="24">
        <f>N15*(1+'Assumptions'!O20)</f>
        <v/>
      </c>
    </row>
    <row r="16">
      <c r="A16" s="4" t="inlineStr">
        <is>
          <t>Total operating liabilities</t>
        </is>
      </c>
      <c r="H16" s="37">
        <f>SUM(H13:H15)</f>
        <v/>
      </c>
      <c r="I16" s="37">
        <f>SUM(I13:I15)</f>
        <v/>
      </c>
      <c r="J16" s="37">
        <f>SUM(J13:J15)</f>
        <v/>
      </c>
      <c r="K16" s="37">
        <f>SUM(K13:K15)</f>
        <v/>
      </c>
      <c r="L16" s="37">
        <f>SUM(L13:L15)</f>
        <v/>
      </c>
      <c r="M16" s="37">
        <f>SUM(M13:M15)</f>
        <v/>
      </c>
      <c r="N16" s="37">
        <f>SUM(N13:N15)</f>
        <v/>
      </c>
      <c r="O16" s="37">
        <f>SUM(O13:O15)</f>
        <v/>
      </c>
    </row>
    <row r="17">
      <c r="A17" s="4" t="inlineStr">
        <is>
          <t>Net working capital</t>
        </is>
      </c>
      <c r="H17" s="23">
        <f>H12-H16</f>
        <v/>
      </c>
      <c r="I17" s="23">
        <f>I12-I16</f>
        <v/>
      </c>
      <c r="J17" s="23">
        <f>J12-J16</f>
        <v/>
      </c>
      <c r="K17" s="23">
        <f>K12-K16</f>
        <v/>
      </c>
      <c r="L17" s="23">
        <f>L12-L16</f>
        <v/>
      </c>
      <c r="M17" s="23">
        <f>M12-M16</f>
        <v/>
      </c>
      <c r="N17" s="23">
        <f>N12-N16</f>
        <v/>
      </c>
      <c r="O17" s="23">
        <f>O12-O16</f>
        <v/>
      </c>
    </row>
    <row r="18">
      <c r="A18" s="5" t="inlineStr">
        <is>
          <t>(Increase)/decrease in NWC</t>
        </is>
      </c>
      <c r="I18" s="24">
        <f>-(I17-H17)</f>
        <v/>
      </c>
      <c r="J18" s="24">
        <f>-(J17-I17)</f>
        <v/>
      </c>
      <c r="K18" s="24">
        <f>-(K17-J17)</f>
        <v/>
      </c>
      <c r="L18" s="24">
        <f>-(L17-K17)</f>
        <v/>
      </c>
      <c r="M18" s="24">
        <f>-(M17-L17)</f>
        <v/>
      </c>
      <c r="N18" s="24">
        <f>-(N17-M17)</f>
        <v/>
      </c>
      <c r="O18" s="24">
        <f>-(O17-N17)</f>
        <v/>
      </c>
    </row>
    <row r="19">
      <c r="A19" s="5" t="inlineStr">
        <is>
          <t>Memo: cash &amp; bank (FY26 seed estimate)</t>
        </is>
      </c>
      <c r="H19" s="38" t="n">
        <v>7000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Net-block roll-forward. Opening FY27 = reported FY26 net PPE. Depreciation = rate x opening net block.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35">
        <f>'Historical Financial Statements'!B28</f>
        <v/>
      </c>
      <c r="C6" s="35">
        <f>'Historical Financial Statements'!C28</f>
        <v/>
      </c>
      <c r="D6" s="35">
        <f>'Historical Financial Statements'!D28</f>
        <v/>
      </c>
      <c r="E6" s="35">
        <f>'Historical Financial Statements'!E28</f>
        <v/>
      </c>
      <c r="F6" s="35">
        <f>'Historical Financial Statements'!F28</f>
        <v/>
      </c>
      <c r="G6" s="35">
        <f>'Historical Financial Statements'!G28</f>
        <v/>
      </c>
      <c r="H6" s="35">
        <f>'Historical Financial Statements'!H28</f>
        <v/>
      </c>
      <c r="I6" s="24">
        <f>'Historical Financial Statements'!H28</f>
        <v/>
      </c>
      <c r="J6" s="24">
        <f>I10</f>
        <v/>
      </c>
      <c r="K6" s="24">
        <f>J10</f>
        <v/>
      </c>
      <c r="L6" s="24">
        <f>K10</f>
        <v/>
      </c>
      <c r="M6" s="24">
        <f>L10</f>
        <v/>
      </c>
      <c r="N6" s="24">
        <f>M10</f>
        <v/>
      </c>
      <c r="O6" s="24">
        <f>N10</f>
        <v/>
      </c>
    </row>
    <row r="7">
      <c r="A7" s="5" t="inlineStr">
        <is>
          <t xml:space="preserve">   Add: capital expenditure</t>
        </is>
      </c>
      <c r="I7" s="24">
        <f>'Assumptions'!I12</f>
        <v/>
      </c>
      <c r="J7" s="24">
        <f>'Assumptions'!J12</f>
        <v/>
      </c>
      <c r="K7" s="24">
        <f>'Assumptions'!K12</f>
        <v/>
      </c>
      <c r="L7" s="24">
        <f>'Assumptions'!L12</f>
        <v/>
      </c>
      <c r="M7" s="24">
        <f>'Assumptions'!M12</f>
        <v/>
      </c>
      <c r="N7" s="24">
        <f>'Assumptions'!N12</f>
        <v/>
      </c>
      <c r="O7" s="24">
        <f>'Assumptions'!O12</f>
        <v/>
      </c>
    </row>
    <row r="8">
      <c r="A8" s="5" t="inlineStr">
        <is>
          <t xml:space="preserve">   Less: depreciation</t>
        </is>
      </c>
      <c r="I8" s="24">
        <f>-'Assumptions'!I13*I6</f>
        <v/>
      </c>
      <c r="J8" s="24">
        <f>-'Assumptions'!J13*J6</f>
        <v/>
      </c>
      <c r="K8" s="24">
        <f>-'Assumptions'!K13*K6</f>
        <v/>
      </c>
      <c r="L8" s="24">
        <f>-'Assumptions'!L13*L6</f>
        <v/>
      </c>
      <c r="M8" s="24">
        <f>-'Assumptions'!M13*M6</f>
        <v/>
      </c>
      <c r="N8" s="24">
        <f>-'Assumptions'!N13*N6</f>
        <v/>
      </c>
      <c r="O8" s="24">
        <f>-'Assumptions'!O13*O6</f>
        <v/>
      </c>
    </row>
    <row r="9">
      <c r="A9" s="5" t="inlineStr">
        <is>
          <t xml:space="preserve">   Less: disposals</t>
        </is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</row>
    <row r="10">
      <c r="A10" s="4" t="inlineStr">
        <is>
          <t>Closing net block</t>
        </is>
      </c>
      <c r="B10" s="36">
        <f>'Historical Financial Statements'!B28</f>
        <v/>
      </c>
      <c r="C10" s="36">
        <f>'Historical Financial Statements'!C28</f>
        <v/>
      </c>
      <c r="D10" s="36">
        <f>'Historical Financial Statements'!D28</f>
        <v/>
      </c>
      <c r="E10" s="36">
        <f>'Historical Financial Statements'!E28</f>
        <v/>
      </c>
      <c r="F10" s="36">
        <f>'Historical Financial Statements'!F28</f>
        <v/>
      </c>
      <c r="G10" s="36">
        <f>'Historical Financial Statements'!G28</f>
        <v/>
      </c>
      <c r="H10" s="36">
        <f>'Historical Financial Statements'!H28</f>
        <v/>
      </c>
      <c r="I10" s="37">
        <f>I6+I7+I8-I9</f>
        <v/>
      </c>
      <c r="J10" s="37">
        <f>J6+J7+J8-J9</f>
        <v/>
      </c>
      <c r="K10" s="37">
        <f>K6+K7+K8-K9</f>
        <v/>
      </c>
      <c r="L10" s="37">
        <f>L6+L7+L8-L9</f>
        <v/>
      </c>
      <c r="M10" s="37">
        <f>M6+M7+M8-M9</f>
        <v/>
      </c>
      <c r="N10" s="37">
        <f>N6+N7+N8-N9</f>
        <v/>
      </c>
      <c r="O10" s="37">
        <f>O6+O7+O8-O9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24">
        <f>'Fixed Asset Schedule'!I6</f>
        <v/>
      </c>
      <c r="J6" s="24">
        <f>'Fixed Asset Schedule'!J6</f>
        <v/>
      </c>
      <c r="K6" s="24">
        <f>'Fixed Asset Schedule'!K6</f>
        <v/>
      </c>
      <c r="L6" s="24">
        <f>'Fixed Asset Schedule'!L6</f>
        <v/>
      </c>
      <c r="M6" s="24">
        <f>'Fixed Asset Schedule'!M6</f>
        <v/>
      </c>
      <c r="N6" s="24">
        <f>'Fixed Asset Schedule'!N6</f>
        <v/>
      </c>
      <c r="O6" s="24">
        <f>'Fixed Asset Schedule'!O6</f>
        <v/>
      </c>
    </row>
    <row r="7">
      <c r="A7" s="5" t="inlineStr">
        <is>
          <t>Depreciation rate %</t>
        </is>
      </c>
      <c r="I7" s="32">
        <f>'Assumptions'!I13</f>
        <v/>
      </c>
      <c r="J7" s="32">
        <f>'Assumptions'!J13</f>
        <v/>
      </c>
      <c r="K7" s="32">
        <f>'Assumptions'!K13</f>
        <v/>
      </c>
      <c r="L7" s="32">
        <f>'Assumptions'!L13</f>
        <v/>
      </c>
      <c r="M7" s="32">
        <f>'Assumptions'!M13</f>
        <v/>
      </c>
      <c r="N7" s="32">
        <f>'Assumptions'!N13</f>
        <v/>
      </c>
      <c r="O7" s="32">
        <f>'Assumptions'!O13</f>
        <v/>
      </c>
    </row>
    <row r="8">
      <c r="A8" s="4" t="inlineStr">
        <is>
          <t>Depreciation expense</t>
        </is>
      </c>
      <c r="B8" s="36">
        <f>'Historical Financial Statements'!B13</f>
        <v/>
      </c>
      <c r="C8" s="36">
        <f>'Historical Financial Statements'!C13</f>
        <v/>
      </c>
      <c r="D8" s="36">
        <f>'Historical Financial Statements'!D13</f>
        <v/>
      </c>
      <c r="E8" s="36">
        <f>'Historical Financial Statements'!E13</f>
        <v/>
      </c>
      <c r="F8" s="36">
        <f>'Historical Financial Statements'!F13</f>
        <v/>
      </c>
      <c r="G8" s="36">
        <f>'Historical Financial Statements'!G13</f>
        <v/>
      </c>
      <c r="H8" s="36">
        <f>'Historical Financial Statements'!H13</f>
        <v/>
      </c>
      <c r="I8" s="37">
        <f>I6*I7</f>
        <v/>
      </c>
      <c r="J8" s="37">
        <f>J6*J7</f>
        <v/>
      </c>
      <c r="K8" s="37">
        <f>K6*K7</f>
        <v/>
      </c>
      <c r="L8" s="37">
        <f>L6*L7</f>
        <v/>
      </c>
      <c r="M8" s="37">
        <f>M6*M7</f>
        <v/>
      </c>
      <c r="N8" s="37">
        <f>N6*N7</f>
        <v/>
      </c>
      <c r="O8" s="37">
        <f>O6*O7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Interest on opening debt (no circularity). Opening FY27 = reported FY26 borrowings.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35">
        <f>'Historical Financial Statements'!B35</f>
        <v/>
      </c>
      <c r="C6" s="35">
        <f>'Historical Financial Statements'!C35</f>
        <v/>
      </c>
      <c r="D6" s="35">
        <f>'Historical Financial Statements'!D35</f>
        <v/>
      </c>
      <c r="E6" s="35">
        <f>'Historical Financial Statements'!E35</f>
        <v/>
      </c>
      <c r="F6" s="35">
        <f>'Historical Financial Statements'!F35</f>
        <v/>
      </c>
      <c r="G6" s="35">
        <f>'Historical Financial Statements'!G35</f>
        <v/>
      </c>
      <c r="H6" s="35">
        <f>'Historical Financial Statements'!H35</f>
        <v/>
      </c>
      <c r="I6" s="24">
        <f>'Historical Financial Statements'!H35</f>
        <v/>
      </c>
      <c r="J6" s="24">
        <f>I9</f>
        <v/>
      </c>
      <c r="K6" s="24">
        <f>J9</f>
        <v/>
      </c>
      <c r="L6" s="24">
        <f>K9</f>
        <v/>
      </c>
      <c r="M6" s="24">
        <f>L9</f>
        <v/>
      </c>
      <c r="N6" s="24">
        <f>M9</f>
        <v/>
      </c>
      <c r="O6" s="24">
        <f>N9</f>
        <v/>
      </c>
    </row>
    <row r="7">
      <c r="A7" s="5" t="inlineStr">
        <is>
          <t xml:space="preserve">   Add: new borrowings</t>
        </is>
      </c>
      <c r="I7" s="24">
        <f>'Assumptions'!I25</f>
        <v/>
      </c>
      <c r="J7" s="24">
        <f>'Assumptions'!J25</f>
        <v/>
      </c>
      <c r="K7" s="24">
        <f>'Assumptions'!K25</f>
        <v/>
      </c>
      <c r="L7" s="24">
        <f>'Assumptions'!L25</f>
        <v/>
      </c>
      <c r="M7" s="24">
        <f>'Assumptions'!M25</f>
        <v/>
      </c>
      <c r="N7" s="24">
        <f>'Assumptions'!N25</f>
        <v/>
      </c>
      <c r="O7" s="24">
        <f>'Assumptions'!O25</f>
        <v/>
      </c>
    </row>
    <row r="8">
      <c r="A8" s="5" t="inlineStr">
        <is>
          <t xml:space="preserve">   Less: repayments</t>
        </is>
      </c>
      <c r="I8" s="24">
        <f>-'Assumptions'!I26</f>
        <v/>
      </c>
      <c r="J8" s="24">
        <f>-'Assumptions'!J26</f>
        <v/>
      </c>
      <c r="K8" s="24">
        <f>-'Assumptions'!K26</f>
        <v/>
      </c>
      <c r="L8" s="24">
        <f>-'Assumptions'!L26</f>
        <v/>
      </c>
      <c r="M8" s="24">
        <f>-'Assumptions'!M26</f>
        <v/>
      </c>
      <c r="N8" s="24">
        <f>-'Assumptions'!N26</f>
        <v/>
      </c>
      <c r="O8" s="24">
        <f>-'Assumptions'!O26</f>
        <v/>
      </c>
    </row>
    <row r="9">
      <c r="A9" s="4" t="inlineStr">
        <is>
          <t>Closing debt</t>
        </is>
      </c>
      <c r="B9" s="36">
        <f>'Historical Financial Statements'!B35</f>
        <v/>
      </c>
      <c r="C9" s="36">
        <f>'Historical Financial Statements'!C35</f>
        <v/>
      </c>
      <c r="D9" s="36">
        <f>'Historical Financial Statements'!D35</f>
        <v/>
      </c>
      <c r="E9" s="36">
        <f>'Historical Financial Statements'!E35</f>
        <v/>
      </c>
      <c r="F9" s="36">
        <f>'Historical Financial Statements'!F35</f>
        <v/>
      </c>
      <c r="G9" s="36">
        <f>'Historical Financial Statements'!G35</f>
        <v/>
      </c>
      <c r="H9" s="36">
        <f>'Historical Financial Statements'!H35</f>
        <v/>
      </c>
      <c r="I9" s="37">
        <f>I6+I7+I8</f>
        <v/>
      </c>
      <c r="J9" s="37">
        <f>J6+J7+J8</f>
        <v/>
      </c>
      <c r="K9" s="37">
        <f>K6+K7+K8</f>
        <v/>
      </c>
      <c r="L9" s="37">
        <f>L6+L7+L8</f>
        <v/>
      </c>
      <c r="M9" s="37">
        <f>M6+M7+M8</f>
        <v/>
      </c>
      <c r="N9" s="37">
        <f>N6+N7+N8</f>
        <v/>
      </c>
      <c r="O9" s="37">
        <f>O6+O7+O8</f>
        <v/>
      </c>
    </row>
    <row r="10">
      <c r="A10" s="5" t="inlineStr">
        <is>
          <t>Average debt</t>
        </is>
      </c>
      <c r="I10" s="24">
        <f>(I6+I9)/2</f>
        <v/>
      </c>
      <c r="J10" s="24">
        <f>(J6+J9)/2</f>
        <v/>
      </c>
      <c r="K10" s="24">
        <f>(K6+K9)/2</f>
        <v/>
      </c>
      <c r="L10" s="24">
        <f>(L6+L9)/2</f>
        <v/>
      </c>
      <c r="M10" s="24">
        <f>(M6+M9)/2</f>
        <v/>
      </c>
      <c r="N10" s="24">
        <f>(N6+N9)/2</f>
        <v/>
      </c>
      <c r="O10" s="24">
        <f>(O6+O9)/2</f>
        <v/>
      </c>
    </row>
    <row r="11">
      <c r="A11" s="4" t="inlineStr">
        <is>
          <t>Interest expense (on opening debt)</t>
        </is>
      </c>
      <c r="B11" s="35">
        <f>'Historical Financial Statements'!B16</f>
        <v/>
      </c>
      <c r="C11" s="35">
        <f>'Historical Financial Statements'!C16</f>
        <v/>
      </c>
      <c r="D11" s="35">
        <f>'Historical Financial Statements'!D16</f>
        <v/>
      </c>
      <c r="E11" s="35">
        <f>'Historical Financial Statements'!E16</f>
        <v/>
      </c>
      <c r="F11" s="35">
        <f>'Historical Financial Statements'!F16</f>
        <v/>
      </c>
      <c r="G11" s="35">
        <f>'Historical Financial Statements'!G16</f>
        <v/>
      </c>
      <c r="H11" s="35">
        <f>'Historical Financial Statements'!H16</f>
        <v/>
      </c>
      <c r="I11" s="24">
        <f>'Assumptions'!I27*I6</f>
        <v/>
      </c>
      <c r="J11" s="24">
        <f>'Assumptions'!J27*J6</f>
        <v/>
      </c>
      <c r="K11" s="24">
        <f>'Assumptions'!K27*K6</f>
        <v/>
      </c>
      <c r="L11" s="24">
        <f>'Assumptions'!L27*L6</f>
        <v/>
      </c>
      <c r="M11" s="24">
        <f>'Assumptions'!M27*M6</f>
        <v/>
      </c>
      <c r="N11" s="24">
        <f>'Assumptions'!N27*N6</f>
        <v/>
      </c>
      <c r="O11" s="24">
        <f>'Assumptions'!O27*O6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24">
        <f>'Historical Financial Statements'!H34</f>
        <v/>
      </c>
      <c r="J6" s="24">
        <f>I10</f>
        <v/>
      </c>
      <c r="K6" s="24">
        <f>J10</f>
        <v/>
      </c>
      <c r="L6" s="24">
        <f>K10</f>
        <v/>
      </c>
      <c r="M6" s="24">
        <f>L10</f>
        <v/>
      </c>
      <c r="N6" s="24">
        <f>M10</f>
        <v/>
      </c>
      <c r="O6" s="24">
        <f>N10</f>
        <v/>
      </c>
    </row>
    <row r="7">
      <c r="A7" s="5" t="inlineStr">
        <is>
          <t xml:space="preserve">   Add: profit after tax</t>
        </is>
      </c>
      <c r="I7" s="24">
        <f>'Forecast Financial Statements'!I20</f>
        <v/>
      </c>
      <c r="J7" s="24">
        <f>'Forecast Financial Statements'!J20</f>
        <v/>
      </c>
      <c r="K7" s="24">
        <f>'Forecast Financial Statements'!K20</f>
        <v/>
      </c>
      <c r="L7" s="24">
        <f>'Forecast Financial Statements'!L20</f>
        <v/>
      </c>
      <c r="M7" s="24">
        <f>'Forecast Financial Statements'!M20</f>
        <v/>
      </c>
      <c r="N7" s="24">
        <f>'Forecast Financial Statements'!N20</f>
        <v/>
      </c>
      <c r="O7" s="24">
        <f>'Forecast Financial Statements'!O20</f>
        <v/>
      </c>
    </row>
    <row r="8">
      <c r="A8" s="5" t="inlineStr">
        <is>
          <t xml:space="preserve">   Less: dividends</t>
        </is>
      </c>
      <c r="I8" s="24">
        <f>-'Forecast Financial Statements'!I22</f>
        <v/>
      </c>
      <c r="J8" s="24">
        <f>-'Forecast Financial Statements'!J22</f>
        <v/>
      </c>
      <c r="K8" s="24">
        <f>-'Forecast Financial Statements'!K22</f>
        <v/>
      </c>
      <c r="L8" s="24">
        <f>-'Forecast Financial Statements'!L22</f>
        <v/>
      </c>
      <c r="M8" s="24">
        <f>-'Forecast Financial Statements'!M22</f>
        <v/>
      </c>
      <c r="N8" s="24">
        <f>-'Forecast Financial Statements'!N22</f>
        <v/>
      </c>
      <c r="O8" s="24">
        <f>-'Forecast Financial Statements'!O22</f>
        <v/>
      </c>
    </row>
    <row r="9">
      <c r="A9" s="5" t="inlineStr">
        <is>
          <t xml:space="preserve">   Add: other comprehensive income</t>
        </is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</row>
    <row r="10">
      <c r="A10" s="4" t="inlineStr">
        <is>
          <t>Closing other equity</t>
        </is>
      </c>
      <c r="I10" s="37">
        <f>SUM(I6:I9)</f>
        <v/>
      </c>
      <c r="J10" s="37">
        <f>SUM(J6:J9)</f>
        <v/>
      </c>
      <c r="K10" s="37">
        <f>SUM(K6:K9)</f>
        <v/>
      </c>
      <c r="L10" s="37">
        <f>SUM(L6:L9)</f>
        <v/>
      </c>
      <c r="M10" s="37">
        <f>SUM(M6:M9)</f>
        <v/>
      </c>
      <c r="N10" s="37">
        <f>SUM(N6:N9)</f>
        <v/>
      </c>
      <c r="O10" s="37">
        <f>SUM(O6:O9)</f>
        <v/>
      </c>
    </row>
    <row r="12">
      <c r="A12" s="5" t="inlineStr">
        <is>
          <t>Equity share capital (constant)</t>
        </is>
      </c>
      <c r="I12" s="24" t="n">
        <v>696</v>
      </c>
      <c r="J12" s="24" t="n">
        <v>696</v>
      </c>
      <c r="K12" s="24" t="n">
        <v>696</v>
      </c>
      <c r="L12" s="24" t="n">
        <v>696</v>
      </c>
      <c r="M12" s="24" t="n">
        <v>696</v>
      </c>
      <c r="N12" s="24" t="n">
        <v>696</v>
      </c>
      <c r="O12" s="24" t="n">
        <v>696</v>
      </c>
    </row>
    <row r="13">
      <c r="A13" s="4" t="inlineStr">
        <is>
          <t>Total shareholders equity</t>
        </is>
      </c>
      <c r="I13" s="24">
        <f>I10+I12</f>
        <v/>
      </c>
      <c r="J13" s="24">
        <f>J10+J12</f>
        <v/>
      </c>
      <c r="K13" s="24">
        <f>K10+K12</f>
        <v/>
      </c>
      <c r="L13" s="24">
        <f>L10+L12</f>
        <v/>
      </c>
      <c r="M13" s="24">
        <f>M10+M12</f>
        <v/>
      </c>
      <c r="N13" s="24">
        <f>N10+N12</f>
        <v/>
      </c>
      <c r="O13" s="24">
        <f>O10+O12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35">
        <f>'Historical Financial Statements'!B29</f>
        <v/>
      </c>
      <c r="C6" s="35">
        <f>'Historical Financial Statements'!C29</f>
        <v/>
      </c>
      <c r="D6" s="35">
        <f>'Historical Financial Statements'!D29</f>
        <v/>
      </c>
      <c r="E6" s="35">
        <f>'Historical Financial Statements'!E29</f>
        <v/>
      </c>
      <c r="F6" s="35">
        <f>'Historical Financial Statements'!F29</f>
        <v/>
      </c>
      <c r="G6" s="35">
        <f>'Historical Financial Statements'!G29</f>
        <v/>
      </c>
      <c r="H6" s="35">
        <f>'Historical Financial Statements'!H29</f>
        <v/>
      </c>
      <c r="I6" s="24">
        <f>'Assumptions'!I21</f>
        <v/>
      </c>
      <c r="J6" s="24">
        <f>'Assumptions'!J21</f>
        <v/>
      </c>
      <c r="K6" s="24">
        <f>'Assumptions'!K21</f>
        <v/>
      </c>
      <c r="L6" s="24">
        <f>'Assumptions'!L21</f>
        <v/>
      </c>
      <c r="M6" s="24">
        <f>'Assumptions'!M21</f>
        <v/>
      </c>
      <c r="N6" s="24">
        <f>'Assumptions'!N21</f>
        <v/>
      </c>
      <c r="O6" s="24">
        <f>'Assumptions'!O21</f>
        <v/>
      </c>
    </row>
    <row r="7">
      <c r="A7" s="5" t="inlineStr">
        <is>
          <t>Investments</t>
        </is>
      </c>
      <c r="B7" s="35">
        <f>'Historical Financial Statements'!B30</f>
        <v/>
      </c>
      <c r="C7" s="35">
        <f>'Historical Financial Statements'!C30</f>
        <v/>
      </c>
      <c r="D7" s="35">
        <f>'Historical Financial Statements'!D30</f>
        <v/>
      </c>
      <c r="E7" s="35">
        <f>'Historical Financial Statements'!E30</f>
        <v/>
      </c>
      <c r="F7" s="35">
        <f>'Historical Financial Statements'!F30</f>
        <v/>
      </c>
      <c r="G7" s="35">
        <f>'Historical Financial Statements'!G30</f>
        <v/>
      </c>
      <c r="H7" s="35">
        <f>'Historical Financial Statements'!H30</f>
        <v/>
      </c>
      <c r="I7" s="24">
        <f>'Assumptions'!I22</f>
        <v/>
      </c>
      <c r="J7" s="24">
        <f>'Assumptions'!J22</f>
        <v/>
      </c>
      <c r="K7" s="24">
        <f>'Assumptions'!K22</f>
        <v/>
      </c>
      <c r="L7" s="24">
        <f>'Assumptions'!L22</f>
        <v/>
      </c>
      <c r="M7" s="24">
        <f>'Assumptions'!M22</f>
        <v/>
      </c>
      <c r="N7" s="24">
        <f>'Assumptions'!N22</f>
        <v/>
      </c>
      <c r="O7" s="24">
        <f>'Assumptions'!O22</f>
        <v/>
      </c>
    </row>
    <row r="8">
      <c r="A8" s="5" t="inlineStr">
        <is>
          <t>Contract assets (memo, from WC)</t>
        </is>
      </c>
      <c r="I8" s="24">
        <f>'Working Capital Schedule'!I10</f>
        <v/>
      </c>
      <c r="J8" s="24">
        <f>'Working Capital Schedule'!J10</f>
        <v/>
      </c>
      <c r="K8" s="24">
        <f>'Working Capital Schedule'!K10</f>
        <v/>
      </c>
      <c r="L8" s="24">
        <f>'Working Capital Schedule'!L10</f>
        <v/>
      </c>
      <c r="M8" s="24">
        <f>'Working Capital Schedule'!M10</f>
        <v/>
      </c>
      <c r="N8" s="24">
        <f>'Working Capital Schedule'!N10</f>
        <v/>
      </c>
      <c r="O8" s="24">
        <f>'Working Capital Schedule'!O10</f>
        <v/>
      </c>
    </row>
    <row r="9">
      <c r="A9" s="5" t="inlineStr">
        <is>
          <t>Other operating assets (memo, from WC)</t>
        </is>
      </c>
      <c r="I9" s="24">
        <f>'Working Capital Schedule'!I11</f>
        <v/>
      </c>
      <c r="J9" s="24">
        <f>'Working Capital Schedule'!J11</f>
        <v/>
      </c>
      <c r="K9" s="24">
        <f>'Working Capital Schedule'!K11</f>
        <v/>
      </c>
      <c r="L9" s="24">
        <f>'Working Capital Schedule'!L11</f>
        <v/>
      </c>
      <c r="M9" s="24">
        <f>'Working Capital Schedule'!M11</f>
        <v/>
      </c>
      <c r="N9" s="24">
        <f>'Working Capital Schedule'!N11</f>
        <v/>
      </c>
      <c r="O9" s="24">
        <f>'Working Capital Schedule'!O11</f>
        <v/>
      </c>
    </row>
    <row r="10">
      <c r="A10" s="5" t="inlineStr">
        <is>
          <t>Contract liabilities (memo, from WC)</t>
        </is>
      </c>
      <c r="I10" s="24">
        <f>'Working Capital Schedule'!I14</f>
        <v/>
      </c>
      <c r="J10" s="24">
        <f>'Working Capital Schedule'!J14</f>
        <v/>
      </c>
      <c r="K10" s="24">
        <f>'Working Capital Schedule'!K14</f>
        <v/>
      </c>
      <c r="L10" s="24">
        <f>'Working Capital Schedule'!L14</f>
        <v/>
      </c>
      <c r="M10" s="24">
        <f>'Working Capital Schedule'!M14</f>
        <v/>
      </c>
      <c r="N10" s="24">
        <f>'Working Capital Schedule'!N14</f>
        <v/>
      </c>
      <c r="O10" s="24">
        <f>'Working Capital Schedule'!O14</f>
        <v/>
      </c>
    </row>
    <row r="11">
      <c r="A11" s="5" t="inlineStr">
        <is>
          <t>Provisions &amp; other liabilities (memo, from WC)</t>
        </is>
      </c>
      <c r="I11" s="24">
        <f>'Working Capital Schedule'!I15</f>
        <v/>
      </c>
      <c r="J11" s="24">
        <f>'Working Capital Schedule'!J15</f>
        <v/>
      </c>
      <c r="K11" s="24">
        <f>'Working Capital Schedule'!K15</f>
        <v/>
      </c>
      <c r="L11" s="24">
        <f>'Working Capital Schedule'!L15</f>
        <v/>
      </c>
      <c r="M11" s="24">
        <f>'Working Capital Schedule'!M15</f>
        <v/>
      </c>
      <c r="N11" s="24">
        <f>'Working Capital Schedule'!N15</f>
        <v/>
      </c>
      <c r="O11" s="24">
        <f>'Working Capital Schedule'!O15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Indirect method. FY20-26 reported; FY27-33 = PAT + D&amp;A - increase in NWC; investing &amp; financing from schedules. No plugs.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24">
        <f>'Forecast Financial Statements'!I20</f>
        <v/>
      </c>
      <c r="J6" s="24">
        <f>'Forecast Financial Statements'!J20</f>
        <v/>
      </c>
      <c r="K6" s="24">
        <f>'Forecast Financial Statements'!K20</f>
        <v/>
      </c>
      <c r="L6" s="24">
        <f>'Forecast Financial Statements'!L20</f>
        <v/>
      </c>
      <c r="M6" s="24">
        <f>'Forecast Financial Statements'!M20</f>
        <v/>
      </c>
      <c r="N6" s="24">
        <f>'Forecast Financial Statements'!N20</f>
        <v/>
      </c>
      <c r="O6" s="24">
        <f>'Forecast Financial Statements'!O20</f>
        <v/>
      </c>
    </row>
    <row r="7">
      <c r="A7" s="5" t="inlineStr">
        <is>
          <t xml:space="preserve">   Add: depreciation &amp; amortisation</t>
        </is>
      </c>
      <c r="I7" s="24">
        <f>'Depreciation Schedule'!I8</f>
        <v/>
      </c>
      <c r="J7" s="24">
        <f>'Depreciation Schedule'!J8</f>
        <v/>
      </c>
      <c r="K7" s="24">
        <f>'Depreciation Schedule'!K8</f>
        <v/>
      </c>
      <c r="L7" s="24">
        <f>'Depreciation Schedule'!L8</f>
        <v/>
      </c>
      <c r="M7" s="24">
        <f>'Depreciation Schedule'!M8</f>
        <v/>
      </c>
      <c r="N7" s="24">
        <f>'Depreciation Schedule'!N8</f>
        <v/>
      </c>
      <c r="O7" s="24">
        <f>'Depreciation Schedule'!O8</f>
        <v/>
      </c>
    </row>
    <row r="8">
      <c r="A8" s="5" t="inlineStr">
        <is>
          <t xml:space="preserve">   (Increase)/decrease in working capital</t>
        </is>
      </c>
      <c r="I8" s="24">
        <f>'Working Capital Schedule'!I18</f>
        <v/>
      </c>
      <c r="J8" s="24">
        <f>'Working Capital Schedule'!J18</f>
        <v/>
      </c>
      <c r="K8" s="24">
        <f>'Working Capital Schedule'!K18</f>
        <v/>
      </c>
      <c r="L8" s="24">
        <f>'Working Capital Schedule'!L18</f>
        <v/>
      </c>
      <c r="M8" s="24">
        <f>'Working Capital Schedule'!M18</f>
        <v/>
      </c>
      <c r="N8" s="24">
        <f>'Working Capital Schedule'!N18</f>
        <v/>
      </c>
      <c r="O8" s="24">
        <f>'Working Capital Schedule'!O18</f>
        <v/>
      </c>
    </row>
    <row r="9">
      <c r="A9" s="4" t="inlineStr">
        <is>
          <t>Cash flow from operating activities</t>
        </is>
      </c>
      <c r="B9" s="36">
        <f>'Historical Financial Statements'!B42</f>
        <v/>
      </c>
      <c r="C9" s="36">
        <f>'Historical Financial Statements'!C42</f>
        <v/>
      </c>
      <c r="D9" s="36">
        <f>'Historical Financial Statements'!D42</f>
        <v/>
      </c>
      <c r="E9" s="36">
        <f>'Historical Financial Statements'!E42</f>
        <v/>
      </c>
      <c r="F9" s="36">
        <f>'Historical Financial Statements'!F42</f>
        <v/>
      </c>
      <c r="G9" s="36">
        <f>'Historical Financial Statements'!G42</f>
        <v/>
      </c>
      <c r="H9" s="36">
        <f>'Historical Financial Statements'!H42</f>
        <v/>
      </c>
      <c r="I9" s="37">
        <f>SUM(I6:I8)</f>
        <v/>
      </c>
      <c r="J9" s="37">
        <f>SUM(J6:J8)</f>
        <v/>
      </c>
      <c r="K9" s="37">
        <f>SUM(K6:K8)</f>
        <v/>
      </c>
      <c r="L9" s="37">
        <f>SUM(L6:L8)</f>
        <v/>
      </c>
      <c r="M9" s="37">
        <f>SUM(M6:M8)</f>
        <v/>
      </c>
      <c r="N9" s="37">
        <f>SUM(N6:N8)</f>
        <v/>
      </c>
      <c r="O9" s="37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24">
        <f>-'Assumptions'!I12</f>
        <v/>
      </c>
      <c r="J12" s="24">
        <f>-'Assumptions'!J12</f>
        <v/>
      </c>
      <c r="K12" s="24">
        <f>-'Assumptions'!K12</f>
        <v/>
      </c>
      <c r="L12" s="24">
        <f>-'Assumptions'!L12</f>
        <v/>
      </c>
      <c r="M12" s="24">
        <f>-'Assumptions'!M12</f>
        <v/>
      </c>
      <c r="N12" s="24">
        <f>-'Assumptions'!N12</f>
        <v/>
      </c>
      <c r="O12" s="24">
        <f>-'Assumptions'!O12</f>
        <v/>
      </c>
    </row>
    <row r="13">
      <c r="A13" s="5" t="inlineStr">
        <is>
          <t xml:space="preserve">   Change in CWIP</t>
        </is>
      </c>
      <c r="I13" s="24">
        <f>-('Assumptions'!I21-'Historical Financial Statements'!H29)</f>
        <v/>
      </c>
      <c r="J13" s="24">
        <f>-('Assumptions'!J21-'Assumptions'!I21)</f>
        <v/>
      </c>
      <c r="K13" s="24">
        <f>-('Assumptions'!K21-'Assumptions'!J21)</f>
        <v/>
      </c>
      <c r="L13" s="24">
        <f>-('Assumptions'!L21-'Assumptions'!K21)</f>
        <v/>
      </c>
      <c r="M13" s="24">
        <f>-('Assumptions'!M21-'Assumptions'!L21)</f>
        <v/>
      </c>
      <c r="N13" s="24">
        <f>-('Assumptions'!N21-'Assumptions'!M21)</f>
        <v/>
      </c>
      <c r="O13" s="24">
        <f>-('Assumptions'!O21-'Assumptions'!N21)</f>
        <v/>
      </c>
    </row>
    <row r="14">
      <c r="A14" s="5" t="inlineStr">
        <is>
          <t xml:space="preserve">   Change in investments</t>
        </is>
      </c>
      <c r="I14" s="24">
        <f>-('Assumptions'!I22-'Historical Financial Statements'!H30)</f>
        <v/>
      </c>
      <c r="J14" s="24">
        <f>-('Assumptions'!J22-'Assumptions'!I22)</f>
        <v/>
      </c>
      <c r="K14" s="24">
        <f>-('Assumptions'!K22-'Assumptions'!J22)</f>
        <v/>
      </c>
      <c r="L14" s="24">
        <f>-('Assumptions'!L22-'Assumptions'!K22)</f>
        <v/>
      </c>
      <c r="M14" s="24">
        <f>-('Assumptions'!M22-'Assumptions'!L22)</f>
        <v/>
      </c>
      <c r="N14" s="24">
        <f>-('Assumptions'!N22-'Assumptions'!M22)</f>
        <v/>
      </c>
      <c r="O14" s="24">
        <f>-('Assumptions'!O22-'Assumptions'!N22)</f>
        <v/>
      </c>
    </row>
    <row r="15">
      <c r="A15" s="4" t="inlineStr">
        <is>
          <t>Cash flow from investing activities</t>
        </is>
      </c>
      <c r="B15" s="36">
        <f>'Historical Financial Statements'!B43</f>
        <v/>
      </c>
      <c r="C15" s="36">
        <f>'Historical Financial Statements'!C43</f>
        <v/>
      </c>
      <c r="D15" s="36">
        <f>'Historical Financial Statements'!D43</f>
        <v/>
      </c>
      <c r="E15" s="36">
        <f>'Historical Financial Statements'!E43</f>
        <v/>
      </c>
      <c r="F15" s="36">
        <f>'Historical Financial Statements'!F43</f>
        <v/>
      </c>
      <c r="G15" s="36">
        <f>'Historical Financial Statements'!G43</f>
        <v/>
      </c>
      <c r="H15" s="36">
        <f>'Historical Financial Statements'!H43</f>
        <v/>
      </c>
      <c r="I15" s="37">
        <f>SUM(I12:I14)</f>
        <v/>
      </c>
      <c r="J15" s="37">
        <f>SUM(J12:J14)</f>
        <v/>
      </c>
      <c r="K15" s="37">
        <f>SUM(K12:K14)</f>
        <v/>
      </c>
      <c r="L15" s="37">
        <f>SUM(L12:L14)</f>
        <v/>
      </c>
      <c r="M15" s="37">
        <f>SUM(M12:M14)</f>
        <v/>
      </c>
      <c r="N15" s="37">
        <f>SUM(N12:N14)</f>
        <v/>
      </c>
      <c r="O15" s="37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24">
        <f>'Debt Schedule'!I7</f>
        <v/>
      </c>
      <c r="J18" s="24">
        <f>'Debt Schedule'!J7</f>
        <v/>
      </c>
      <c r="K18" s="24">
        <f>'Debt Schedule'!K7</f>
        <v/>
      </c>
      <c r="L18" s="24">
        <f>'Debt Schedule'!L7</f>
        <v/>
      </c>
      <c r="M18" s="24">
        <f>'Debt Schedule'!M7</f>
        <v/>
      </c>
      <c r="N18" s="24">
        <f>'Debt Schedule'!N7</f>
        <v/>
      </c>
      <c r="O18" s="24">
        <f>'Debt Schedule'!O7</f>
        <v/>
      </c>
    </row>
    <row r="19">
      <c r="A19" s="5" t="inlineStr">
        <is>
          <t xml:space="preserve">   Debt repayment</t>
        </is>
      </c>
      <c r="I19" s="24">
        <f>'Debt Schedule'!I8</f>
        <v/>
      </c>
      <c r="J19" s="24">
        <f>'Debt Schedule'!J8</f>
        <v/>
      </c>
      <c r="K19" s="24">
        <f>'Debt Schedule'!K8</f>
        <v/>
      </c>
      <c r="L19" s="24">
        <f>'Debt Schedule'!L8</f>
        <v/>
      </c>
      <c r="M19" s="24">
        <f>'Debt Schedule'!M8</f>
        <v/>
      </c>
      <c r="N19" s="24">
        <f>'Debt Schedule'!N8</f>
        <v/>
      </c>
      <c r="O19" s="24">
        <f>'Debt Schedule'!O8</f>
        <v/>
      </c>
    </row>
    <row r="20">
      <c r="A20" s="5" t="inlineStr">
        <is>
          <t xml:space="preserve">   Dividends paid</t>
        </is>
      </c>
      <c r="I20" s="24">
        <f>-'Forecast Financial Statements'!I22</f>
        <v/>
      </c>
      <c r="J20" s="24">
        <f>-'Forecast Financial Statements'!J22</f>
        <v/>
      </c>
      <c r="K20" s="24">
        <f>-'Forecast Financial Statements'!K22</f>
        <v/>
      </c>
      <c r="L20" s="24">
        <f>-'Forecast Financial Statements'!L22</f>
        <v/>
      </c>
      <c r="M20" s="24">
        <f>-'Forecast Financial Statements'!M22</f>
        <v/>
      </c>
      <c r="N20" s="24">
        <f>-'Forecast Financial Statements'!N22</f>
        <v/>
      </c>
      <c r="O20" s="24">
        <f>-'Forecast Financial Statements'!O22</f>
        <v/>
      </c>
    </row>
    <row r="21">
      <c r="A21" s="4" t="inlineStr">
        <is>
          <t>Cash flow from financing activities</t>
        </is>
      </c>
      <c r="B21" s="36">
        <f>'Historical Financial Statements'!B44</f>
        <v/>
      </c>
      <c r="C21" s="36">
        <f>'Historical Financial Statements'!C44</f>
        <v/>
      </c>
      <c r="D21" s="36">
        <f>'Historical Financial Statements'!D44</f>
        <v/>
      </c>
      <c r="E21" s="36">
        <f>'Historical Financial Statements'!E44</f>
        <v/>
      </c>
      <c r="F21" s="36">
        <f>'Historical Financial Statements'!F44</f>
        <v/>
      </c>
      <c r="G21" s="36">
        <f>'Historical Financial Statements'!G44</f>
        <v/>
      </c>
      <c r="H21" s="36">
        <f>'Historical Financial Statements'!H44</f>
        <v/>
      </c>
      <c r="I21" s="37">
        <f>SUM(I18:I20)</f>
        <v/>
      </c>
      <c r="J21" s="37">
        <f>SUM(J18:J20)</f>
        <v/>
      </c>
      <c r="K21" s="37">
        <f>SUM(K18:K20)</f>
        <v/>
      </c>
      <c r="L21" s="37">
        <f>SUM(L18:L20)</f>
        <v/>
      </c>
      <c r="M21" s="37">
        <f>SUM(M18:M20)</f>
        <v/>
      </c>
      <c r="N21" s="37">
        <f>SUM(N18:N20)</f>
        <v/>
      </c>
      <c r="O21" s="37">
        <f>SUM(O18:O20)</f>
        <v/>
      </c>
    </row>
    <row r="23">
      <c r="A23" s="4" t="inlineStr">
        <is>
          <t>Net increase/(decrease) in cash</t>
        </is>
      </c>
      <c r="B23" s="35">
        <f>'Historical Financial Statements'!B45</f>
        <v/>
      </c>
      <c r="C23" s="35">
        <f>'Historical Financial Statements'!C45</f>
        <v/>
      </c>
      <c r="D23" s="35">
        <f>'Historical Financial Statements'!D45</f>
        <v/>
      </c>
      <c r="E23" s="35">
        <f>'Historical Financial Statements'!E45</f>
        <v/>
      </c>
      <c r="F23" s="35">
        <f>'Historical Financial Statements'!F45</f>
        <v/>
      </c>
      <c r="G23" s="35">
        <f>'Historical Financial Statements'!G45</f>
        <v/>
      </c>
      <c r="H23" s="35">
        <f>'Historical Financial Statements'!H45</f>
        <v/>
      </c>
      <c r="I23" s="37">
        <f>I9+I15+I21</f>
        <v/>
      </c>
      <c r="J23" s="37">
        <f>J9+J15+J21</f>
        <v/>
      </c>
      <c r="K23" s="37">
        <f>K9+K15+K21</f>
        <v/>
      </c>
      <c r="L23" s="37">
        <f>L9+L15+L21</f>
        <v/>
      </c>
      <c r="M23" s="37">
        <f>M9+M15+M21</f>
        <v/>
      </c>
      <c r="N23" s="37">
        <f>N9+N15+N21</f>
        <v/>
      </c>
      <c r="O23" s="37">
        <f>O9+O15+O21</f>
        <v/>
      </c>
    </row>
    <row r="24">
      <c r="A24" s="5" t="inlineStr">
        <is>
          <t>Opening cash &amp; bank</t>
        </is>
      </c>
      <c r="B24" s="21" t="n">
        <v>6353</v>
      </c>
      <c r="C24" s="21" t="n">
        <v>6961</v>
      </c>
      <c r="D24" s="21" t="n">
        <v>7084</v>
      </c>
      <c r="E24" s="21" t="n">
        <v>6297</v>
      </c>
      <c r="F24" s="21" t="n">
        <v>7126</v>
      </c>
      <c r="G24" s="21" t="n">
        <v>7400</v>
      </c>
      <c r="H24" s="21" t="n">
        <v>6004</v>
      </c>
      <c r="I24" s="24">
        <f>'Working Capital Schedule'!H19</f>
        <v/>
      </c>
      <c r="J24" s="24">
        <f>I25</f>
        <v/>
      </c>
      <c r="K24" s="24">
        <f>J25</f>
        <v/>
      </c>
      <c r="L24" s="24">
        <f>K25</f>
        <v/>
      </c>
      <c r="M24" s="24">
        <f>L25</f>
        <v/>
      </c>
      <c r="N24" s="24">
        <f>M25</f>
        <v/>
      </c>
      <c r="O24" s="24">
        <f>N25</f>
        <v/>
      </c>
    </row>
    <row r="25">
      <c r="A25" s="4" t="inlineStr">
        <is>
          <t>Closing cash &amp; bank</t>
        </is>
      </c>
      <c r="B25" s="39" t="n">
        <v>6961</v>
      </c>
      <c r="C25" s="39" t="n">
        <v>7084</v>
      </c>
      <c r="D25" s="39" t="n">
        <v>6297</v>
      </c>
      <c r="E25" s="39" t="n">
        <v>7126</v>
      </c>
      <c r="F25" s="39" t="n">
        <v>7400</v>
      </c>
      <c r="G25" s="39" t="n">
        <v>6004</v>
      </c>
      <c r="H25" s="39" t="n">
        <v>7000</v>
      </c>
      <c r="I25" s="37">
        <f>I24+I23</f>
        <v/>
      </c>
      <c r="J25" s="37">
        <f>J24+J23</f>
        <v/>
      </c>
      <c r="K25" s="37">
        <f>K24+K23</f>
        <v/>
      </c>
      <c r="L25" s="37">
        <f>L24+L23</f>
        <v/>
      </c>
      <c r="M25" s="37">
        <f>M24+M23</f>
        <v/>
      </c>
      <c r="N25" s="37">
        <f>N24+N23</f>
        <v/>
      </c>
      <c r="O25" s="37">
        <f>O24+O23</f>
        <v/>
      </c>
    </row>
    <row r="26">
      <c r="A26" s="27" t="inlineStr">
        <is>
          <t>FY20-26 operating/investing/financing shown at reported subtotal level; cash balances rolled from reported net cash flow (FY26 anchor estimated).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Particulars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4" t="inlineStr">
        <is>
          <t>Sales</t>
        </is>
      </c>
      <c r="B5" s="35">
        <f>'Historical Financial Statements'!B5</f>
        <v/>
      </c>
      <c r="C5" s="35">
        <f>'Historical Financial Statements'!C5</f>
        <v/>
      </c>
      <c r="D5" s="35">
        <f>'Historical Financial Statements'!D5</f>
        <v/>
      </c>
      <c r="E5" s="35">
        <f>'Historical Financial Statements'!E5</f>
        <v/>
      </c>
      <c r="F5" s="35">
        <f>'Historical Financial Statements'!F5</f>
        <v/>
      </c>
      <c r="G5" s="35">
        <f>'Historical Financial Statements'!G5</f>
        <v/>
      </c>
      <c r="H5" s="35">
        <f>'Historical Financial Statements'!H5</f>
        <v/>
      </c>
      <c r="I5" s="24">
        <f>'Revenue Build-up'!I11</f>
        <v/>
      </c>
      <c r="J5" s="24">
        <f>'Revenue Build-up'!J11</f>
        <v/>
      </c>
      <c r="K5" s="24">
        <f>'Revenue Build-up'!K11</f>
        <v/>
      </c>
      <c r="L5" s="24">
        <f>'Revenue Build-up'!L11</f>
        <v/>
      </c>
      <c r="M5" s="24">
        <f>'Revenue Build-up'!M11</f>
        <v/>
      </c>
      <c r="N5" s="24">
        <f>'Revenue Build-up'!N11</f>
        <v/>
      </c>
      <c r="O5" s="24">
        <f>'Revenue Build-up'!O11</f>
        <v/>
      </c>
    </row>
    <row r="6">
      <c r="A6" s="5" t="inlineStr">
        <is>
          <t>Total COGS</t>
        </is>
      </c>
      <c r="B6" s="35">
        <f>'Historical Financial Statements'!B6</f>
        <v/>
      </c>
      <c r="C6" s="35">
        <f>'Historical Financial Statements'!C6</f>
        <v/>
      </c>
      <c r="D6" s="35">
        <f>'Historical Financial Statements'!D6</f>
        <v/>
      </c>
      <c r="E6" s="35">
        <f>'Historical Financial Statements'!E6</f>
        <v/>
      </c>
      <c r="F6" s="35">
        <f>'Historical Financial Statements'!F6</f>
        <v/>
      </c>
      <c r="G6" s="35">
        <f>'Historical Financial Statements'!G6</f>
        <v/>
      </c>
      <c r="H6" s="35">
        <f>'Historical Financial Statements'!H6</f>
        <v/>
      </c>
      <c r="I6" s="24">
        <f>'Cost Forecast'!I9</f>
        <v/>
      </c>
      <c r="J6" s="24">
        <f>'Cost Forecast'!J9</f>
        <v/>
      </c>
      <c r="K6" s="24">
        <f>'Cost Forecast'!K9</f>
        <v/>
      </c>
      <c r="L6" s="24">
        <f>'Cost Forecast'!L9</f>
        <v/>
      </c>
      <c r="M6" s="24">
        <f>'Cost Forecast'!M9</f>
        <v/>
      </c>
      <c r="N6" s="24">
        <f>'Cost Forecast'!N9</f>
        <v/>
      </c>
      <c r="O6" s="24">
        <f>'Cost Forecast'!O9</f>
        <v/>
      </c>
    </row>
    <row r="7">
      <c r="A7" s="4" t="inlineStr">
        <is>
          <t>Gross Profit</t>
        </is>
      </c>
      <c r="B7" s="22">
        <f>B5-B6</f>
        <v/>
      </c>
      <c r="C7" s="22">
        <f>C5-C6</f>
        <v/>
      </c>
      <c r="D7" s="22">
        <f>D5-D6</f>
        <v/>
      </c>
      <c r="E7" s="22">
        <f>E5-E6</f>
        <v/>
      </c>
      <c r="F7" s="22">
        <f>F5-F6</f>
        <v/>
      </c>
      <c r="G7" s="22">
        <f>G5-G6</f>
        <v/>
      </c>
      <c r="H7" s="22">
        <f>H5-H6</f>
        <v/>
      </c>
      <c r="I7" s="22">
        <f>I5-I6</f>
        <v/>
      </c>
      <c r="J7" s="22">
        <f>J5-J6</f>
        <v/>
      </c>
      <c r="K7" s="22">
        <f>K5-K6</f>
        <v/>
      </c>
      <c r="L7" s="22">
        <f>L5-L6</f>
        <v/>
      </c>
      <c r="M7" s="22">
        <f>M5-M6</f>
        <v/>
      </c>
      <c r="N7" s="22">
        <f>N5-N6</f>
        <v/>
      </c>
      <c r="O7" s="22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5">
        <f>'Historical Financial Statements'!B9</f>
        <v/>
      </c>
      <c r="C9" s="35">
        <f>'Historical Financial Statements'!C9</f>
        <v/>
      </c>
      <c r="D9" s="35">
        <f>'Historical Financial Statements'!D9</f>
        <v/>
      </c>
      <c r="E9" s="35">
        <f>'Historical Financial Statements'!E9</f>
        <v/>
      </c>
      <c r="F9" s="35">
        <f>'Historical Financial Statements'!F9</f>
        <v/>
      </c>
      <c r="G9" s="35">
        <f>'Historical Financial Statements'!G9</f>
        <v/>
      </c>
      <c r="H9" s="35">
        <f>'Historical Financial Statements'!H9</f>
        <v/>
      </c>
      <c r="I9" s="24">
        <f>'Cost Forecast'!I11</f>
        <v/>
      </c>
      <c r="J9" s="24">
        <f>'Cost Forecast'!J11</f>
        <v/>
      </c>
      <c r="K9" s="24">
        <f>'Cost Forecast'!K11</f>
        <v/>
      </c>
      <c r="L9" s="24">
        <f>'Cost Forecast'!L11</f>
        <v/>
      </c>
      <c r="M9" s="24">
        <f>'Cost Forecast'!M11</f>
        <v/>
      </c>
      <c r="N9" s="24">
        <f>'Cost Forecast'!N11</f>
        <v/>
      </c>
      <c r="O9" s="24">
        <f>'Cost Forecast'!O11</f>
        <v/>
      </c>
    </row>
    <row r="10">
      <c r="A10" s="5" t="inlineStr">
        <is>
          <t xml:space="preserve">   Selling and admin</t>
        </is>
      </c>
      <c r="B10" s="35">
        <f>'Historical Financial Statements'!B10</f>
        <v/>
      </c>
      <c r="C10" s="35">
        <f>'Historical Financial Statements'!C10</f>
        <v/>
      </c>
      <c r="D10" s="35">
        <f>'Historical Financial Statements'!D10</f>
        <v/>
      </c>
      <c r="E10" s="35">
        <f>'Historical Financial Statements'!E10</f>
        <v/>
      </c>
      <c r="F10" s="35">
        <f>'Historical Financial Statements'!F10</f>
        <v/>
      </c>
      <c r="G10" s="35">
        <f>'Historical Financial Statements'!G10</f>
        <v/>
      </c>
      <c r="H10" s="35">
        <f>'Historical Financial Statements'!H10</f>
        <v/>
      </c>
      <c r="I10" s="24">
        <f>'Cost Forecast'!I12</f>
        <v/>
      </c>
      <c r="J10" s="24">
        <f>'Cost Forecast'!J12</f>
        <v/>
      </c>
      <c r="K10" s="24">
        <f>'Cost Forecast'!K12</f>
        <v/>
      </c>
      <c r="L10" s="24">
        <f>'Cost Forecast'!L12</f>
        <v/>
      </c>
      <c r="M10" s="24">
        <f>'Cost Forecast'!M12</f>
        <v/>
      </c>
      <c r="N10" s="24">
        <f>'Cost Forecast'!N12</f>
        <v/>
      </c>
      <c r="O10" s="24">
        <f>'Cost Forecast'!O12</f>
        <v/>
      </c>
    </row>
    <row r="11">
      <c r="A11" s="4" t="inlineStr">
        <is>
          <t>Total Operating Expenses</t>
        </is>
      </c>
      <c r="B11" s="22">
        <f>B9+B10</f>
        <v/>
      </c>
      <c r="C11" s="22">
        <f>C9+C10</f>
        <v/>
      </c>
      <c r="D11" s="22">
        <f>D9+D10</f>
        <v/>
      </c>
      <c r="E11" s="22">
        <f>E9+E10</f>
        <v/>
      </c>
      <c r="F11" s="22">
        <f>F9+F10</f>
        <v/>
      </c>
      <c r="G11" s="22">
        <f>G9+G10</f>
        <v/>
      </c>
      <c r="H11" s="22">
        <f>H9+H10</f>
        <v/>
      </c>
      <c r="I11" s="22">
        <f>I9+I10</f>
        <v/>
      </c>
      <c r="J11" s="22">
        <f>J9+J10</f>
        <v/>
      </c>
      <c r="K11" s="22">
        <f>K9+K10</f>
        <v/>
      </c>
      <c r="L11" s="22">
        <f>L9+L10</f>
        <v/>
      </c>
      <c r="M11" s="22">
        <f>M9+M10</f>
        <v/>
      </c>
      <c r="N11" s="22">
        <f>N9+N10</f>
        <v/>
      </c>
      <c r="O11" s="22">
        <f>O9+O10</f>
        <v/>
      </c>
    </row>
    <row r="12">
      <c r="A12" s="4" t="inlineStr">
        <is>
          <t>EBITDA</t>
        </is>
      </c>
      <c r="B12" s="23">
        <f>B7-B11</f>
        <v/>
      </c>
      <c r="C12" s="23">
        <f>C7-C11</f>
        <v/>
      </c>
      <c r="D12" s="23">
        <f>D7-D11</f>
        <v/>
      </c>
      <c r="E12" s="23">
        <f>E7-E11</f>
        <v/>
      </c>
      <c r="F12" s="23">
        <f>F7-F11</f>
        <v/>
      </c>
      <c r="G12" s="23">
        <f>G7-G11</f>
        <v/>
      </c>
      <c r="H12" s="23">
        <f>H7-H11</f>
        <v/>
      </c>
      <c r="I12" s="23">
        <f>I7-I11</f>
        <v/>
      </c>
      <c r="J12" s="23">
        <f>J7-J11</f>
        <v/>
      </c>
      <c r="K12" s="23">
        <f>K7-K11</f>
        <v/>
      </c>
      <c r="L12" s="23">
        <f>L7-L11</f>
        <v/>
      </c>
      <c r="M12" s="23">
        <f>M7-M11</f>
        <v/>
      </c>
      <c r="N12" s="23">
        <f>N7-N11</f>
        <v/>
      </c>
      <c r="O12" s="23">
        <f>O7-O11</f>
        <v/>
      </c>
    </row>
    <row r="13">
      <c r="A13" s="5" t="inlineStr">
        <is>
          <t>Depreciation &amp; Amortization</t>
        </is>
      </c>
      <c r="B13" s="35">
        <f>'Historical Financial Statements'!B13</f>
        <v/>
      </c>
      <c r="C13" s="35">
        <f>'Historical Financial Statements'!C13</f>
        <v/>
      </c>
      <c r="D13" s="35">
        <f>'Historical Financial Statements'!D13</f>
        <v/>
      </c>
      <c r="E13" s="35">
        <f>'Historical Financial Statements'!E13</f>
        <v/>
      </c>
      <c r="F13" s="35">
        <f>'Historical Financial Statements'!F13</f>
        <v/>
      </c>
      <c r="G13" s="35">
        <f>'Historical Financial Statements'!G13</f>
        <v/>
      </c>
      <c r="H13" s="35">
        <f>'Historical Financial Statements'!H13</f>
        <v/>
      </c>
      <c r="I13" s="24">
        <f>'Depreciation Schedule'!I8</f>
        <v/>
      </c>
      <c r="J13" s="24">
        <f>'Depreciation Schedule'!J8</f>
        <v/>
      </c>
      <c r="K13" s="24">
        <f>'Depreciation Schedule'!K8</f>
        <v/>
      </c>
      <c r="L13" s="24">
        <f>'Depreciation Schedule'!L8</f>
        <v/>
      </c>
      <c r="M13" s="24">
        <f>'Depreciation Schedule'!M8</f>
        <v/>
      </c>
      <c r="N13" s="24">
        <f>'Depreciation Schedule'!N8</f>
        <v/>
      </c>
      <c r="O13" s="24">
        <f>'Depreciation Schedule'!O8</f>
        <v/>
      </c>
    </row>
    <row r="14">
      <c r="A14" s="4" t="inlineStr">
        <is>
          <t>EBIT</t>
        </is>
      </c>
      <c r="B14" s="24">
        <f>B12-B13</f>
        <v/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</row>
    <row r="15">
      <c r="A15" s="5" t="inlineStr">
        <is>
          <t>Other Income</t>
        </is>
      </c>
      <c r="B15" s="35">
        <f>'Historical Financial Statements'!B15</f>
        <v/>
      </c>
      <c r="C15" s="35">
        <f>'Historical Financial Statements'!C15</f>
        <v/>
      </c>
      <c r="D15" s="35">
        <f>'Historical Financial Statements'!D15</f>
        <v/>
      </c>
      <c r="E15" s="35">
        <f>'Historical Financial Statements'!E15</f>
        <v/>
      </c>
      <c r="F15" s="35">
        <f>'Historical Financial Statements'!F15</f>
        <v/>
      </c>
      <c r="G15" s="35">
        <f>'Historical Financial Statements'!G15</f>
        <v/>
      </c>
      <c r="H15" s="35">
        <f>'Historical Financial Statements'!H15</f>
        <v/>
      </c>
      <c r="I15" s="24">
        <f>'Assumptions'!I8*I5</f>
        <v/>
      </c>
      <c r="J15" s="24">
        <f>'Assumptions'!J8*J5</f>
        <v/>
      </c>
      <c r="K15" s="24">
        <f>'Assumptions'!K8*K5</f>
        <v/>
      </c>
      <c r="L15" s="24">
        <f>'Assumptions'!L8*L5</f>
        <v/>
      </c>
      <c r="M15" s="24">
        <f>'Assumptions'!M8*M5</f>
        <v/>
      </c>
      <c r="N15" s="24">
        <f>'Assumptions'!N8*N5</f>
        <v/>
      </c>
      <c r="O15" s="24">
        <f>'Assumptions'!O8*O5</f>
        <v/>
      </c>
    </row>
    <row r="16">
      <c r="A16" s="5" t="inlineStr">
        <is>
          <t>Interest Paid</t>
        </is>
      </c>
      <c r="B16" s="35">
        <f>'Historical Financial Statements'!B16</f>
        <v/>
      </c>
      <c r="C16" s="35">
        <f>'Historical Financial Statements'!C16</f>
        <v/>
      </c>
      <c r="D16" s="35">
        <f>'Historical Financial Statements'!D16</f>
        <v/>
      </c>
      <c r="E16" s="35">
        <f>'Historical Financial Statements'!E16</f>
        <v/>
      </c>
      <c r="F16" s="35">
        <f>'Historical Financial Statements'!F16</f>
        <v/>
      </c>
      <c r="G16" s="35">
        <f>'Historical Financial Statements'!G16</f>
        <v/>
      </c>
      <c r="H16" s="35">
        <f>'Historical Financial Statements'!H16</f>
        <v/>
      </c>
      <c r="I16" s="24">
        <f>'Debt Schedule'!I11</f>
        <v/>
      </c>
      <c r="J16" s="24">
        <f>'Debt Schedule'!J11</f>
        <v/>
      </c>
      <c r="K16" s="24">
        <f>'Debt Schedule'!K11</f>
        <v/>
      </c>
      <c r="L16" s="24">
        <f>'Debt Schedule'!L11</f>
        <v/>
      </c>
      <c r="M16" s="24">
        <f>'Debt Schedule'!M11</f>
        <v/>
      </c>
      <c r="N16" s="24">
        <f>'Debt Schedule'!N11</f>
        <v/>
      </c>
      <c r="O16" s="24">
        <f>'Debt Schedule'!O11</f>
        <v/>
      </c>
    </row>
    <row r="17">
      <c r="A17" s="4" t="inlineStr">
        <is>
          <t>Profit Before Tax (PBT)</t>
        </is>
      </c>
      <c r="B17" s="22">
        <f>B14+B15-B16</f>
        <v/>
      </c>
      <c r="C17" s="22">
        <f>C14+C15-C16</f>
        <v/>
      </c>
      <c r="D17" s="22">
        <f>D14+D15-D16</f>
        <v/>
      </c>
      <c r="E17" s="22">
        <f>E14+E15-E16</f>
        <v/>
      </c>
      <c r="F17" s="22">
        <f>F14+F15-F16</f>
        <v/>
      </c>
      <c r="G17" s="22">
        <f>G14+G15-G16</f>
        <v/>
      </c>
      <c r="H17" s="22">
        <f>H14+H15-H16</f>
        <v/>
      </c>
      <c r="I17" s="22">
        <f>I14+I15-I16</f>
        <v/>
      </c>
      <c r="J17" s="22">
        <f>J14+J15-J16</f>
        <v/>
      </c>
      <c r="K17" s="22">
        <f>K14+K15-K16</f>
        <v/>
      </c>
      <c r="L17" s="22">
        <f>L14+L15-L16</f>
        <v/>
      </c>
      <c r="M17" s="22">
        <f>M14+M15-M16</f>
        <v/>
      </c>
      <c r="N17" s="22">
        <f>N14+N15-N16</f>
        <v/>
      </c>
      <c r="O17" s="22">
        <f>O14+O15-O16</f>
        <v/>
      </c>
    </row>
    <row r="18">
      <c r="A18" s="5" t="inlineStr">
        <is>
          <t>Tax</t>
        </is>
      </c>
      <c r="B18" s="35">
        <f>'Historical Financial Statements'!B18</f>
        <v/>
      </c>
      <c r="C18" s="35">
        <f>'Historical Financial Statements'!C18</f>
        <v/>
      </c>
      <c r="D18" s="35">
        <f>'Historical Financial Statements'!D18</f>
        <v/>
      </c>
      <c r="E18" s="35">
        <f>'Historical Financial Statements'!E18</f>
        <v/>
      </c>
      <c r="F18" s="35">
        <f>'Historical Financial Statements'!F18</f>
        <v/>
      </c>
      <c r="G18" s="35">
        <f>'Historical Financial Statements'!G18</f>
        <v/>
      </c>
      <c r="H18" s="35">
        <f>'Historical Financial Statements'!H18</f>
        <v/>
      </c>
      <c r="I18" s="24">
        <f>'Assumptions'!I23*I17</f>
        <v/>
      </c>
      <c r="J18" s="24">
        <f>'Assumptions'!J23*J17</f>
        <v/>
      </c>
      <c r="K18" s="24">
        <f>'Assumptions'!K23*K17</f>
        <v/>
      </c>
      <c r="L18" s="24">
        <f>'Assumptions'!L23*L17</f>
        <v/>
      </c>
      <c r="M18" s="24">
        <f>'Assumptions'!M23*M17</f>
        <v/>
      </c>
      <c r="N18" s="24">
        <f>'Assumptions'!N23*N17</f>
        <v/>
      </c>
      <c r="O18" s="24">
        <f>'Assumptions'!O23*O17</f>
        <v/>
      </c>
    </row>
    <row r="19">
      <c r="A19" s="5" t="inlineStr">
        <is>
          <t>Adjustments</t>
        </is>
      </c>
      <c r="B19" s="35">
        <f>'Historical Financial Statements'!B19</f>
        <v/>
      </c>
      <c r="C19" s="35">
        <f>'Historical Financial Statements'!C19</f>
        <v/>
      </c>
      <c r="D19" s="35">
        <f>'Historical Financial Statements'!D19</f>
        <v/>
      </c>
      <c r="E19" s="35">
        <f>'Historical Financial Statements'!E19</f>
        <v/>
      </c>
      <c r="F19" s="35">
        <f>'Historical Financial Statements'!F19</f>
        <v/>
      </c>
      <c r="G19" s="35">
        <f>'Historical Financial Statements'!G19</f>
        <v/>
      </c>
      <c r="H19" s="35">
        <f>'Historical Financial Statements'!H19</f>
        <v/>
      </c>
      <c r="I19" s="24" t="n">
        <v>0</v>
      </c>
      <c r="J19" s="24" t="n">
        <v>0</v>
      </c>
      <c r="K19" s="24" t="n">
        <v>0</v>
      </c>
      <c r="L19" s="24" t="n">
        <v>0</v>
      </c>
      <c r="M19" s="24" t="n">
        <v>0</v>
      </c>
      <c r="N19" s="24" t="n">
        <v>0</v>
      </c>
      <c r="O19" s="24" t="n">
        <v>0</v>
      </c>
    </row>
    <row r="20">
      <c r="A20" s="4" t="inlineStr">
        <is>
          <t>Profit After Tax (PAT)</t>
        </is>
      </c>
      <c r="B20" s="25">
        <f>B17-B18+B19</f>
        <v/>
      </c>
      <c r="C20" s="25">
        <f>C17-C18+C19</f>
        <v/>
      </c>
      <c r="D20" s="25">
        <f>D17-D18+D19</f>
        <v/>
      </c>
      <c r="E20" s="25">
        <f>E17-E18+E19</f>
        <v/>
      </c>
      <c r="F20" s="25">
        <f>F17-F18+F19</f>
        <v/>
      </c>
      <c r="G20" s="25">
        <f>G17-G18+G19</f>
        <v/>
      </c>
      <c r="H20" s="25">
        <f>H17-H18+H19</f>
        <v/>
      </c>
      <c r="I20" s="25">
        <f>I17-I18+I19</f>
        <v/>
      </c>
      <c r="J20" s="25">
        <f>J17-J18+J19</f>
        <v/>
      </c>
      <c r="K20" s="25">
        <f>K17-K18+K19</f>
        <v/>
      </c>
      <c r="L20" s="25">
        <f>L17-L18+L19</f>
        <v/>
      </c>
      <c r="M20" s="25">
        <f>M17-M18+M19</f>
        <v/>
      </c>
      <c r="N20" s="25">
        <f>N17-N18+N19</f>
        <v/>
      </c>
      <c r="O20" s="25">
        <f>O17-O18+O19</f>
        <v/>
      </c>
    </row>
    <row r="21">
      <c r="A21" s="5" t="inlineStr">
        <is>
          <t>EPS (INR)</t>
        </is>
      </c>
      <c r="B21" s="26">
        <f>B20/'Assumptions'!C43</f>
        <v/>
      </c>
      <c r="C21" s="26">
        <f>C20/'Assumptions'!C43</f>
        <v/>
      </c>
      <c r="D21" s="26">
        <f>D20/'Assumptions'!C43</f>
        <v/>
      </c>
      <c r="E21" s="26">
        <f>E20/'Assumptions'!C43</f>
        <v/>
      </c>
      <c r="F21" s="26">
        <f>F20/'Assumptions'!C43</f>
        <v/>
      </c>
      <c r="G21" s="26">
        <f>G20/'Assumptions'!C43</f>
        <v/>
      </c>
      <c r="H21" s="26">
        <f>H20/'Assumptions'!C43</f>
        <v/>
      </c>
      <c r="I21" s="26">
        <f>I20/'Assumptions'!C43</f>
        <v/>
      </c>
      <c r="J21" s="26">
        <f>J20/'Assumptions'!C43</f>
        <v/>
      </c>
      <c r="K21" s="26">
        <f>K20/'Assumptions'!C43</f>
        <v/>
      </c>
      <c r="L21" s="26">
        <f>L20/'Assumptions'!C43</f>
        <v/>
      </c>
      <c r="M21" s="26">
        <f>M20/'Assumptions'!C43</f>
        <v/>
      </c>
      <c r="N21" s="26">
        <f>N20/'Assumptions'!C43</f>
        <v/>
      </c>
      <c r="O21" s="26">
        <f>O20/'Assumptions'!C43</f>
        <v/>
      </c>
    </row>
    <row r="22">
      <c r="A22" s="5" t="inlineStr">
        <is>
          <t>Dividend</t>
        </is>
      </c>
      <c r="B22" s="35">
        <f>'Historical Financial Statements'!B22</f>
        <v/>
      </c>
      <c r="C22" s="35">
        <f>'Historical Financial Statements'!C22</f>
        <v/>
      </c>
      <c r="D22" s="35">
        <f>'Historical Financial Statements'!D22</f>
        <v/>
      </c>
      <c r="E22" s="35">
        <f>'Historical Financial Statements'!E22</f>
        <v/>
      </c>
      <c r="F22" s="35">
        <f>'Historical Financial Statements'!F22</f>
        <v/>
      </c>
      <c r="G22" s="35">
        <f>'Historical Financial Statements'!G22</f>
        <v/>
      </c>
      <c r="H22" s="35">
        <f>'Historical Financial Statements'!H22</f>
        <v/>
      </c>
      <c r="I22" s="24">
        <f>'Assumptions'!I24*I20</f>
        <v/>
      </c>
      <c r="J22" s="24">
        <f>'Assumptions'!J24*J20</f>
        <v/>
      </c>
      <c r="K22" s="24">
        <f>'Assumptions'!K24*K20</f>
        <v/>
      </c>
      <c r="L22" s="24">
        <f>'Assumptions'!L24*L20</f>
        <v/>
      </c>
      <c r="M22" s="24">
        <f>'Assumptions'!M24*M20</f>
        <v/>
      </c>
      <c r="N22" s="24">
        <f>'Assumptions'!N24*N20</f>
        <v/>
      </c>
      <c r="O22" s="24">
        <f>'Assumptions'!O24*O20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2" t="inlineStr">
        <is>
          <t>Particulars</t>
        </is>
      </c>
      <c r="B25" s="13" t="inlineStr">
        <is>
          <t>FY2020</t>
        </is>
      </c>
      <c r="C25" s="13" t="inlineStr">
        <is>
          <t>FY2021</t>
        </is>
      </c>
      <c r="D25" s="13" t="inlineStr">
        <is>
          <t>FY2022</t>
        </is>
      </c>
      <c r="E25" s="13" t="inlineStr">
        <is>
          <t>FY2023</t>
        </is>
      </c>
      <c r="F25" s="13" t="inlineStr">
        <is>
          <t>FY2024</t>
        </is>
      </c>
      <c r="G25" s="13" t="inlineStr">
        <is>
          <t>FY2025</t>
        </is>
      </c>
      <c r="H25" s="13" t="inlineStr">
        <is>
          <t>FY2026</t>
        </is>
      </c>
      <c r="I25" s="13" t="inlineStr">
        <is>
          <t>FY2027</t>
        </is>
      </c>
      <c r="J25" s="13" t="inlineStr">
        <is>
          <t>FY2028</t>
        </is>
      </c>
      <c r="K25" s="13" t="inlineStr">
        <is>
          <t>FY2029</t>
        </is>
      </c>
      <c r="L25" s="13" t="inlineStr">
        <is>
          <t>FY2030</t>
        </is>
      </c>
      <c r="M25" s="13" t="inlineStr">
        <is>
          <t>FY2031</t>
        </is>
      </c>
      <c r="N25" s="13" t="inlineStr">
        <is>
          <t>FY2032</t>
        </is>
      </c>
      <c r="O25" s="13" t="inlineStr">
        <is>
          <t>FY2033</t>
        </is>
      </c>
    </row>
    <row r="26">
      <c r="A26" s="40" t="inlineStr">
        <is>
          <t>Equities &amp; Liabilities</t>
        </is>
      </c>
      <c r="B26" s="41" t="n"/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1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21" t="n">
        <v>696</v>
      </c>
      <c r="C28" s="21" t="n">
        <v>696</v>
      </c>
      <c r="D28" s="21" t="n">
        <v>696</v>
      </c>
      <c r="E28" s="21" t="n">
        <v>696</v>
      </c>
      <c r="F28" s="21" t="n">
        <v>696</v>
      </c>
      <c r="G28" s="21" t="n">
        <v>696</v>
      </c>
      <c r="H28" s="21" t="n">
        <v>696</v>
      </c>
      <c r="I28" s="35">
        <f>'Equity Schedule'!I12</f>
        <v/>
      </c>
      <c r="J28" s="35">
        <f>'Equity Schedule'!J12</f>
        <v/>
      </c>
      <c r="K28" s="35">
        <f>'Equity Schedule'!K12</f>
        <v/>
      </c>
      <c r="L28" s="35">
        <f>'Equity Schedule'!L12</f>
        <v/>
      </c>
      <c r="M28" s="35">
        <f>'Equity Schedule'!M12</f>
        <v/>
      </c>
      <c r="N28" s="35">
        <f>'Equity Schedule'!N12</f>
        <v/>
      </c>
      <c r="O28" s="35">
        <f>'Equity Schedule'!O12</f>
        <v/>
      </c>
    </row>
    <row r="29">
      <c r="A29" s="5" t="inlineStr">
        <is>
          <t xml:space="preserve">   Reserve &amp; Surplus</t>
        </is>
      </c>
      <c r="B29" s="21" t="n">
        <v>27964</v>
      </c>
      <c r="C29" s="21" t="n">
        <v>25287</v>
      </c>
      <c r="D29" s="21" t="n">
        <v>25810</v>
      </c>
      <c r="E29" s="21" t="n">
        <v>23682</v>
      </c>
      <c r="F29" s="21" t="n">
        <v>23742</v>
      </c>
      <c r="G29" s="21" t="n">
        <v>24026</v>
      </c>
      <c r="H29" s="21" t="n">
        <v>25450</v>
      </c>
      <c r="I29" s="35">
        <f>'Equity Schedule'!I10</f>
        <v/>
      </c>
      <c r="J29" s="35">
        <f>'Equity Schedule'!J10</f>
        <v/>
      </c>
      <c r="K29" s="35">
        <f>'Equity Schedule'!K10</f>
        <v/>
      </c>
      <c r="L29" s="35">
        <f>'Equity Schedule'!L10</f>
        <v/>
      </c>
      <c r="M29" s="35">
        <f>'Equity Schedule'!M10</f>
        <v/>
      </c>
      <c r="N29" s="35">
        <f>'Equity Schedule'!N10</f>
        <v/>
      </c>
      <c r="O29" s="35">
        <f>'Equity Schedule'!O10</f>
        <v/>
      </c>
    </row>
    <row r="30">
      <c r="A30" s="4" t="inlineStr">
        <is>
          <t>Total Shareholders' Fund</t>
        </is>
      </c>
      <c r="B30" s="23">
        <f>B28+B29</f>
        <v/>
      </c>
      <c r="C30" s="23">
        <f>C28+C29</f>
        <v/>
      </c>
      <c r="D30" s="23">
        <f>D28+D29</f>
        <v/>
      </c>
      <c r="E30" s="23">
        <f>E28+E29</f>
        <v/>
      </c>
      <c r="F30" s="23">
        <f>F28+F29</f>
        <v/>
      </c>
      <c r="G30" s="23">
        <f>G28+G29</f>
        <v/>
      </c>
      <c r="H30" s="23">
        <f>H28+H29</f>
        <v/>
      </c>
      <c r="I30" s="23">
        <f>I28+I29</f>
        <v/>
      </c>
      <c r="J30" s="23">
        <f>J28+J29</f>
        <v/>
      </c>
      <c r="K30" s="23">
        <f>K28+K29</f>
        <v/>
      </c>
      <c r="L30" s="23">
        <f>L28+L29</f>
        <v/>
      </c>
      <c r="M30" s="23">
        <f>M28+M29</f>
        <v/>
      </c>
      <c r="N30" s="23">
        <f>N28+N29</f>
        <v/>
      </c>
      <c r="O30" s="23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21" t="n">
        <v>1778</v>
      </c>
      <c r="C34" s="21" t="n">
        <v>1733</v>
      </c>
      <c r="D34" s="21" t="n">
        <v>1690</v>
      </c>
      <c r="E34" s="21" t="n">
        <v>1909</v>
      </c>
      <c r="F34" s="21" t="n">
        <v>3100</v>
      </c>
      <c r="G34" s="21" t="n">
        <v>3155</v>
      </c>
      <c r="H34" s="21" t="n">
        <v>2865</v>
      </c>
      <c r="I34" s="35">
        <f>'Assumptions'!I28*'Debt Schedule'!I9</f>
        <v/>
      </c>
      <c r="J34" s="35">
        <f>'Assumptions'!J28*'Debt Schedule'!J9</f>
        <v/>
      </c>
      <c r="K34" s="35">
        <f>'Assumptions'!K28*'Debt Schedule'!K9</f>
        <v/>
      </c>
      <c r="L34" s="35">
        <f>'Assumptions'!L28*'Debt Schedule'!L9</f>
        <v/>
      </c>
      <c r="M34" s="35">
        <f>'Assumptions'!M28*'Debt Schedule'!M9</f>
        <v/>
      </c>
      <c r="N34" s="35">
        <f>'Assumptions'!N28*'Debt Schedule'!N9</f>
        <v/>
      </c>
      <c r="O34" s="35">
        <f>'Assumptions'!O28*'Debt Schedule'!O9</f>
        <v/>
      </c>
    </row>
    <row r="35">
      <c r="A35" s="5" t="inlineStr">
        <is>
          <t xml:space="preserve">   Other non current liabilities</t>
        </is>
      </c>
      <c r="B35" s="21" t="n">
        <v>5000</v>
      </c>
      <c r="C35" s="21" t="n">
        <v>5000</v>
      </c>
      <c r="D35" s="21" t="n">
        <v>5000</v>
      </c>
      <c r="E35" s="21" t="n">
        <v>4000</v>
      </c>
      <c r="F35" s="21" t="n">
        <v>4500</v>
      </c>
      <c r="G35" s="21" t="n">
        <v>5500</v>
      </c>
      <c r="H35" s="21" t="n">
        <v>6000</v>
      </c>
      <c r="I35" s="35">
        <f>'Assumptions'!I30</f>
        <v/>
      </c>
      <c r="J35" s="35">
        <f>'Assumptions'!J30</f>
        <v/>
      </c>
      <c r="K35" s="35">
        <f>'Assumptions'!K30</f>
        <v/>
      </c>
      <c r="L35" s="35">
        <f>'Assumptions'!L30</f>
        <v/>
      </c>
      <c r="M35" s="35">
        <f>'Assumptions'!M30</f>
        <v/>
      </c>
      <c r="N35" s="35">
        <f>'Assumptions'!N30</f>
        <v/>
      </c>
      <c r="O35" s="35">
        <f>'Assumptions'!O30</f>
        <v/>
      </c>
    </row>
    <row r="36">
      <c r="A36" s="4" t="inlineStr">
        <is>
          <t>Total Non-Current Liabilities</t>
        </is>
      </c>
      <c r="B36" s="22">
        <f>B34+B35</f>
        <v/>
      </c>
      <c r="C36" s="22">
        <f>C34+C35</f>
        <v/>
      </c>
      <c r="D36" s="22">
        <f>D34+D35</f>
        <v/>
      </c>
      <c r="E36" s="22">
        <f>E34+E35</f>
        <v/>
      </c>
      <c r="F36" s="22">
        <f>F34+F35</f>
        <v/>
      </c>
      <c r="G36" s="22">
        <f>G34+G35</f>
        <v/>
      </c>
      <c r="H36" s="22">
        <f>H34+H35</f>
        <v/>
      </c>
      <c r="I36" s="22">
        <f>I34+I35</f>
        <v/>
      </c>
      <c r="J36" s="22">
        <f>J34+J35</f>
        <v/>
      </c>
      <c r="K36" s="22">
        <f>K34+K35</f>
        <v/>
      </c>
      <c r="L36" s="22">
        <f>L34+L35</f>
        <v/>
      </c>
      <c r="M36" s="22">
        <f>M34+M35</f>
        <v/>
      </c>
      <c r="N36" s="22">
        <f>N34+N35</f>
        <v/>
      </c>
      <c r="O36" s="22">
        <f>O34+O35</f>
        <v/>
      </c>
    </row>
    <row r="37">
      <c r="A37" s="5" t="inlineStr">
        <is>
          <t xml:space="preserve">   ST borrowings</t>
        </is>
      </c>
      <c r="B37" s="21" t="n">
        <v>3302</v>
      </c>
      <c r="C37" s="21" t="n">
        <v>3218</v>
      </c>
      <c r="D37" s="21" t="n">
        <v>3140</v>
      </c>
      <c r="E37" s="21" t="n">
        <v>3545</v>
      </c>
      <c r="F37" s="21" t="n">
        <v>5756</v>
      </c>
      <c r="G37" s="21" t="n">
        <v>5860</v>
      </c>
      <c r="H37" s="21" t="n">
        <v>5322</v>
      </c>
      <c r="I37" s="35">
        <f>'Debt Schedule'!I9-I34</f>
        <v/>
      </c>
      <c r="J37" s="35">
        <f>'Debt Schedule'!J9-J34</f>
        <v/>
      </c>
      <c r="K37" s="35">
        <f>'Debt Schedule'!K9-K34</f>
        <v/>
      </c>
      <c r="L37" s="35">
        <f>'Debt Schedule'!L9-L34</f>
        <v/>
      </c>
      <c r="M37" s="35">
        <f>'Debt Schedule'!M9-M34</f>
        <v/>
      </c>
      <c r="N37" s="35">
        <f>'Debt Schedule'!N9-N34</f>
        <v/>
      </c>
      <c r="O37" s="35">
        <f>'Debt Schedule'!O9-O34</f>
        <v/>
      </c>
    </row>
    <row r="38">
      <c r="A38" s="5" t="inlineStr">
        <is>
          <t xml:space="preserve">   Trade Payables</t>
        </is>
      </c>
      <c r="B38" s="21" t="n">
        <v>17750</v>
      </c>
      <c r="C38" s="21" t="n">
        <v>15673</v>
      </c>
      <c r="D38" s="21" t="n">
        <v>16248</v>
      </c>
      <c r="E38" s="21" t="n">
        <v>21099</v>
      </c>
      <c r="F38" s="21" t="n">
        <v>17147</v>
      </c>
      <c r="G38" s="21" t="n">
        <v>19115</v>
      </c>
      <c r="H38" s="21" t="n">
        <v>14386</v>
      </c>
      <c r="I38" s="35">
        <f>'Working Capital Schedule'!I13</f>
        <v/>
      </c>
      <c r="J38" s="35">
        <f>'Working Capital Schedule'!J13</f>
        <v/>
      </c>
      <c r="K38" s="35">
        <f>'Working Capital Schedule'!K13</f>
        <v/>
      </c>
      <c r="L38" s="35">
        <f>'Working Capital Schedule'!L13</f>
        <v/>
      </c>
      <c r="M38" s="35">
        <f>'Working Capital Schedule'!M13</f>
        <v/>
      </c>
      <c r="N38" s="35">
        <f>'Working Capital Schedule'!N13</f>
        <v/>
      </c>
      <c r="O38" s="35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21" t="n">
        <v>3800</v>
      </c>
      <c r="C39" s="21" t="n">
        <v>4352</v>
      </c>
      <c r="D39" s="21" t="n">
        <v>4406</v>
      </c>
      <c r="E39" s="21" t="n">
        <v>2733</v>
      </c>
      <c r="F39" s="21" t="n">
        <v>4842</v>
      </c>
      <c r="G39" s="21" t="n">
        <v>10497</v>
      </c>
      <c r="H39" s="21" t="n">
        <v>21466</v>
      </c>
      <c r="I39" s="35">
        <f>'Working Capital Schedule'!I14+'Working Capital Schedule'!I15-I35</f>
        <v/>
      </c>
      <c r="J39" s="35">
        <f>'Working Capital Schedule'!J14+'Working Capital Schedule'!J15-J35</f>
        <v/>
      </c>
      <c r="K39" s="35">
        <f>'Working Capital Schedule'!K14+'Working Capital Schedule'!K15-K35</f>
        <v/>
      </c>
      <c r="L39" s="35">
        <f>'Working Capital Schedule'!L14+'Working Capital Schedule'!L15-L35</f>
        <v/>
      </c>
      <c r="M39" s="35">
        <f>'Working Capital Schedule'!M14+'Working Capital Schedule'!M15-M35</f>
        <v/>
      </c>
      <c r="N39" s="35">
        <f>'Working Capital Schedule'!N14+'Working Capital Schedule'!N15-N35</f>
        <v/>
      </c>
      <c r="O39" s="35">
        <f>'Working Capital Schedule'!O14+'Working Capital Schedule'!O15-O35</f>
        <v/>
      </c>
    </row>
    <row r="40">
      <c r="A40" s="4" t="inlineStr">
        <is>
          <t>Total Liabilities</t>
        </is>
      </c>
      <c r="B40" s="22">
        <f>B36+B37+B38+B39</f>
        <v/>
      </c>
      <c r="C40" s="22">
        <f>C36+C37+C38+C39</f>
        <v/>
      </c>
      <c r="D40" s="22">
        <f>D36+D37+D38+D39</f>
        <v/>
      </c>
      <c r="E40" s="22">
        <f>E36+E37+E38+E39</f>
        <v/>
      </c>
      <c r="F40" s="22">
        <f>F36+F37+F38+F39</f>
        <v/>
      </c>
      <c r="G40" s="22">
        <f>G36+G37+G38+G39</f>
        <v/>
      </c>
      <c r="H40" s="22">
        <f>H36+H37+H38+H39</f>
        <v/>
      </c>
      <c r="I40" s="22">
        <f>I36+I37+I38+I39</f>
        <v/>
      </c>
      <c r="J40" s="22">
        <f>J36+J37+J38+J39</f>
        <v/>
      </c>
      <c r="K40" s="22">
        <f>K36+K37+K38+K39</f>
        <v/>
      </c>
      <c r="L40" s="22">
        <f>L36+L37+L38+L39</f>
        <v/>
      </c>
      <c r="M40" s="22">
        <f>M36+M37+M38+M39</f>
        <v/>
      </c>
      <c r="N40" s="22">
        <f>N36+N37+N38+N39</f>
        <v/>
      </c>
      <c r="O40" s="22">
        <f>O36+O37+O38+O39</f>
        <v/>
      </c>
    </row>
    <row r="42">
      <c r="A42" s="4" t="inlineStr">
        <is>
          <t>Total Equity &amp; Liabilities</t>
        </is>
      </c>
      <c r="B42" s="25">
        <f>B30+B40</f>
        <v/>
      </c>
      <c r="C42" s="25">
        <f>C30+C40</f>
        <v/>
      </c>
      <c r="D42" s="25">
        <f>D30+D40</f>
        <v/>
      </c>
      <c r="E42" s="25">
        <f>E30+E40</f>
        <v/>
      </c>
      <c r="F42" s="25">
        <f>F30+F40</f>
        <v/>
      </c>
      <c r="G42" s="25">
        <f>G30+G40</f>
        <v/>
      </c>
      <c r="H42" s="25">
        <f>H30+H40</f>
        <v/>
      </c>
      <c r="I42" s="25">
        <f>I30+I40</f>
        <v/>
      </c>
      <c r="J42" s="25">
        <f>J30+J40</f>
        <v/>
      </c>
      <c r="K42" s="25">
        <f>K30+K40</f>
        <v/>
      </c>
      <c r="L42" s="25">
        <f>L30+L40</f>
        <v/>
      </c>
      <c r="M42" s="25">
        <f>M30+M40</f>
        <v/>
      </c>
      <c r="N42" s="25">
        <f>N30+N40</f>
        <v/>
      </c>
      <c r="O42" s="25">
        <f>O30+O40</f>
        <v/>
      </c>
    </row>
    <row r="44">
      <c r="A44" s="40" t="inlineStr">
        <is>
          <t>Assets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21" t="n">
        <v>2817</v>
      </c>
      <c r="C47" s="21" t="n">
        <v>2491</v>
      </c>
      <c r="D47" s="21" t="n">
        <v>2398</v>
      </c>
      <c r="E47" s="21" t="n">
        <v>2476</v>
      </c>
      <c r="F47" s="21" t="n">
        <v>2574</v>
      </c>
      <c r="G47" s="21" t="n">
        <v>2947</v>
      </c>
      <c r="H47" s="21" t="n">
        <v>3094</v>
      </c>
      <c r="I47" s="35">
        <f>'Fixed Asset Schedule'!I10</f>
        <v/>
      </c>
      <c r="J47" s="35">
        <f>'Fixed Asset Schedule'!J10</f>
        <v/>
      </c>
      <c r="K47" s="35">
        <f>'Fixed Asset Schedule'!K10</f>
        <v/>
      </c>
      <c r="L47" s="35">
        <f>'Fixed Asset Schedule'!L10</f>
        <v/>
      </c>
      <c r="M47" s="35">
        <f>'Fixed Asset Schedule'!M10</f>
        <v/>
      </c>
      <c r="N47" s="35">
        <f>'Fixed Asset Schedule'!N10</f>
        <v/>
      </c>
      <c r="O47" s="35">
        <f>'Fixed Asset Schedule'!O10</f>
        <v/>
      </c>
    </row>
    <row r="48">
      <c r="A48" s="5" t="inlineStr">
        <is>
          <t xml:space="preserve">   Capital Work in Progress</t>
        </is>
      </c>
      <c r="B48" s="21" t="n">
        <v>314</v>
      </c>
      <c r="C48" s="21" t="n">
        <v>420</v>
      </c>
      <c r="D48" s="21" t="n">
        <v>431</v>
      </c>
      <c r="E48" s="21" t="n">
        <v>354</v>
      </c>
      <c r="F48" s="21" t="n">
        <v>308</v>
      </c>
      <c r="G48" s="21" t="n">
        <v>195</v>
      </c>
      <c r="H48" s="21" t="n">
        <v>399</v>
      </c>
      <c r="I48" s="35">
        <f>'Assumptions'!I21</f>
        <v/>
      </c>
      <c r="J48" s="35">
        <f>'Assumptions'!J21</f>
        <v/>
      </c>
      <c r="K48" s="35">
        <f>'Assumptions'!K21</f>
        <v/>
      </c>
      <c r="L48" s="35">
        <f>'Assumptions'!L21</f>
        <v/>
      </c>
      <c r="M48" s="35">
        <f>'Assumptions'!M21</f>
        <v/>
      </c>
      <c r="N48" s="35">
        <f>'Assumptions'!N21</f>
        <v/>
      </c>
      <c r="O48" s="35">
        <f>'Assumptions'!O21</f>
        <v/>
      </c>
    </row>
    <row r="49">
      <c r="A49" s="5" t="inlineStr">
        <is>
          <t xml:space="preserve">   Investments</t>
        </is>
      </c>
      <c r="B49" s="21" t="n">
        <v>162</v>
      </c>
      <c r="C49" s="21" t="n">
        <v>185</v>
      </c>
      <c r="D49" s="21" t="n">
        <v>205</v>
      </c>
      <c r="E49" s="21" t="n">
        <v>235</v>
      </c>
      <c r="F49" s="21" t="n">
        <v>256</v>
      </c>
      <c r="G49" s="21" t="n">
        <v>276</v>
      </c>
      <c r="H49" s="21" t="n">
        <v>302</v>
      </c>
      <c r="I49" s="35">
        <f>'Assumptions'!I22</f>
        <v/>
      </c>
      <c r="J49" s="35">
        <f>'Assumptions'!J22</f>
        <v/>
      </c>
      <c r="K49" s="35">
        <f>'Assumptions'!K22</f>
        <v/>
      </c>
      <c r="L49" s="35">
        <f>'Assumptions'!L22</f>
        <v/>
      </c>
      <c r="M49" s="35">
        <f>'Assumptions'!M22</f>
        <v/>
      </c>
      <c r="N49" s="35">
        <f>'Assumptions'!N22</f>
        <v/>
      </c>
      <c r="O49" s="35">
        <f>'Assumptions'!O22</f>
        <v/>
      </c>
    </row>
    <row r="50">
      <c r="A50" s="4" t="inlineStr">
        <is>
          <t>Total Fixed Assets</t>
        </is>
      </c>
      <c r="B50" s="22">
        <f>SUM(B47:B49)</f>
        <v/>
      </c>
      <c r="C50" s="22">
        <f>SUM(C47:C49)</f>
        <v/>
      </c>
      <c r="D50" s="22">
        <f>SUM(D47:D49)</f>
        <v/>
      </c>
      <c r="E50" s="22">
        <f>SUM(E47:E49)</f>
        <v/>
      </c>
      <c r="F50" s="22">
        <f>SUM(F47:F49)</f>
        <v/>
      </c>
      <c r="G50" s="22">
        <f>SUM(G47:G49)</f>
        <v/>
      </c>
      <c r="H50" s="22">
        <f>SUM(H47:H49)</f>
        <v/>
      </c>
      <c r="I50" s="22">
        <f>SUM(I47:I49)</f>
        <v/>
      </c>
      <c r="J50" s="22">
        <f>SUM(J47:J49)</f>
        <v/>
      </c>
      <c r="K50" s="22">
        <f>SUM(K47:K49)</f>
        <v/>
      </c>
      <c r="L50" s="22">
        <f>SUM(L47:L49)</f>
        <v/>
      </c>
      <c r="M50" s="22">
        <f>SUM(M47:M49)</f>
        <v/>
      </c>
      <c r="N50" s="22">
        <f>SUM(N47:N49)</f>
        <v/>
      </c>
      <c r="O50" s="22">
        <f>SUM(O47:O49)</f>
        <v/>
      </c>
    </row>
    <row r="51">
      <c r="A51" s="5" t="inlineStr">
        <is>
          <t xml:space="preserve">   Other Non Current Assets</t>
        </is>
      </c>
      <c r="B51" s="21" t="n">
        <v>14000</v>
      </c>
      <c r="C51" s="21" t="n">
        <v>13500</v>
      </c>
      <c r="D51" s="21" t="n">
        <v>13000</v>
      </c>
      <c r="E51" s="21" t="n">
        <v>13500</v>
      </c>
      <c r="F51" s="21" t="n">
        <v>14000</v>
      </c>
      <c r="G51" s="21" t="n">
        <v>14500</v>
      </c>
      <c r="H51" s="21" t="n">
        <v>15000</v>
      </c>
      <c r="I51" s="35">
        <f>'Assumptions'!I29</f>
        <v/>
      </c>
      <c r="J51" s="35">
        <f>'Assumptions'!J29</f>
        <v/>
      </c>
      <c r="K51" s="35">
        <f>'Assumptions'!K29</f>
        <v/>
      </c>
      <c r="L51" s="35">
        <f>'Assumptions'!L29</f>
        <v/>
      </c>
      <c r="M51" s="35">
        <f>'Assumptions'!M29</f>
        <v/>
      </c>
      <c r="N51" s="35">
        <f>'Assumptions'!N29</f>
        <v/>
      </c>
      <c r="O51" s="35">
        <f>'Assumptions'!O29</f>
        <v/>
      </c>
    </row>
    <row r="52">
      <c r="A52" s="4" t="inlineStr">
        <is>
          <t>Total Non Current Assets</t>
        </is>
      </c>
      <c r="B52" s="22">
        <f>B50+B51</f>
        <v/>
      </c>
      <c r="C52" s="22">
        <f>C50+C51</f>
        <v/>
      </c>
      <c r="D52" s="22">
        <f>D50+D51</f>
        <v/>
      </c>
      <c r="E52" s="22">
        <f>E50+E51</f>
        <v/>
      </c>
      <c r="F52" s="22">
        <f>F50+F51</f>
        <v/>
      </c>
      <c r="G52" s="22">
        <f>G50+G51</f>
        <v/>
      </c>
      <c r="H52" s="22">
        <f>H50+H51</f>
        <v/>
      </c>
      <c r="I52" s="22">
        <f>I50+I51</f>
        <v/>
      </c>
      <c r="J52" s="22">
        <f>J50+J51</f>
        <v/>
      </c>
      <c r="K52" s="22">
        <f>K50+K51</f>
        <v/>
      </c>
      <c r="L52" s="22">
        <f>L50+L51</f>
        <v/>
      </c>
      <c r="M52" s="22">
        <f>M50+M51</f>
        <v/>
      </c>
      <c r="N52" s="22">
        <f>N50+N51</f>
        <v/>
      </c>
      <c r="O52" s="22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21" t="n">
        <v>7115</v>
      </c>
      <c r="C55" s="21" t="n">
        <v>4030</v>
      </c>
      <c r="D55" s="21" t="n">
        <v>3022</v>
      </c>
      <c r="E55" s="21" t="n">
        <v>3137</v>
      </c>
      <c r="F55" s="21" t="n">
        <v>4779</v>
      </c>
      <c r="G55" s="21" t="n">
        <v>5901</v>
      </c>
      <c r="H55" s="21" t="n">
        <v>6757</v>
      </c>
      <c r="I55" s="35">
        <f>'Working Capital Schedule'!I8</f>
        <v/>
      </c>
      <c r="J55" s="35">
        <f>'Working Capital Schedule'!J8</f>
        <v/>
      </c>
      <c r="K55" s="35">
        <f>'Working Capital Schedule'!K8</f>
        <v/>
      </c>
      <c r="L55" s="35">
        <f>'Working Capital Schedule'!L8</f>
        <v/>
      </c>
      <c r="M55" s="35">
        <f>'Working Capital Schedule'!M8</f>
        <v/>
      </c>
      <c r="N55" s="35">
        <f>'Working Capital Schedule'!N8</f>
        <v/>
      </c>
      <c r="O55" s="35">
        <f>'Working Capital Schedule'!O8</f>
        <v/>
      </c>
    </row>
    <row r="56">
      <c r="A56" s="5" t="inlineStr">
        <is>
          <t xml:space="preserve">   Inventories</t>
        </is>
      </c>
      <c r="B56" s="21" t="n">
        <v>18994</v>
      </c>
      <c r="C56" s="21" t="n">
        <v>18573</v>
      </c>
      <c r="D56" s="21" t="n">
        <v>15301</v>
      </c>
      <c r="E56" s="21" t="n">
        <v>15962</v>
      </c>
      <c r="F56" s="21" t="n">
        <v>16069</v>
      </c>
      <c r="G56" s="21" t="n">
        <v>21331</v>
      </c>
      <c r="H56" s="21" t="n">
        <v>18260</v>
      </c>
      <c r="I56" s="35">
        <f>'Working Capital Schedule'!I9</f>
        <v/>
      </c>
      <c r="J56" s="35">
        <f>'Working Capital Schedule'!J9</f>
        <v/>
      </c>
      <c r="K56" s="35">
        <f>'Working Capital Schedule'!K9</f>
        <v/>
      </c>
      <c r="L56" s="35">
        <f>'Working Capital Schedule'!L9</f>
        <v/>
      </c>
      <c r="M56" s="35">
        <f>'Working Capital Schedule'!M9</f>
        <v/>
      </c>
      <c r="N56" s="35">
        <f>'Working Capital Schedule'!N9</f>
        <v/>
      </c>
      <c r="O56" s="35">
        <f>'Working Capital Schedule'!O9</f>
        <v/>
      </c>
    </row>
    <row r="57">
      <c r="A57" s="5" t="inlineStr">
        <is>
          <t xml:space="preserve">   Other Current Assets</t>
        </is>
      </c>
      <c r="B57" s="21" t="n">
        <v>9927</v>
      </c>
      <c r="C57" s="21" t="n">
        <v>9676</v>
      </c>
      <c r="D57" s="21" t="n">
        <v>16336</v>
      </c>
      <c r="E57" s="21" t="n">
        <v>14874</v>
      </c>
      <c r="F57" s="21" t="n">
        <v>14397</v>
      </c>
      <c r="G57" s="21" t="n">
        <v>17695</v>
      </c>
      <c r="H57" s="21" t="n">
        <v>25373</v>
      </c>
      <c r="I57" s="35">
        <f>'Working Capital Schedule'!I10+'Working Capital Schedule'!I11-I51</f>
        <v/>
      </c>
      <c r="J57" s="35">
        <f>'Working Capital Schedule'!J10+'Working Capital Schedule'!J11-J51</f>
        <v/>
      </c>
      <c r="K57" s="35">
        <f>'Working Capital Schedule'!K10+'Working Capital Schedule'!K11-K51</f>
        <v/>
      </c>
      <c r="L57" s="35">
        <f>'Working Capital Schedule'!L10+'Working Capital Schedule'!L11-L51</f>
        <v/>
      </c>
      <c r="M57" s="35">
        <f>'Working Capital Schedule'!M10+'Working Capital Schedule'!M11-M51</f>
        <v/>
      </c>
      <c r="N57" s="35">
        <f>'Working Capital Schedule'!N10+'Working Capital Schedule'!N11-N51</f>
        <v/>
      </c>
      <c r="O57" s="35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21" t="n">
        <v>6961</v>
      </c>
      <c r="C58" s="21" t="n">
        <v>7084</v>
      </c>
      <c r="D58" s="21" t="n">
        <v>6297</v>
      </c>
      <c r="E58" s="21" t="n">
        <v>7126</v>
      </c>
      <c r="F58" s="21" t="n">
        <v>7400</v>
      </c>
      <c r="G58" s="21" t="n">
        <v>6004</v>
      </c>
      <c r="H58" s="21" t="n">
        <v>7000</v>
      </c>
      <c r="I58" s="35">
        <f>'Cash Flow Statement'!I25</f>
        <v/>
      </c>
      <c r="J58" s="35">
        <f>'Cash Flow Statement'!J25</f>
        <v/>
      </c>
      <c r="K58" s="35">
        <f>'Cash Flow Statement'!K25</f>
        <v/>
      </c>
      <c r="L58" s="35">
        <f>'Cash Flow Statement'!L25</f>
        <v/>
      </c>
      <c r="M58" s="35">
        <f>'Cash Flow Statement'!M25</f>
        <v/>
      </c>
      <c r="N58" s="35">
        <f>'Cash Flow Statement'!N25</f>
        <v/>
      </c>
      <c r="O58" s="35">
        <f>'Cash Flow Statement'!O25</f>
        <v/>
      </c>
    </row>
    <row r="59">
      <c r="A59" s="4" t="inlineStr">
        <is>
          <t>Total Current Assets</t>
        </is>
      </c>
      <c r="B59" s="22">
        <f>SUM(B55:B58)</f>
        <v/>
      </c>
      <c r="C59" s="22">
        <f>SUM(C55:C58)</f>
        <v/>
      </c>
      <c r="D59" s="22">
        <f>SUM(D55:D58)</f>
        <v/>
      </c>
      <c r="E59" s="22">
        <f>SUM(E55:E58)</f>
        <v/>
      </c>
      <c r="F59" s="22">
        <f>SUM(F55:F58)</f>
        <v/>
      </c>
      <c r="G59" s="22">
        <f>SUM(G55:G58)</f>
        <v/>
      </c>
      <c r="H59" s="22">
        <f>SUM(H55:H58)</f>
        <v/>
      </c>
      <c r="I59" s="22">
        <f>SUM(I55:I58)</f>
        <v/>
      </c>
      <c r="J59" s="22">
        <f>SUM(J55:J58)</f>
        <v/>
      </c>
      <c r="K59" s="22">
        <f>SUM(K55:K58)</f>
        <v/>
      </c>
      <c r="L59" s="22">
        <f>SUM(L55:L58)</f>
        <v/>
      </c>
      <c r="M59" s="22">
        <f>SUM(M55:M58)</f>
        <v/>
      </c>
      <c r="N59" s="22">
        <f>SUM(N55:N58)</f>
        <v/>
      </c>
      <c r="O59" s="22">
        <f>SUM(O55:O58)</f>
        <v/>
      </c>
    </row>
    <row r="61">
      <c r="A61" s="4" t="inlineStr">
        <is>
          <t>Total Assets</t>
        </is>
      </c>
      <c r="B61" s="25">
        <f>B52+B59</f>
        <v/>
      </c>
      <c r="C61" s="25">
        <f>C52+C59</f>
        <v/>
      </c>
      <c r="D61" s="25">
        <f>D52+D59</f>
        <v/>
      </c>
      <c r="E61" s="25">
        <f>E52+E59</f>
        <v/>
      </c>
      <c r="F61" s="25">
        <f>F52+F59</f>
        <v/>
      </c>
      <c r="G61" s="25">
        <f>G52+G59</f>
        <v/>
      </c>
      <c r="H61" s="25">
        <f>H52+H59</f>
        <v/>
      </c>
      <c r="I61" s="25">
        <f>I52+I59</f>
        <v/>
      </c>
      <c r="J61" s="25">
        <f>J52+J59</f>
        <v/>
      </c>
      <c r="K61" s="25">
        <f>K52+K59</f>
        <v/>
      </c>
      <c r="L61" s="25">
        <f>L52+L59</f>
        <v/>
      </c>
      <c r="M61" s="25">
        <f>M52+M59</f>
        <v/>
      </c>
      <c r="N61" s="25">
        <f>N52+N59</f>
        <v/>
      </c>
      <c r="O61" s="25">
        <f>O52+O59</f>
        <v/>
      </c>
    </row>
    <row r="62">
      <c r="A62" s="4" t="inlineStr">
        <is>
          <t>Balance check (TA - TE&amp;L)</t>
        </is>
      </c>
      <c r="B62" s="24">
        <f>B61-B42</f>
        <v/>
      </c>
      <c r="C62" s="24">
        <f>C61-C42</f>
        <v/>
      </c>
      <c r="D62" s="24">
        <f>D61-D42</f>
        <v/>
      </c>
      <c r="E62" s="24">
        <f>E61-E42</f>
        <v/>
      </c>
      <c r="F62" s="24">
        <f>F61-F42</f>
        <v/>
      </c>
      <c r="G62" s="24">
        <f>G61-G42</f>
        <v/>
      </c>
      <c r="H62" s="24">
        <f>H61-H42</f>
        <v/>
      </c>
      <c r="I62" s="24">
        <f>I61-I42</f>
        <v/>
      </c>
      <c r="J62" s="24">
        <f>J61-J42</f>
        <v/>
      </c>
      <c r="K62" s="24">
        <f>K61-K42</f>
        <v/>
      </c>
      <c r="L62" s="24">
        <f>L61-L42</f>
        <v/>
      </c>
      <c r="M62" s="24">
        <f>M61-M42</f>
        <v/>
      </c>
      <c r="N62" s="24">
        <f>N61-N42</f>
        <v/>
      </c>
      <c r="O62" s="24">
        <f>O61-O42</f>
        <v/>
      </c>
    </row>
    <row r="63">
      <c r="A63" s="7" t="inlineStr">
        <is>
          <t>Memo: total borrowings (LT+ST)</t>
        </is>
      </c>
      <c r="B63" s="24">
        <f>B34+B37</f>
        <v/>
      </c>
      <c r="C63" s="24">
        <f>C34+C37</f>
        <v/>
      </c>
      <c r="D63" s="24">
        <f>D34+D37</f>
        <v/>
      </c>
      <c r="E63" s="24">
        <f>E34+E37</f>
        <v/>
      </c>
      <c r="F63" s="24">
        <f>F34+F37</f>
        <v/>
      </c>
      <c r="G63" s="24">
        <f>G34+G37</f>
        <v/>
      </c>
      <c r="H63" s="24">
        <f>H34+H37</f>
        <v/>
      </c>
      <c r="I63" s="24">
        <f>I34+I37</f>
        <v/>
      </c>
      <c r="J63" s="24">
        <f>J34+J37</f>
        <v/>
      </c>
      <c r="K63" s="24">
        <f>K34+K37</f>
        <v/>
      </c>
      <c r="L63" s="24">
        <f>L34+L37</f>
        <v/>
      </c>
      <c r="M63" s="24">
        <f>M34+M37</f>
        <v/>
      </c>
      <c r="N63" s="24">
        <f>N34+N37</f>
        <v/>
      </c>
      <c r="O63" s="24">
        <f>O34+O37</f>
        <v/>
      </c>
    </row>
    <row r="64">
      <c r="A64" s="27" t="inlineStr">
        <is>
          <t>Historical balance-sheet sub-lines are analyst estimates anchored exactly to reported totals (debtor/inventory/payable days; cash rolled from reported net cash flow).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FY20-25 from Historical Financial Statements; FY26-33 from integrated Forecast statements.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28">
        <f>'Historical Financial Statements'!C5/'Historical Financial Statements'!B5-1</f>
        <v/>
      </c>
      <c r="D6" s="28">
        <f>'Historical Financial Statements'!D5/'Historical Financial Statements'!C5-1</f>
        <v/>
      </c>
      <c r="E6" s="28">
        <f>'Historical Financial Statements'!E5/'Historical Financial Statements'!D5-1</f>
        <v/>
      </c>
      <c r="F6" s="28">
        <f>'Historical Financial Statements'!F5/'Historical Financial Statements'!E5-1</f>
        <v/>
      </c>
      <c r="G6" s="28">
        <f>'Historical Financial Statements'!G5/'Historical Financial Statements'!F5-1</f>
        <v/>
      </c>
      <c r="H6" s="28">
        <f>'Forecast Financial Statements'!H5/'Historical Financial Statements'!G5-1</f>
        <v/>
      </c>
      <c r="I6" s="28">
        <f>'Forecast Financial Statements'!I5/'Forecast Financial Statements'!H5-1</f>
        <v/>
      </c>
      <c r="J6" s="28">
        <f>'Forecast Financial Statements'!J5/'Forecast Financial Statements'!I5-1</f>
        <v/>
      </c>
      <c r="K6" s="28">
        <f>'Forecast Financial Statements'!K5/'Forecast Financial Statements'!J5-1</f>
        <v/>
      </c>
      <c r="L6" s="28">
        <f>'Forecast Financial Statements'!L5/'Forecast Financial Statements'!K5-1</f>
        <v/>
      </c>
      <c r="M6" s="28">
        <f>'Forecast Financial Statements'!M5/'Forecast Financial Statements'!L5-1</f>
        <v/>
      </c>
      <c r="N6" s="28">
        <f>'Forecast Financial Statements'!N5/'Forecast Financial Statements'!M5-1</f>
        <v/>
      </c>
      <c r="O6" s="28">
        <f>'Forecast Financial Statements'!O5/'Forecast Financial Statements'!N5-1</f>
        <v/>
      </c>
    </row>
    <row r="7">
      <c r="A7" s="5" t="inlineStr">
        <is>
          <t>Gross margin %</t>
        </is>
      </c>
      <c r="B7" s="28">
        <f>'Historical Financial Statements'!B7/'Historical Financial Statements'!B5</f>
        <v/>
      </c>
      <c r="C7" s="28">
        <f>'Historical Financial Statements'!C7/'Historical Financial Statements'!C5</f>
        <v/>
      </c>
      <c r="D7" s="28">
        <f>'Historical Financial Statements'!D7/'Historical Financial Statements'!D5</f>
        <v/>
      </c>
      <c r="E7" s="28">
        <f>'Historical Financial Statements'!E7/'Historical Financial Statements'!E5</f>
        <v/>
      </c>
      <c r="F7" s="28">
        <f>'Historical Financial Statements'!F7/'Historical Financial Statements'!F5</f>
        <v/>
      </c>
      <c r="G7" s="28">
        <f>'Historical Financial Statements'!G7/'Historical Financial Statements'!G5</f>
        <v/>
      </c>
      <c r="H7" s="28">
        <f>'Forecast Financial Statements'!H7/'Forecast Financial Statements'!H5</f>
        <v/>
      </c>
      <c r="I7" s="28">
        <f>'Forecast Financial Statements'!I7/'Forecast Financial Statements'!I5</f>
        <v/>
      </c>
      <c r="J7" s="28">
        <f>'Forecast Financial Statements'!J7/'Forecast Financial Statements'!J5</f>
        <v/>
      </c>
      <c r="K7" s="28">
        <f>'Forecast Financial Statements'!K7/'Forecast Financial Statements'!K5</f>
        <v/>
      </c>
      <c r="L7" s="28">
        <f>'Forecast Financial Statements'!L7/'Forecast Financial Statements'!L5</f>
        <v/>
      </c>
      <c r="M7" s="28">
        <f>'Forecast Financial Statements'!M7/'Forecast Financial Statements'!M5</f>
        <v/>
      </c>
      <c r="N7" s="28">
        <f>'Forecast Financial Statements'!N7/'Forecast Financial Statements'!N5</f>
        <v/>
      </c>
      <c r="O7" s="28">
        <f>'Forecast Financial Statements'!O7/'Forecast Financial Statements'!O5</f>
        <v/>
      </c>
    </row>
    <row r="8">
      <c r="A8" s="5" t="inlineStr">
        <is>
          <t>EBITDA margin %</t>
        </is>
      </c>
      <c r="B8" s="28">
        <f>'Historical Financial Statements'!B12/'Historical Financial Statements'!B5</f>
        <v/>
      </c>
      <c r="C8" s="28">
        <f>'Historical Financial Statements'!C12/'Historical Financial Statements'!C5</f>
        <v/>
      </c>
      <c r="D8" s="28">
        <f>'Historical Financial Statements'!D12/'Historical Financial Statements'!D5</f>
        <v/>
      </c>
      <c r="E8" s="28">
        <f>'Historical Financial Statements'!E12/'Historical Financial Statements'!E5</f>
        <v/>
      </c>
      <c r="F8" s="28">
        <f>'Historical Financial Statements'!F12/'Historical Financial Statements'!F5</f>
        <v/>
      </c>
      <c r="G8" s="28">
        <f>'Historical Financial Statements'!G12/'Historical Financial Statements'!G5</f>
        <v/>
      </c>
      <c r="H8" s="28">
        <f>'Forecast Financial Statements'!H12/'Forecast Financial Statements'!H5</f>
        <v/>
      </c>
      <c r="I8" s="28">
        <f>'Forecast Financial Statements'!I12/'Forecast Financial Statements'!I5</f>
        <v/>
      </c>
      <c r="J8" s="28">
        <f>'Forecast Financial Statements'!J12/'Forecast Financial Statements'!J5</f>
        <v/>
      </c>
      <c r="K8" s="28">
        <f>'Forecast Financial Statements'!K12/'Forecast Financial Statements'!K5</f>
        <v/>
      </c>
      <c r="L8" s="28">
        <f>'Forecast Financial Statements'!L12/'Forecast Financial Statements'!L5</f>
        <v/>
      </c>
      <c r="M8" s="28">
        <f>'Forecast Financial Statements'!M12/'Forecast Financial Statements'!M5</f>
        <v/>
      </c>
      <c r="N8" s="28">
        <f>'Forecast Financial Statements'!N12/'Forecast Financial Statements'!N5</f>
        <v/>
      </c>
      <c r="O8" s="28">
        <f>'Forecast Financial Statements'!O12/'Forecast Financial Statements'!O5</f>
        <v/>
      </c>
    </row>
    <row r="9">
      <c r="A9" s="5" t="inlineStr">
        <is>
          <t>EBIT margin %</t>
        </is>
      </c>
      <c r="B9" s="28">
        <f>'Historical Financial Statements'!B14/'Historical Financial Statements'!B5</f>
        <v/>
      </c>
      <c r="C9" s="28">
        <f>'Historical Financial Statements'!C14/'Historical Financial Statements'!C5</f>
        <v/>
      </c>
      <c r="D9" s="28">
        <f>'Historical Financial Statements'!D14/'Historical Financial Statements'!D5</f>
        <v/>
      </c>
      <c r="E9" s="28">
        <f>'Historical Financial Statements'!E14/'Historical Financial Statements'!E5</f>
        <v/>
      </c>
      <c r="F9" s="28">
        <f>'Historical Financial Statements'!F14/'Historical Financial Statements'!F5</f>
        <v/>
      </c>
      <c r="G9" s="28">
        <f>'Historical Financial Statements'!G14/'Historical Financial Statements'!G5</f>
        <v/>
      </c>
      <c r="H9" s="28">
        <f>'Forecast Financial Statements'!H14/'Forecast Financial Statements'!H5</f>
        <v/>
      </c>
      <c r="I9" s="28">
        <f>'Forecast Financial Statements'!I14/'Forecast Financial Statements'!I5</f>
        <v/>
      </c>
      <c r="J9" s="28">
        <f>'Forecast Financial Statements'!J14/'Forecast Financial Statements'!J5</f>
        <v/>
      </c>
      <c r="K9" s="28">
        <f>'Forecast Financial Statements'!K14/'Forecast Financial Statements'!K5</f>
        <v/>
      </c>
      <c r="L9" s="28">
        <f>'Forecast Financial Statements'!L14/'Forecast Financial Statements'!L5</f>
        <v/>
      </c>
      <c r="M9" s="28">
        <f>'Forecast Financial Statements'!M14/'Forecast Financial Statements'!M5</f>
        <v/>
      </c>
      <c r="N9" s="28">
        <f>'Forecast Financial Statements'!N14/'Forecast Financial Statements'!N5</f>
        <v/>
      </c>
      <c r="O9" s="28">
        <f>'Forecast Financial Statements'!O14/'Forecast Financial Statements'!O5</f>
        <v/>
      </c>
    </row>
    <row r="10">
      <c r="A10" s="5" t="inlineStr">
        <is>
          <t>PAT margin %</t>
        </is>
      </c>
      <c r="B10" s="28">
        <f>'Historical Financial Statements'!B20/'Historical Financial Statements'!B5</f>
        <v/>
      </c>
      <c r="C10" s="28">
        <f>'Historical Financial Statements'!C20/'Historical Financial Statements'!C5</f>
        <v/>
      </c>
      <c r="D10" s="28">
        <f>'Historical Financial Statements'!D20/'Historical Financial Statements'!D5</f>
        <v/>
      </c>
      <c r="E10" s="28">
        <f>'Historical Financial Statements'!E20/'Historical Financial Statements'!E5</f>
        <v/>
      </c>
      <c r="F10" s="28">
        <f>'Historical Financial Statements'!F20/'Historical Financial Statements'!F5</f>
        <v/>
      </c>
      <c r="G10" s="28">
        <f>'Historical Financial Statements'!G20/'Historical Financial Statements'!G5</f>
        <v/>
      </c>
      <c r="H10" s="28">
        <f>'Forecast Financial Statements'!H20/'Forecast Financial Statements'!H5</f>
        <v/>
      </c>
      <c r="I10" s="28">
        <f>'Forecast Financial Statements'!I20/'Forecast Financial Statements'!I5</f>
        <v/>
      </c>
      <c r="J10" s="28">
        <f>'Forecast Financial Statements'!J20/'Forecast Financial Statements'!J5</f>
        <v/>
      </c>
      <c r="K10" s="28">
        <f>'Forecast Financial Statements'!K20/'Forecast Financial Statements'!K5</f>
        <v/>
      </c>
      <c r="L10" s="28">
        <f>'Forecast Financial Statements'!L20/'Forecast Financial Statements'!L5</f>
        <v/>
      </c>
      <c r="M10" s="28">
        <f>'Forecast Financial Statements'!M20/'Forecast Financial Statements'!M5</f>
        <v/>
      </c>
      <c r="N10" s="28">
        <f>'Forecast Financial Statements'!N20/'Forecast Financial Statements'!N5</f>
        <v/>
      </c>
      <c r="O10" s="28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28">
        <f>'Historical Financial Statements'!C20/((('Historical Financial Statements'!C33+'Historical Financial Statements'!C34)+('Historical Financial Statements'!B33+'Historical Financial Statements'!B34))/2)</f>
        <v/>
      </c>
      <c r="D13" s="28">
        <f>'Historical Financial Statements'!D20/((('Historical Financial Statements'!D33+'Historical Financial Statements'!D34)+('Historical Financial Statements'!C33+'Historical Financial Statements'!C34))/2)</f>
        <v/>
      </c>
      <c r="E13" s="28">
        <f>'Historical Financial Statements'!E20/((('Historical Financial Statements'!E33+'Historical Financial Statements'!E34)+('Historical Financial Statements'!D33+'Historical Financial Statements'!D34))/2)</f>
        <v/>
      </c>
      <c r="F13" s="28">
        <f>'Historical Financial Statements'!F20/((('Historical Financial Statements'!F33+'Historical Financial Statements'!F34)+('Historical Financial Statements'!E33+'Historical Financial Statements'!E34))/2)</f>
        <v/>
      </c>
      <c r="G13" s="28">
        <f>'Historical Financial Statements'!G20/((('Historical Financial Statements'!G33+'Historical Financial Statements'!G34)+('Historical Financial Statements'!F33+'Historical Financial Statements'!F34))/2)</f>
        <v/>
      </c>
      <c r="H13" s="28">
        <f>'Forecast Financial Statements'!H20/((('Forecast Financial Statements'!H28+'Forecast Financial Statements'!H29)+('Historical Financial Statements'!G33+'Historical Financial Statements'!G34))/2)</f>
        <v/>
      </c>
      <c r="I13" s="28">
        <f>'Forecast Financial Statements'!I20/((('Forecast Financial Statements'!I28+'Forecast Financial Statements'!I29)+('Forecast Financial Statements'!H28+'Forecast Financial Statements'!H29))/2)</f>
        <v/>
      </c>
      <c r="J13" s="28">
        <f>'Forecast Financial Statements'!J20/((('Forecast Financial Statements'!J28+'Forecast Financial Statements'!J29)+('Forecast Financial Statements'!I28+'Forecast Financial Statements'!I29))/2)</f>
        <v/>
      </c>
      <c r="K13" s="28">
        <f>'Forecast Financial Statements'!K20/((('Forecast Financial Statements'!K28+'Forecast Financial Statements'!K29)+('Forecast Financial Statements'!J28+'Forecast Financial Statements'!J29))/2)</f>
        <v/>
      </c>
      <c r="L13" s="28">
        <f>'Forecast Financial Statements'!L20/((('Forecast Financial Statements'!L28+'Forecast Financial Statements'!L29)+('Forecast Financial Statements'!K28+'Forecast Financial Statements'!K29))/2)</f>
        <v/>
      </c>
      <c r="M13" s="28">
        <f>'Forecast Financial Statements'!M20/((('Forecast Financial Statements'!M28+'Forecast Financial Statements'!M29)+('Forecast Financial Statements'!L28+'Forecast Financial Statements'!L29))/2)</f>
        <v/>
      </c>
      <c r="N13" s="28">
        <f>'Forecast Financial Statements'!N20/((('Forecast Financial Statements'!N28+'Forecast Financial Statements'!N29)+('Forecast Financial Statements'!M28+'Forecast Financial Statements'!M29))/2)</f>
        <v/>
      </c>
      <c r="O13" s="28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28">
        <f>'Historical Financial Statements'!B14/(('Historical Financial Statements'!B33+'Historical Financial Statements'!B34)+'Historical Financial Statements'!B35)</f>
        <v/>
      </c>
      <c r="C14" s="28">
        <f>'Historical Financial Statements'!C14/(('Historical Financial Statements'!C33+'Historical Financial Statements'!C34)+'Historical Financial Statements'!C35)</f>
        <v/>
      </c>
      <c r="D14" s="28">
        <f>'Historical Financial Statements'!D14/(('Historical Financial Statements'!D33+'Historical Financial Statements'!D34)+'Historical Financial Statements'!D35)</f>
        <v/>
      </c>
      <c r="E14" s="28">
        <f>'Historical Financial Statements'!E14/(('Historical Financial Statements'!E33+'Historical Financial Statements'!E34)+'Historical Financial Statements'!E35)</f>
        <v/>
      </c>
      <c r="F14" s="28">
        <f>'Historical Financial Statements'!F14/(('Historical Financial Statements'!F33+'Historical Financial Statements'!F34)+'Historical Financial Statements'!F35)</f>
        <v/>
      </c>
      <c r="G14" s="28">
        <f>'Historical Financial Statements'!G14/(('Historical Financial Statements'!G33+'Historical Financial Statements'!G34)+'Historical Financial Statements'!G35)</f>
        <v/>
      </c>
      <c r="H14" s="28">
        <f>'Forecast Financial Statements'!H14/(('Forecast Financial Statements'!H28+'Forecast Financial Statements'!H29)+'Forecast Financial Statements'!H63)</f>
        <v/>
      </c>
      <c r="I14" s="28">
        <f>'Forecast Financial Statements'!I14/(('Forecast Financial Statements'!I28+'Forecast Financial Statements'!I29)+'Forecast Financial Statements'!I63)</f>
        <v/>
      </c>
      <c r="J14" s="28">
        <f>'Forecast Financial Statements'!J14/(('Forecast Financial Statements'!J28+'Forecast Financial Statements'!J29)+'Forecast Financial Statements'!J63)</f>
        <v/>
      </c>
      <c r="K14" s="28">
        <f>'Forecast Financial Statements'!K14/(('Forecast Financial Statements'!K28+'Forecast Financial Statements'!K29)+'Forecast Financial Statements'!K63)</f>
        <v/>
      </c>
      <c r="L14" s="28">
        <f>'Forecast Financial Statements'!L14/(('Forecast Financial Statements'!L28+'Forecast Financial Statements'!L29)+'Forecast Financial Statements'!L63)</f>
        <v/>
      </c>
      <c r="M14" s="28">
        <f>'Forecast Financial Statements'!M14/(('Forecast Financial Statements'!M28+'Forecast Financial Statements'!M29)+'Forecast Financial Statements'!M63)</f>
        <v/>
      </c>
      <c r="N14" s="28">
        <f>'Forecast Financial Statements'!N14/(('Forecast Financial Statements'!N28+'Forecast Financial Statements'!N29)+'Forecast Financial Statements'!N63)</f>
        <v/>
      </c>
      <c r="O14" s="28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28">
        <f>'Historical Financial Statements'!B20/'Historical Financial Statements'!B32</f>
        <v/>
      </c>
      <c r="C15" s="28">
        <f>'Historical Financial Statements'!C20/'Historical Financial Statements'!C32</f>
        <v/>
      </c>
      <c r="D15" s="28">
        <f>'Historical Financial Statements'!D20/'Historical Financial Statements'!D32</f>
        <v/>
      </c>
      <c r="E15" s="28">
        <f>'Historical Financial Statements'!E20/'Historical Financial Statements'!E32</f>
        <v/>
      </c>
      <c r="F15" s="28">
        <f>'Historical Financial Statements'!F20/'Historical Financial Statements'!F32</f>
        <v/>
      </c>
      <c r="G15" s="28">
        <f>'Historical Financial Statements'!G20/'Historical Financial Statements'!G32</f>
        <v/>
      </c>
      <c r="H15" s="28">
        <f>'Forecast Financial Statements'!H20/'Forecast Financial Statements'!H61</f>
        <v/>
      </c>
      <c r="I15" s="28">
        <f>'Forecast Financial Statements'!I20/'Forecast Financial Statements'!I61</f>
        <v/>
      </c>
      <c r="J15" s="28">
        <f>'Forecast Financial Statements'!J20/'Forecast Financial Statements'!J61</f>
        <v/>
      </c>
      <c r="K15" s="28">
        <f>'Forecast Financial Statements'!K20/'Forecast Financial Statements'!K61</f>
        <v/>
      </c>
      <c r="L15" s="28">
        <f>'Forecast Financial Statements'!L20/'Forecast Financial Statements'!L61</f>
        <v/>
      </c>
      <c r="M15" s="28">
        <f>'Forecast Financial Statements'!M20/'Forecast Financial Statements'!M61</f>
        <v/>
      </c>
      <c r="N15" s="28">
        <f>'Forecast Financial Statements'!N20/'Forecast Financial Statements'!N61</f>
        <v/>
      </c>
      <c r="O15" s="28">
        <f>'Forecast Financial Statements'!O20/'Forecast Financial Statements'!O61</f>
        <v/>
      </c>
    </row>
    <row r="16">
      <c r="A16" s="5" t="inlineStr">
        <is>
          <t>Asset turnover (x)</t>
        </is>
      </c>
      <c r="B16" s="29">
        <f>'Historical Financial Statements'!B5/'Historical Financial Statements'!B32</f>
        <v/>
      </c>
      <c r="C16" s="29">
        <f>'Historical Financial Statements'!C5/'Historical Financial Statements'!C32</f>
        <v/>
      </c>
      <c r="D16" s="29">
        <f>'Historical Financial Statements'!D5/'Historical Financial Statements'!D32</f>
        <v/>
      </c>
      <c r="E16" s="29">
        <f>'Historical Financial Statements'!E5/'Historical Financial Statements'!E32</f>
        <v/>
      </c>
      <c r="F16" s="29">
        <f>'Historical Financial Statements'!F5/'Historical Financial Statements'!F32</f>
        <v/>
      </c>
      <c r="G16" s="29">
        <f>'Historical Financial Statements'!G5/'Historical Financial Statements'!G32</f>
        <v/>
      </c>
      <c r="H16" s="29">
        <f>'Forecast Financial Statements'!H5/'Forecast Financial Statements'!H61</f>
        <v/>
      </c>
      <c r="I16" s="29">
        <f>'Forecast Financial Statements'!I5/'Forecast Financial Statements'!I61</f>
        <v/>
      </c>
      <c r="J16" s="29">
        <f>'Forecast Financial Statements'!J5/'Forecast Financial Statements'!J61</f>
        <v/>
      </c>
      <c r="K16" s="29">
        <f>'Forecast Financial Statements'!K5/'Forecast Financial Statements'!K61</f>
        <v/>
      </c>
      <c r="L16" s="29">
        <f>'Forecast Financial Statements'!L5/'Forecast Financial Statements'!L61</f>
        <v/>
      </c>
      <c r="M16" s="29">
        <f>'Forecast Financial Statements'!M5/'Forecast Financial Statements'!M61</f>
        <v/>
      </c>
      <c r="N16" s="29">
        <f>'Forecast Financial Statements'!N5/'Forecast Financial Statements'!N61</f>
        <v/>
      </c>
      <c r="O16" s="29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29">
        <f>'Historical Financial Statements'!B35/('Historical Financial Statements'!B33+'Historical Financial Statements'!B34)</f>
        <v/>
      </c>
      <c r="C19" s="29">
        <f>'Historical Financial Statements'!C35/('Historical Financial Statements'!C33+'Historical Financial Statements'!C34)</f>
        <v/>
      </c>
      <c r="D19" s="29">
        <f>'Historical Financial Statements'!D35/('Historical Financial Statements'!D33+'Historical Financial Statements'!D34)</f>
        <v/>
      </c>
      <c r="E19" s="29">
        <f>'Historical Financial Statements'!E35/('Historical Financial Statements'!E33+'Historical Financial Statements'!E34)</f>
        <v/>
      </c>
      <c r="F19" s="29">
        <f>'Historical Financial Statements'!F35/('Historical Financial Statements'!F33+'Historical Financial Statements'!F34)</f>
        <v/>
      </c>
      <c r="G19" s="29">
        <f>'Historical Financial Statements'!G35/('Historical Financial Statements'!G33+'Historical Financial Statements'!G34)</f>
        <v/>
      </c>
      <c r="H19" s="29">
        <f>'Forecast Financial Statements'!H63/('Forecast Financial Statements'!H28+'Forecast Financial Statements'!H29)</f>
        <v/>
      </c>
      <c r="I19" s="29">
        <f>'Forecast Financial Statements'!I63/('Forecast Financial Statements'!I28+'Forecast Financial Statements'!I29)</f>
        <v/>
      </c>
      <c r="J19" s="29">
        <f>'Forecast Financial Statements'!J63/('Forecast Financial Statements'!J28+'Forecast Financial Statements'!J29)</f>
        <v/>
      </c>
      <c r="K19" s="29">
        <f>'Forecast Financial Statements'!K63/('Forecast Financial Statements'!K28+'Forecast Financial Statements'!K29)</f>
        <v/>
      </c>
      <c r="L19" s="29">
        <f>'Forecast Financial Statements'!L63/('Forecast Financial Statements'!L28+'Forecast Financial Statements'!L29)</f>
        <v/>
      </c>
      <c r="M19" s="29">
        <f>'Forecast Financial Statements'!M63/('Forecast Financial Statements'!M28+'Forecast Financial Statements'!M29)</f>
        <v/>
      </c>
      <c r="N19" s="29">
        <f>'Forecast Financial Statements'!N63/('Forecast Financial Statements'!N28+'Forecast Financial Statements'!N29)</f>
        <v/>
      </c>
      <c r="O19" s="29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29">
        <f>'Historical Financial Statements'!B14/'Historical Financial Statements'!B16</f>
        <v/>
      </c>
      <c r="C20" s="29">
        <f>'Historical Financial Statements'!C14/'Historical Financial Statements'!C16</f>
        <v/>
      </c>
      <c r="D20" s="29">
        <f>'Historical Financial Statements'!D14/'Historical Financial Statements'!D16</f>
        <v/>
      </c>
      <c r="E20" s="29">
        <f>'Historical Financial Statements'!E14/'Historical Financial Statements'!E16</f>
        <v/>
      </c>
      <c r="F20" s="29">
        <f>'Historical Financial Statements'!F14/'Historical Financial Statements'!F16</f>
        <v/>
      </c>
      <c r="G20" s="29">
        <f>'Historical Financial Statements'!G14/'Historical Financial Statements'!G16</f>
        <v/>
      </c>
      <c r="H20" s="29">
        <f>'Forecast Financial Statements'!H14/'Forecast Financial Statements'!H16</f>
        <v/>
      </c>
      <c r="I20" s="29">
        <f>'Forecast Financial Statements'!I14/'Forecast Financial Statements'!I16</f>
        <v/>
      </c>
      <c r="J20" s="29">
        <f>'Forecast Financial Statements'!J14/'Forecast Financial Statements'!J16</f>
        <v/>
      </c>
      <c r="K20" s="29">
        <f>'Forecast Financial Statements'!K14/'Forecast Financial Statements'!K16</f>
        <v/>
      </c>
      <c r="L20" s="29">
        <f>'Forecast Financial Statements'!L14/'Forecast Financial Statements'!L16</f>
        <v/>
      </c>
      <c r="M20" s="29">
        <f>'Forecast Financial Statements'!M14/'Forecast Financial Statements'!M16</f>
        <v/>
      </c>
      <c r="N20" s="29">
        <f>'Forecast Financial Statements'!N14/'Forecast Financial Statements'!N16</f>
        <v/>
      </c>
      <c r="O20" s="29">
        <f>'Forecast Financial Statements'!O14/'Forecast Financial Statements'!O16</f>
        <v/>
      </c>
    </row>
    <row r="21">
      <c r="A21" s="5" t="inlineStr">
        <is>
          <t>Net debt / EBITDA (x)</t>
        </is>
      </c>
      <c r="H21" s="29">
        <f>('Forecast Financial Statements'!H63-'Forecast Financial Statements'!H58)/'Forecast Financial Statements'!H12</f>
        <v/>
      </c>
      <c r="I21" s="29">
        <f>('Forecast Financial Statements'!I63-'Forecast Financial Statements'!I58)/'Forecast Financial Statements'!I12</f>
        <v/>
      </c>
      <c r="J21" s="29">
        <f>('Forecast Financial Statements'!J63-'Forecast Financial Statements'!J58)/'Forecast Financial Statements'!J12</f>
        <v/>
      </c>
      <c r="K21" s="29">
        <f>('Forecast Financial Statements'!K63-'Forecast Financial Statements'!K58)/'Forecast Financial Statements'!K12</f>
        <v/>
      </c>
      <c r="L21" s="29">
        <f>('Forecast Financial Statements'!L63-'Forecast Financial Statements'!L58)/'Forecast Financial Statements'!L12</f>
        <v/>
      </c>
      <c r="M21" s="29">
        <f>('Forecast Financial Statements'!M63-'Forecast Financial Statements'!M58)/'Forecast Financial Statements'!M12</f>
        <v/>
      </c>
      <c r="N21" s="29">
        <f>('Forecast Financial Statements'!N63-'Forecast Financial Statements'!N58)/'Forecast Financial Statements'!N12</f>
        <v/>
      </c>
      <c r="O21" s="29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2">
        <f>'Historical Financial Statements'!B21</f>
        <v/>
      </c>
      <c r="C24" s="42">
        <f>'Historical Financial Statements'!C21</f>
        <v/>
      </c>
      <c r="D24" s="42">
        <f>'Historical Financial Statements'!D21</f>
        <v/>
      </c>
      <c r="E24" s="42">
        <f>'Historical Financial Statements'!E21</f>
        <v/>
      </c>
      <c r="F24" s="42">
        <f>'Historical Financial Statements'!F21</f>
        <v/>
      </c>
      <c r="G24" s="42">
        <f>'Historical Financial Statements'!G21</f>
        <v/>
      </c>
      <c r="H24" s="42">
        <f>'Forecast Financial Statements'!H21</f>
        <v/>
      </c>
      <c r="I24" s="42">
        <f>'Forecast Financial Statements'!I21</f>
        <v/>
      </c>
      <c r="J24" s="42">
        <f>'Forecast Financial Statements'!J21</f>
        <v/>
      </c>
      <c r="K24" s="42">
        <f>'Forecast Financial Statements'!K21</f>
        <v/>
      </c>
      <c r="L24" s="42">
        <f>'Forecast Financial Statements'!L21</f>
        <v/>
      </c>
      <c r="M24" s="42">
        <f>'Forecast Financial Statements'!M21</f>
        <v/>
      </c>
      <c r="N24" s="42">
        <f>'Forecast Financial Statements'!N21</f>
        <v/>
      </c>
      <c r="O24" s="42">
        <f>'Forecast Financial Statements'!O21</f>
        <v/>
      </c>
    </row>
    <row r="25">
      <c r="A25" s="5" t="inlineStr">
        <is>
          <t>DPS (INR)</t>
        </is>
      </c>
      <c r="B25" s="42">
        <f>'Historical Financial Statements'!B22/'Assumptions'!C43</f>
        <v/>
      </c>
      <c r="C25" s="42">
        <f>'Historical Financial Statements'!C22/'Assumptions'!C43</f>
        <v/>
      </c>
      <c r="D25" s="42">
        <f>'Historical Financial Statements'!D22/'Assumptions'!C43</f>
        <v/>
      </c>
      <c r="E25" s="42">
        <f>'Historical Financial Statements'!E22/'Assumptions'!C43</f>
        <v/>
      </c>
      <c r="F25" s="42">
        <f>'Historical Financial Statements'!F22/'Assumptions'!C43</f>
        <v/>
      </c>
      <c r="G25" s="42">
        <f>'Historical Financial Statements'!G22/'Assumptions'!C43</f>
        <v/>
      </c>
      <c r="H25" s="42">
        <f>'Forecast Financial Statements'!H22/'Assumptions'!C43</f>
        <v/>
      </c>
      <c r="I25" s="42">
        <f>'Forecast Financial Statements'!I22/'Assumptions'!C43</f>
        <v/>
      </c>
      <c r="J25" s="42">
        <f>'Forecast Financial Statements'!J22/'Assumptions'!C43</f>
        <v/>
      </c>
      <c r="K25" s="42">
        <f>'Forecast Financial Statements'!K22/'Assumptions'!C43</f>
        <v/>
      </c>
      <c r="L25" s="42">
        <f>'Forecast Financial Statements'!L22/'Assumptions'!C43</f>
        <v/>
      </c>
      <c r="M25" s="42">
        <f>'Forecast Financial Statements'!M22/'Assumptions'!C43</f>
        <v/>
      </c>
      <c r="N25" s="42">
        <f>'Forecast Financial Statements'!N22/'Assumptions'!C43</f>
        <v/>
      </c>
      <c r="O25" s="42">
        <f>'Forecast Financial Statements'!O22/'Assumptions'!C43</f>
        <v/>
      </c>
    </row>
    <row r="26">
      <c r="A26" s="5" t="inlineStr">
        <is>
          <t>Dividend payout %</t>
        </is>
      </c>
      <c r="B26" s="28">
        <f>IF('Historical Financial Statements'!B20=0,0,'Historical Financial Statements'!B22/'Historical Financial Statements'!B20)</f>
        <v/>
      </c>
      <c r="C26" s="28">
        <f>IF('Historical Financial Statements'!C20=0,0,'Historical Financial Statements'!C22/'Historical Financial Statements'!C20)</f>
        <v/>
      </c>
      <c r="D26" s="28">
        <f>IF('Historical Financial Statements'!D20=0,0,'Historical Financial Statements'!D22/'Historical Financial Statements'!D20)</f>
        <v/>
      </c>
      <c r="E26" s="28">
        <f>IF('Historical Financial Statements'!E20=0,0,'Historical Financial Statements'!E22/'Historical Financial Statements'!E20)</f>
        <v/>
      </c>
      <c r="F26" s="28">
        <f>IF('Historical Financial Statements'!F20=0,0,'Historical Financial Statements'!F22/'Historical Financial Statements'!F20)</f>
        <v/>
      </c>
      <c r="G26" s="28">
        <f>IF('Historical Financial Statements'!G20=0,0,'Historical Financial Statements'!G22/'Historical Financial Statements'!G20)</f>
        <v/>
      </c>
      <c r="H26" s="28">
        <f>IF('Forecast Financial Statements'!H20=0,0,'Forecast Financial Statements'!H22/'Forecast Financial Statements'!H20)</f>
        <v/>
      </c>
      <c r="I26" s="28">
        <f>IF('Forecast Financial Statements'!I20=0,0,'Forecast Financial Statements'!I22/'Forecast Financial Statements'!I20)</f>
        <v/>
      </c>
      <c r="J26" s="28">
        <f>IF('Forecast Financial Statements'!J20=0,0,'Forecast Financial Statements'!J22/'Forecast Financial Statements'!J20)</f>
        <v/>
      </c>
      <c r="K26" s="28">
        <f>IF('Forecast Financial Statements'!K20=0,0,'Forecast Financial Statements'!K22/'Forecast Financial Statements'!K20)</f>
        <v/>
      </c>
      <c r="L26" s="28">
        <f>IF('Forecast Financial Statements'!L20=0,0,'Forecast Financial Statements'!L22/'Forecast Financial Statements'!L20)</f>
        <v/>
      </c>
      <c r="M26" s="28">
        <f>IF('Forecast Financial Statements'!M20=0,0,'Forecast Financial Statements'!M22/'Forecast Financial Statements'!M20)</f>
        <v/>
      </c>
      <c r="N26" s="28">
        <f>IF('Forecast Financial Statements'!N20=0,0,'Forecast Financial Statements'!N22/'Forecast Financial Statements'!N20)</f>
        <v/>
      </c>
      <c r="O26" s="28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2">
        <f>('Historical Financial Statements'!B33+'Historical Financial Statements'!B34)/'Assumptions'!C43</f>
        <v/>
      </c>
      <c r="C27" s="42">
        <f>('Historical Financial Statements'!C33+'Historical Financial Statements'!C34)/'Assumptions'!C43</f>
        <v/>
      </c>
      <c r="D27" s="42">
        <f>('Historical Financial Statements'!D33+'Historical Financial Statements'!D34)/'Assumptions'!C43</f>
        <v/>
      </c>
      <c r="E27" s="42">
        <f>('Historical Financial Statements'!E33+'Historical Financial Statements'!E34)/'Assumptions'!C43</f>
        <v/>
      </c>
      <c r="F27" s="42">
        <f>('Historical Financial Statements'!F33+'Historical Financial Statements'!F34)/'Assumptions'!C43</f>
        <v/>
      </c>
      <c r="G27" s="42">
        <f>('Historical Financial Statements'!G33+'Historical Financial Statements'!G34)/'Assumptions'!C43</f>
        <v/>
      </c>
      <c r="H27" s="42">
        <f>('Forecast Financial Statements'!H28+'Forecast Financial Statements'!H29)/'Assumptions'!C43</f>
        <v/>
      </c>
      <c r="I27" s="42">
        <f>('Forecast Financial Statements'!I28+'Forecast Financial Statements'!I29)/'Assumptions'!C43</f>
        <v/>
      </c>
      <c r="J27" s="42">
        <f>('Forecast Financial Statements'!J28+'Forecast Financial Statements'!J29)/'Assumptions'!C43</f>
        <v/>
      </c>
      <c r="K27" s="42">
        <f>('Forecast Financial Statements'!K28+'Forecast Financial Statements'!K29)/'Assumptions'!C43</f>
        <v/>
      </c>
      <c r="L27" s="42">
        <f>('Forecast Financial Statements'!L28+'Forecast Financial Statements'!L29)/'Assumptions'!C43</f>
        <v/>
      </c>
      <c r="M27" s="42">
        <f>('Forecast Financial Statements'!M28+'Forecast Financial Statements'!M29)/'Assumptions'!C43</f>
        <v/>
      </c>
      <c r="N27" s="42">
        <f>('Forecast Financial Statements'!N28+'Forecast Financial Statements'!N29)/'Assumptions'!C43</f>
        <v/>
      </c>
      <c r="O27" s="42">
        <f>('Forecast Financial Statements'!O28+'Forecast Financial Statements'!O29)/'Assumptions'!C43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43">
        <f>'Forecast Financial Statements'!H55/'Forecast Financial Statements'!H5*365</f>
        <v/>
      </c>
      <c r="I30" s="43">
        <f>'Forecast Financial Statements'!I55/'Forecast Financial Statements'!I5*365</f>
        <v/>
      </c>
      <c r="J30" s="43">
        <f>'Forecast Financial Statements'!J55/'Forecast Financial Statements'!J5*365</f>
        <v/>
      </c>
      <c r="K30" s="43">
        <f>'Forecast Financial Statements'!K55/'Forecast Financial Statements'!K5*365</f>
        <v/>
      </c>
      <c r="L30" s="43">
        <f>'Forecast Financial Statements'!L55/'Forecast Financial Statements'!L5*365</f>
        <v/>
      </c>
      <c r="M30" s="43">
        <f>'Forecast Financial Statements'!M55/'Forecast Financial Statements'!M5*365</f>
        <v/>
      </c>
      <c r="N30" s="43">
        <f>'Forecast Financial Statements'!N55/'Forecast Financial Statements'!N5*365</f>
        <v/>
      </c>
      <c r="O30" s="43">
        <f>'Forecast Financial Statements'!O55/'Forecast Financial Statements'!O5*365</f>
        <v/>
      </c>
    </row>
    <row r="31">
      <c r="A31" s="5" t="inlineStr">
        <is>
          <t>Inventory days</t>
        </is>
      </c>
      <c r="I31" s="43">
        <f>'Forecast Financial Statements'!I56/'Cost Forecast'!I16*365</f>
        <v/>
      </c>
      <c r="J31" s="43">
        <f>'Forecast Financial Statements'!J56/'Cost Forecast'!J16*365</f>
        <v/>
      </c>
      <c r="K31" s="43">
        <f>'Forecast Financial Statements'!K56/'Cost Forecast'!K16*365</f>
        <v/>
      </c>
      <c r="L31" s="43">
        <f>'Forecast Financial Statements'!L56/'Cost Forecast'!L16*365</f>
        <v/>
      </c>
      <c r="M31" s="43">
        <f>'Forecast Financial Statements'!M56/'Cost Forecast'!M16*365</f>
        <v/>
      </c>
      <c r="N31" s="43">
        <f>'Forecast Financial Statements'!N56/'Cost Forecast'!N16*365</f>
        <v/>
      </c>
      <c r="O31" s="43">
        <f>'Forecast Financial Statements'!O56/'Cost Forecast'!O16*365</f>
        <v/>
      </c>
    </row>
    <row r="32">
      <c r="A32" s="5" t="inlineStr">
        <is>
          <t>Payable days</t>
        </is>
      </c>
      <c r="I32" s="43">
        <f>'Forecast Financial Statements'!I38/'Cost Forecast'!I16*365</f>
        <v/>
      </c>
      <c r="J32" s="43">
        <f>'Forecast Financial Statements'!J38/'Cost Forecast'!J16*365</f>
        <v/>
      </c>
      <c r="K32" s="43">
        <f>'Forecast Financial Statements'!K38/'Cost Forecast'!K16*365</f>
        <v/>
      </c>
      <c r="L32" s="43">
        <f>'Forecast Financial Statements'!L38/'Cost Forecast'!L16*365</f>
        <v/>
      </c>
      <c r="M32" s="43">
        <f>'Forecast Financial Statements'!M38/'Cost Forecast'!M16*365</f>
        <v/>
      </c>
      <c r="N32" s="43">
        <f>'Forecast Financial Statements'!N38/'Cost Forecast'!N16*365</f>
        <v/>
      </c>
      <c r="O32" s="43">
        <f>'Forecast Financial Statements'!O38/'Cost Forecast'!O16*365</f>
        <v/>
      </c>
    </row>
    <row r="33">
      <c r="A33" s="5" t="inlineStr">
        <is>
          <t>FCFF (INR Cr)</t>
        </is>
      </c>
      <c r="I33" s="35">
        <f>'DCF Valuation'!I12</f>
        <v/>
      </c>
      <c r="J33" s="35">
        <f>'DCF Valuation'!J12</f>
        <v/>
      </c>
      <c r="K33" s="35">
        <f>'DCF Valuation'!K12</f>
        <v/>
      </c>
      <c r="L33" s="35">
        <f>'DCF Valuation'!L12</f>
        <v/>
      </c>
      <c r="M33" s="35">
        <f>'DCF Valuation'!M12</f>
        <v/>
      </c>
      <c r="N33" s="35">
        <f>'DCF Valuation'!N12</f>
        <v/>
      </c>
      <c r="O33" s="35">
        <f>'DCF Valuation'!O12</f>
        <v/>
      </c>
    </row>
    <row r="34">
      <c r="A34" s="5" t="inlineStr">
        <is>
          <t>Capex / sales %</t>
        </is>
      </c>
      <c r="I34" s="28">
        <f>'Assumptions'!I12/'Forecast Financial Statements'!I5</f>
        <v/>
      </c>
      <c r="J34" s="28">
        <f>'Assumptions'!J12/'Forecast Financial Statements'!J5</f>
        <v/>
      </c>
      <c r="K34" s="28">
        <f>'Assumptions'!K12/'Forecast Financial Statements'!K5</f>
        <v/>
      </c>
      <c r="L34" s="28">
        <f>'Assumptions'!L12/'Forecast Financial Statements'!L5</f>
        <v/>
      </c>
      <c r="M34" s="28">
        <f>'Assumptions'!M12/'Forecast Financial Statements'!M5</f>
        <v/>
      </c>
      <c r="N34" s="28">
        <f>'Assumptions'!N12/'Forecast Financial Statements'!N5</f>
        <v/>
      </c>
      <c r="O34" s="28">
        <f>'Assumptions'!O12/'Forecast Financial Statements'!O5</f>
        <v/>
      </c>
    </row>
    <row r="35">
      <c r="A35" s="5" t="inlineStr">
        <is>
          <t>FCFE (INR Cr)</t>
        </is>
      </c>
      <c r="I35" s="35">
        <f>'DCF Valuation'!I12-'Forecast Financial Statements'!I16*(1-'Assumptions'!I23)+'Debt Schedule'!I7+'Debt Schedule'!I8</f>
        <v/>
      </c>
      <c r="J35" s="35">
        <f>'DCF Valuation'!J12-'Forecast Financial Statements'!J16*(1-'Assumptions'!J23)+'Debt Schedule'!J7+'Debt Schedule'!J8</f>
        <v/>
      </c>
      <c r="K35" s="35">
        <f>'DCF Valuation'!K12-'Forecast Financial Statements'!K16*(1-'Assumptions'!K23)+'Debt Schedule'!K7+'Debt Schedule'!K8</f>
        <v/>
      </c>
      <c r="L35" s="35">
        <f>'DCF Valuation'!L12-'Forecast Financial Statements'!L16*(1-'Assumptions'!L23)+'Debt Schedule'!L7+'Debt Schedule'!L8</f>
        <v/>
      </c>
      <c r="M35" s="35">
        <f>'DCF Valuation'!M12-'Forecast Financial Statements'!M16*(1-'Assumptions'!M23)+'Debt Schedule'!M7+'Debt Schedule'!M8</f>
        <v/>
      </c>
      <c r="N35" s="35">
        <f>'DCF Valuation'!N12-'Forecast Financial Statements'!N16*(1-'Assumptions'!N23)+'Debt Schedule'!N7+'Debt Schedule'!N8</f>
        <v/>
      </c>
      <c r="O35" s="35">
        <f>'DCF Valuation'!O12-'Forecast Financial Statements'!O16*(1-'Assumptions'!O23)+'Debt Schedule'!O7+'Debt Schedule'!O8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Free Cash Flow to Firm (FCFF) valuation; WACC computed dynamically on Assumptions.</t>
        </is>
      </c>
    </row>
    <row r="4">
      <c r="A4" s="12" t="inlineStr">
        <is>
          <t>INR Crore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35">
        <f>'Forecast Financial Statements'!I14</f>
        <v/>
      </c>
      <c r="J6" s="35">
        <f>'Forecast Financial Statements'!J14</f>
        <v/>
      </c>
      <c r="K6" s="35">
        <f>'Forecast Financial Statements'!K14</f>
        <v/>
      </c>
      <c r="L6" s="35">
        <f>'Forecast Financial Statements'!L14</f>
        <v/>
      </c>
      <c r="M6" s="35">
        <f>'Forecast Financial Statements'!M14</f>
        <v/>
      </c>
      <c r="N6" s="35">
        <f>'Forecast Financial Statements'!N14</f>
        <v/>
      </c>
      <c r="O6" s="35">
        <f>'Forecast Financial Statements'!O14</f>
        <v/>
      </c>
    </row>
    <row r="7">
      <c r="A7" s="5" t="inlineStr">
        <is>
          <t xml:space="preserve">   Less: cash taxes on EBIT</t>
        </is>
      </c>
      <c r="I7" s="24">
        <f>-I6*'Assumptions'!I23</f>
        <v/>
      </c>
      <c r="J7" s="24">
        <f>-J6*'Assumptions'!J23</f>
        <v/>
      </c>
      <c r="K7" s="24">
        <f>-K6*'Assumptions'!K23</f>
        <v/>
      </c>
      <c r="L7" s="24">
        <f>-L6*'Assumptions'!L23</f>
        <v/>
      </c>
      <c r="M7" s="24">
        <f>-M6*'Assumptions'!M23</f>
        <v/>
      </c>
      <c r="N7" s="24">
        <f>-N6*'Assumptions'!N23</f>
        <v/>
      </c>
      <c r="O7" s="24">
        <f>-O6*'Assumptions'!O23</f>
        <v/>
      </c>
    </row>
    <row r="8">
      <c r="A8" s="4" t="inlineStr">
        <is>
          <t>NOPAT</t>
        </is>
      </c>
      <c r="I8" s="24">
        <f>I6+I7</f>
        <v/>
      </c>
      <c r="J8" s="24">
        <f>J6+J7</f>
        <v/>
      </c>
      <c r="K8" s="24">
        <f>K6+K7</f>
        <v/>
      </c>
      <c r="L8" s="24">
        <f>L6+L7</f>
        <v/>
      </c>
      <c r="M8" s="24">
        <f>M6+M7</f>
        <v/>
      </c>
      <c r="N8" s="24">
        <f>N6+N7</f>
        <v/>
      </c>
      <c r="O8" s="24">
        <f>O6+O7</f>
        <v/>
      </c>
    </row>
    <row r="9">
      <c r="A9" s="5" t="inlineStr">
        <is>
          <t xml:space="preserve">   Add: depreciation &amp; amortisation</t>
        </is>
      </c>
      <c r="I9" s="35">
        <f>'Depreciation Schedule'!I8</f>
        <v/>
      </c>
      <c r="J9" s="35">
        <f>'Depreciation Schedule'!J8</f>
        <v/>
      </c>
      <c r="K9" s="35">
        <f>'Depreciation Schedule'!K8</f>
        <v/>
      </c>
      <c r="L9" s="35">
        <f>'Depreciation Schedule'!L8</f>
        <v/>
      </c>
      <c r="M9" s="35">
        <f>'Depreciation Schedule'!M8</f>
        <v/>
      </c>
      <c r="N9" s="35">
        <f>'Depreciation Schedule'!N8</f>
        <v/>
      </c>
      <c r="O9" s="35">
        <f>'Depreciation Schedule'!O8</f>
        <v/>
      </c>
    </row>
    <row r="10">
      <c r="A10" s="5" t="inlineStr">
        <is>
          <t xml:space="preserve">   Less: capital expenditure</t>
        </is>
      </c>
      <c r="I10" s="35">
        <f>-'Assumptions'!I12</f>
        <v/>
      </c>
      <c r="J10" s="35">
        <f>-'Assumptions'!J12</f>
        <v/>
      </c>
      <c r="K10" s="35">
        <f>-'Assumptions'!K12</f>
        <v/>
      </c>
      <c r="L10" s="35">
        <f>-'Assumptions'!L12</f>
        <v/>
      </c>
      <c r="M10" s="35">
        <f>-'Assumptions'!M12</f>
        <v/>
      </c>
      <c r="N10" s="35">
        <f>-'Assumptions'!N12</f>
        <v/>
      </c>
      <c r="O10" s="35">
        <f>-'Assumptions'!O12</f>
        <v/>
      </c>
    </row>
    <row r="11">
      <c r="A11" s="5" t="inlineStr">
        <is>
          <t xml:space="preserve">   Add/(less): change in working capital</t>
        </is>
      </c>
      <c r="I11" s="35">
        <f>'Working Capital Schedule'!I18</f>
        <v/>
      </c>
      <c r="J11" s="35">
        <f>'Working Capital Schedule'!J18</f>
        <v/>
      </c>
      <c r="K11" s="35">
        <f>'Working Capital Schedule'!K18</f>
        <v/>
      </c>
      <c r="L11" s="35">
        <f>'Working Capital Schedule'!L18</f>
        <v/>
      </c>
      <c r="M11" s="35">
        <f>'Working Capital Schedule'!M18</f>
        <v/>
      </c>
      <c r="N11" s="35">
        <f>'Working Capital Schedule'!N18</f>
        <v/>
      </c>
      <c r="O11" s="35">
        <f>'Working Capital Schedule'!O18</f>
        <v/>
      </c>
    </row>
    <row r="12">
      <c r="A12" s="4" t="inlineStr">
        <is>
          <t>Free cash flow to firm (FCFF)</t>
        </is>
      </c>
      <c r="I12" s="37">
        <f>I8+I9+I10+I11</f>
        <v/>
      </c>
      <c r="J12" s="37">
        <f>J8+J9+J10+J11</f>
        <v/>
      </c>
      <c r="K12" s="37">
        <f>K8+K9+K10+K11</f>
        <v/>
      </c>
      <c r="L12" s="37">
        <f>L8+L9+L10+L11</f>
        <v/>
      </c>
      <c r="M12" s="37">
        <f>M8+M9+M10+M11</f>
        <v/>
      </c>
      <c r="N12" s="37">
        <f>N8+N9+N10+N11</f>
        <v/>
      </c>
      <c r="O12" s="37">
        <f>O8+O9+O10+O11</f>
        <v/>
      </c>
    </row>
    <row r="13">
      <c r="A13" s="5" t="inlineStr">
        <is>
          <t>Discount period (years)</t>
        </is>
      </c>
      <c r="I13" s="44" t="n">
        <v>1</v>
      </c>
      <c r="J13" s="44" t="n">
        <v>2</v>
      </c>
      <c r="K13" s="44" t="n">
        <v>3</v>
      </c>
      <c r="L13" s="44" t="n">
        <v>4</v>
      </c>
      <c r="M13" s="44" t="n">
        <v>5</v>
      </c>
      <c r="N13" s="44" t="n">
        <v>6</v>
      </c>
      <c r="O13" s="44" t="n">
        <v>7</v>
      </c>
    </row>
    <row r="14">
      <c r="A14" s="5" t="inlineStr">
        <is>
          <t>Discount factor @ WACC</t>
        </is>
      </c>
      <c r="I14" s="45">
        <f>1/(1+'Assumptions'!C42)^I13</f>
        <v/>
      </c>
      <c r="J14" s="45">
        <f>1/(1+'Assumptions'!C42)^J13</f>
        <v/>
      </c>
      <c r="K14" s="45">
        <f>1/(1+'Assumptions'!C42)^K13</f>
        <v/>
      </c>
      <c r="L14" s="45">
        <f>1/(1+'Assumptions'!C42)^L13</f>
        <v/>
      </c>
      <c r="M14" s="45">
        <f>1/(1+'Assumptions'!C42)^M13</f>
        <v/>
      </c>
      <c r="N14" s="45">
        <f>1/(1+'Assumptions'!C42)^N13</f>
        <v/>
      </c>
      <c r="O14" s="45">
        <f>1/(1+'Assumptions'!C42)^O13</f>
        <v/>
      </c>
    </row>
    <row r="15">
      <c r="A15" s="4" t="inlineStr">
        <is>
          <t>PV of FCFF</t>
        </is>
      </c>
      <c r="I15" s="37">
        <f>I12*I14</f>
        <v/>
      </c>
      <c r="J15" s="37">
        <f>J12*J14</f>
        <v/>
      </c>
      <c r="K15" s="37">
        <f>K12*K14</f>
        <v/>
      </c>
      <c r="L15" s="37">
        <f>L12*L14</f>
        <v/>
      </c>
      <c r="M15" s="37">
        <f>M12*M14</f>
        <v/>
      </c>
      <c r="N15" s="37">
        <f>N12*N14</f>
        <v/>
      </c>
      <c r="O15" s="37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46">
        <f>SUM(I15:O15)</f>
        <v/>
      </c>
    </row>
    <row r="19">
      <c r="A19" s="5" t="inlineStr">
        <is>
          <t>WACC</t>
        </is>
      </c>
      <c r="C19" s="47">
        <f>'Assumptions'!C42</f>
        <v/>
      </c>
    </row>
    <row r="20">
      <c r="A20" s="5" t="inlineStr">
        <is>
          <t>Terminal growth rate (g)</t>
        </is>
      </c>
      <c r="C20" s="47">
        <f>'Assumptions'!C40</f>
        <v/>
      </c>
    </row>
    <row r="21">
      <c r="A21" s="5" t="inlineStr">
        <is>
          <t>Terminal value (Gordon growth)</t>
        </is>
      </c>
      <c r="C21" s="46">
        <f>O12*(1+C20)/(C19-C20)</f>
        <v/>
      </c>
    </row>
    <row r="22">
      <c r="A22" s="5" t="inlineStr">
        <is>
          <t>PV of terminal value</t>
        </is>
      </c>
      <c r="C22" s="46">
        <f>C21*O14</f>
        <v/>
      </c>
    </row>
    <row r="23">
      <c r="A23" s="4" t="inlineStr">
        <is>
          <t>Enterprise value (EV)</t>
        </is>
      </c>
      <c r="C23" s="48">
        <f>C18+C22</f>
        <v/>
      </c>
    </row>
    <row r="24">
      <c r="A24" s="5" t="inlineStr">
        <is>
          <t>Less: net debt (FY26 debt - cash)</t>
        </is>
      </c>
      <c r="C24" s="49">
        <f>-('Forecast Financial Statements'!H63-'Forecast Financial Statements'!H58)</f>
        <v/>
      </c>
    </row>
    <row r="25">
      <c r="A25" s="4" t="inlineStr">
        <is>
          <t>Equity value</t>
        </is>
      </c>
      <c r="C25" s="48">
        <f>C23+C24</f>
        <v/>
      </c>
    </row>
    <row r="26">
      <c r="A26" s="5" t="inlineStr">
        <is>
          <t>Shares outstanding (crore)</t>
        </is>
      </c>
      <c r="C26" s="50">
        <f>'Assumptions'!C43</f>
        <v/>
      </c>
    </row>
    <row r="27">
      <c r="A27" s="4" t="inlineStr">
        <is>
          <t>Intrinsic value per share (INR)</t>
        </is>
      </c>
      <c r="C27" s="51">
        <f>C25/C26</f>
        <v/>
      </c>
    </row>
    <row r="28">
      <c r="A28" s="5" t="inlineStr">
        <is>
          <t>Current market price (INR)</t>
        </is>
      </c>
      <c r="C28" s="52">
        <f>'Assumptions'!C44</f>
        <v/>
      </c>
    </row>
    <row r="29">
      <c r="A29" s="4" t="inlineStr">
        <is>
          <t>Upside / (downside)</t>
        </is>
      </c>
      <c r="C29" s="18">
        <f>C27/C28-1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3" t="inlineStr">
        <is>
          <t>Peer company</t>
        </is>
      </c>
      <c r="B5" s="13" t="inlineStr">
        <is>
          <t>EV/Revenue (x)</t>
        </is>
      </c>
      <c r="C5" s="13" t="inlineStr">
        <is>
          <t>EV/EBITDA (x)</t>
        </is>
      </c>
      <c r="D5" s="13" t="inlineStr">
        <is>
          <t>P/E (x)</t>
        </is>
      </c>
      <c r="E5" s="13" t="inlineStr">
        <is>
          <t>P/B (x)</t>
        </is>
      </c>
      <c r="F5" s="13" t="inlineStr">
        <is>
          <t>Div yield %</t>
        </is>
      </c>
    </row>
    <row r="6">
      <c r="A6" s="5" t="inlineStr">
        <is>
          <t>Siemens India</t>
        </is>
      </c>
      <c r="B6" s="53" t="n">
        <v>5.5</v>
      </c>
      <c r="C6" s="53" t="n">
        <v>42</v>
      </c>
      <c r="D6" s="53" t="n">
        <v>60</v>
      </c>
      <c r="E6" s="53" t="n">
        <v>9</v>
      </c>
      <c r="F6" s="54" t="n">
        <v>0.4</v>
      </c>
    </row>
    <row r="7">
      <c r="A7" s="5" t="inlineStr">
        <is>
          <t>ABB India</t>
        </is>
      </c>
      <c r="B7" s="53" t="n">
        <v>7</v>
      </c>
      <c r="C7" s="53" t="n">
        <v>50</v>
      </c>
      <c r="D7" s="53" t="n">
        <v>68</v>
      </c>
      <c r="E7" s="53" t="n">
        <v>14</v>
      </c>
      <c r="F7" s="54" t="n">
        <v>0.4</v>
      </c>
    </row>
    <row r="8">
      <c r="A8" s="5" t="inlineStr">
        <is>
          <t>CG Power &amp; Ind.</t>
        </is>
      </c>
      <c r="B8" s="53" t="n">
        <v>6.5</v>
      </c>
      <c r="C8" s="53" t="n">
        <v>45</v>
      </c>
      <c r="D8" s="53" t="n">
        <v>62</v>
      </c>
      <c r="E8" s="53" t="n">
        <v>18</v>
      </c>
      <c r="F8" s="54" t="n">
        <v>0.2</v>
      </c>
    </row>
    <row r="9">
      <c r="A9" s="5" t="inlineStr">
        <is>
          <t>GE Vernova T&amp;D India</t>
        </is>
      </c>
      <c r="B9" s="53" t="n">
        <v>8</v>
      </c>
      <c r="C9" s="53" t="n">
        <v>48</v>
      </c>
      <c r="D9" s="53" t="n">
        <v>65</v>
      </c>
      <c r="E9" s="53" t="n">
        <v>20</v>
      </c>
      <c r="F9" s="54" t="n">
        <v>0.1</v>
      </c>
    </row>
    <row r="10">
      <c r="A10" s="5" t="inlineStr">
        <is>
          <t>Thermax</t>
        </is>
      </c>
      <c r="B10" s="53" t="n">
        <v>4</v>
      </c>
      <c r="C10" s="53" t="n">
        <v>38</v>
      </c>
      <c r="D10" s="53" t="n">
        <v>55</v>
      </c>
      <c r="E10" s="53" t="n">
        <v>8</v>
      </c>
      <c r="F10" s="54" t="n">
        <v>0.3</v>
      </c>
    </row>
    <row r="11">
      <c r="A11" s="5" t="inlineStr">
        <is>
          <t>Triveni Turbine</t>
        </is>
      </c>
      <c r="B11" s="53" t="n">
        <v>7.5</v>
      </c>
      <c r="C11" s="53" t="n">
        <v>40</v>
      </c>
      <c r="D11" s="53" t="n">
        <v>52</v>
      </c>
      <c r="E11" s="53" t="n">
        <v>16</v>
      </c>
      <c r="F11" s="54" t="n">
        <v>0.5</v>
      </c>
    </row>
    <row r="12">
      <c r="A12" s="5" t="inlineStr">
        <is>
          <t>Larsen &amp; Toubro</t>
        </is>
      </c>
      <c r="B12" s="53" t="n">
        <v>2</v>
      </c>
      <c r="C12" s="53" t="n">
        <v>22</v>
      </c>
      <c r="D12" s="53" t="n">
        <v>32</v>
      </c>
      <c r="E12" s="53" t="n">
        <v>5</v>
      </c>
      <c r="F12" s="54" t="n">
        <v>0.7</v>
      </c>
    </row>
    <row r="13">
      <c r="A13" s="5" t="inlineStr">
        <is>
          <t>Kalpataru Projects</t>
        </is>
      </c>
      <c r="B13" s="53" t="n">
        <v>0.9</v>
      </c>
      <c r="C13" s="53" t="n">
        <v>12</v>
      </c>
      <c r="D13" s="53" t="n">
        <v>22</v>
      </c>
      <c r="E13" s="53" t="n">
        <v>3</v>
      </c>
      <c r="F13" s="54" t="n">
        <v>0.4</v>
      </c>
    </row>
    <row r="14">
      <c r="A14" s="55" t="inlineStr">
        <is>
          <t>Median</t>
        </is>
      </c>
      <c r="B14" s="56">
        <f>MEDIAN(B6:B13)</f>
        <v/>
      </c>
      <c r="C14" s="56">
        <f>MEDIAN(C6:C13)</f>
        <v/>
      </c>
      <c r="D14" s="56">
        <f>MEDIAN(D6:D13)</f>
        <v/>
      </c>
      <c r="E14" s="56">
        <f>MEDIAN(E6:E13)</f>
        <v/>
      </c>
      <c r="F14" s="57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49">
        <f>'Forecast Financial Statements'!I5</f>
        <v/>
      </c>
    </row>
    <row r="18">
      <c r="A18" s="5" t="inlineStr">
        <is>
          <t>BHEL FY2027E EBITDA</t>
        </is>
      </c>
      <c r="C18" s="49">
        <f>'Forecast Financial Statements'!I12</f>
        <v/>
      </c>
    </row>
    <row r="19">
      <c r="A19" s="5" t="inlineStr">
        <is>
          <t>BHEL FY2027E EPS (INR)</t>
        </is>
      </c>
      <c r="C19" s="52">
        <f>'Forecast Financial Statements'!I21</f>
        <v/>
      </c>
    </row>
    <row r="20">
      <c r="A20" s="5" t="inlineStr">
        <is>
          <t>Net debt (FY26)</t>
        </is>
      </c>
      <c r="C20" s="49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46">
        <f>C18*C14</f>
        <v/>
      </c>
    </row>
    <row r="23">
      <c r="A23" s="5" t="inlineStr">
        <is>
          <t>Implied equity value (EV/EBITDA)</t>
        </is>
      </c>
      <c r="C23" s="46">
        <f>C22-C20</f>
        <v/>
      </c>
    </row>
    <row r="24">
      <c r="A24" s="4" t="inlineStr">
        <is>
          <t>Implied price - EV/EBITDA (INR)</t>
        </is>
      </c>
      <c r="C24" s="51">
        <f>C23/'Assumptions'!C43</f>
        <v/>
      </c>
    </row>
    <row r="25">
      <c r="A25" s="4" t="inlineStr">
        <is>
          <t>Implied price - P/E method (INR)</t>
        </is>
      </c>
      <c r="C25" s="51">
        <f>C19*D14</f>
        <v/>
      </c>
    </row>
    <row r="26">
      <c r="A26" s="5" t="inlineStr">
        <is>
          <t>Implied EV (EV/Revenue method)</t>
        </is>
      </c>
      <c r="C26" s="46">
        <f>C17*B14</f>
        <v/>
      </c>
    </row>
    <row r="27">
      <c r="A27" s="4" t="inlineStr">
        <is>
          <t>Implied price - EV/Revenue (INR)</t>
        </is>
      </c>
      <c r="C27" s="51">
        <f>(C26-C20)/'Assumptions'!C43</f>
        <v/>
      </c>
    </row>
    <row r="29">
      <c r="A29" s="4" t="inlineStr">
        <is>
          <t>Average implied target price (INR)</t>
        </is>
      </c>
      <c r="C29" s="58">
        <f>AVERAGE(C24,C25,C27)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3" t="inlineStr">
        <is>
          <t>WACC \ g</t>
        </is>
      </c>
      <c r="C5" s="59">
        <f>'Assumptions'!C40+-0.015</f>
        <v/>
      </c>
      <c r="D5" s="59">
        <f>'Assumptions'!C40+-0.0075</f>
        <v/>
      </c>
      <c r="E5" s="59">
        <f>'Assumptions'!C40+0.0</f>
        <v/>
      </c>
      <c r="F5" s="59">
        <f>'Assumptions'!C40+0.0075</f>
        <v/>
      </c>
      <c r="G5" s="59">
        <f>'Assumptions'!C40+0.015</f>
        <v/>
      </c>
    </row>
    <row r="6">
      <c r="B6" s="59">
        <f>'Assumptions'!C42+0.02</f>
        <v/>
      </c>
      <c r="C6" s="60">
        <f>(SUMPRODUCT('DCF Valuation'!$I$12:$O$12,(1+$B6)^(-'DCF Valuation'!$I$13:$O$13))+('DCF Valuation'!$O$12*(1+C$5)/($B6-C$5))*(1+$B6)^(-7)+'DCF Valuation'!$C$24)/'DCF Valuation'!$C$26</f>
        <v/>
      </c>
      <c r="D6" s="60">
        <f>(SUMPRODUCT('DCF Valuation'!$I$12:$O$12,(1+$B6)^(-'DCF Valuation'!$I$13:$O$13))+('DCF Valuation'!$O$12*(1+D$5)/($B6-D$5))*(1+$B6)^(-7)+'DCF Valuation'!$C$24)/'DCF Valuation'!$C$26</f>
        <v/>
      </c>
      <c r="E6" s="60">
        <f>(SUMPRODUCT('DCF Valuation'!$I$12:$O$12,(1+$B6)^(-'DCF Valuation'!$I$13:$O$13))+('DCF Valuation'!$O$12*(1+E$5)/($B6-E$5))*(1+$B6)^(-7)+'DCF Valuation'!$C$24)/'DCF Valuation'!$C$26</f>
        <v/>
      </c>
      <c r="F6" s="60">
        <f>(SUMPRODUCT('DCF Valuation'!$I$12:$O$12,(1+$B6)^(-'DCF Valuation'!$I$13:$O$13))+('DCF Valuation'!$O$12*(1+F$5)/($B6-F$5))*(1+$B6)^(-7)+'DCF Valuation'!$C$24)/'DCF Valuation'!$C$26</f>
        <v/>
      </c>
      <c r="G6" s="60">
        <f>(SUMPRODUCT('DCF Valuation'!$I$12:$O$12,(1+$B6)^(-'DCF Valuation'!$I$13:$O$13))+('DCF Valuation'!$O$12*(1+G$5)/($B6-G$5))*(1+$B6)^(-7)+'DCF Valuation'!$C$24)/'DCF Valuation'!$C$26</f>
        <v/>
      </c>
    </row>
    <row r="7">
      <c r="B7" s="59">
        <f>'Assumptions'!C42+0.01</f>
        <v/>
      </c>
      <c r="C7" s="60">
        <f>(SUMPRODUCT('DCF Valuation'!$I$12:$O$12,(1+$B7)^(-'DCF Valuation'!$I$13:$O$13))+('DCF Valuation'!$O$12*(1+C$5)/($B7-C$5))*(1+$B7)^(-7)+'DCF Valuation'!$C$24)/'DCF Valuation'!$C$26</f>
        <v/>
      </c>
      <c r="D7" s="60">
        <f>(SUMPRODUCT('DCF Valuation'!$I$12:$O$12,(1+$B7)^(-'DCF Valuation'!$I$13:$O$13))+('DCF Valuation'!$O$12*(1+D$5)/($B7-D$5))*(1+$B7)^(-7)+'DCF Valuation'!$C$24)/'DCF Valuation'!$C$26</f>
        <v/>
      </c>
      <c r="E7" s="60">
        <f>(SUMPRODUCT('DCF Valuation'!$I$12:$O$12,(1+$B7)^(-'DCF Valuation'!$I$13:$O$13))+('DCF Valuation'!$O$12*(1+E$5)/($B7-E$5))*(1+$B7)^(-7)+'DCF Valuation'!$C$24)/'DCF Valuation'!$C$26</f>
        <v/>
      </c>
      <c r="F7" s="60">
        <f>(SUMPRODUCT('DCF Valuation'!$I$12:$O$12,(1+$B7)^(-'DCF Valuation'!$I$13:$O$13))+('DCF Valuation'!$O$12*(1+F$5)/($B7-F$5))*(1+$B7)^(-7)+'DCF Valuation'!$C$24)/'DCF Valuation'!$C$26</f>
        <v/>
      </c>
      <c r="G7" s="60">
        <f>(SUMPRODUCT('DCF Valuation'!$I$12:$O$12,(1+$B7)^(-'DCF Valuation'!$I$13:$O$13))+('DCF Valuation'!$O$12*(1+G$5)/($B7-G$5))*(1+$B7)^(-7)+'DCF Valuation'!$C$24)/'DCF Valuation'!$C$26</f>
        <v/>
      </c>
    </row>
    <row r="8">
      <c r="B8" s="59">
        <f>'Assumptions'!C42+0.0</f>
        <v/>
      </c>
      <c r="C8" s="60">
        <f>(SUMPRODUCT('DCF Valuation'!$I$12:$O$12,(1+$B8)^(-'DCF Valuation'!$I$13:$O$13))+('DCF Valuation'!$O$12*(1+C$5)/($B8-C$5))*(1+$B8)^(-7)+'DCF Valuation'!$C$24)/'DCF Valuation'!$C$26</f>
        <v/>
      </c>
      <c r="D8" s="60">
        <f>(SUMPRODUCT('DCF Valuation'!$I$12:$O$12,(1+$B8)^(-'DCF Valuation'!$I$13:$O$13))+('DCF Valuation'!$O$12*(1+D$5)/($B8-D$5))*(1+$B8)^(-7)+'DCF Valuation'!$C$24)/'DCF Valuation'!$C$26</f>
        <v/>
      </c>
      <c r="E8" s="51">
        <f>(SUMPRODUCT('DCF Valuation'!$I$12:$O$12,(1+$B8)^(-'DCF Valuation'!$I$13:$O$13))+('DCF Valuation'!$O$12*(1+E$5)/($B8-E$5))*(1+$B8)^(-7)+'DCF Valuation'!$C$24)/'DCF Valuation'!$C$26</f>
        <v/>
      </c>
      <c r="F8" s="60">
        <f>(SUMPRODUCT('DCF Valuation'!$I$12:$O$12,(1+$B8)^(-'DCF Valuation'!$I$13:$O$13))+('DCF Valuation'!$O$12*(1+F$5)/($B8-F$5))*(1+$B8)^(-7)+'DCF Valuation'!$C$24)/'DCF Valuation'!$C$26</f>
        <v/>
      </c>
      <c r="G8" s="60">
        <f>(SUMPRODUCT('DCF Valuation'!$I$12:$O$12,(1+$B8)^(-'DCF Valuation'!$I$13:$O$13))+('DCF Valuation'!$O$12*(1+G$5)/($B8-G$5))*(1+$B8)^(-7)+'DCF Valuation'!$C$24)/'DCF Valuation'!$C$26</f>
        <v/>
      </c>
    </row>
    <row r="9">
      <c r="B9" s="59">
        <f>'Assumptions'!C42+-0.01</f>
        <v/>
      </c>
      <c r="C9" s="60">
        <f>(SUMPRODUCT('DCF Valuation'!$I$12:$O$12,(1+$B9)^(-'DCF Valuation'!$I$13:$O$13))+('DCF Valuation'!$O$12*(1+C$5)/($B9-C$5))*(1+$B9)^(-7)+'DCF Valuation'!$C$24)/'DCF Valuation'!$C$26</f>
        <v/>
      </c>
      <c r="D9" s="60">
        <f>(SUMPRODUCT('DCF Valuation'!$I$12:$O$12,(1+$B9)^(-'DCF Valuation'!$I$13:$O$13))+('DCF Valuation'!$O$12*(1+D$5)/($B9-D$5))*(1+$B9)^(-7)+'DCF Valuation'!$C$24)/'DCF Valuation'!$C$26</f>
        <v/>
      </c>
      <c r="E9" s="60">
        <f>(SUMPRODUCT('DCF Valuation'!$I$12:$O$12,(1+$B9)^(-'DCF Valuation'!$I$13:$O$13))+('DCF Valuation'!$O$12*(1+E$5)/($B9-E$5))*(1+$B9)^(-7)+'DCF Valuation'!$C$24)/'DCF Valuation'!$C$26</f>
        <v/>
      </c>
      <c r="F9" s="60">
        <f>(SUMPRODUCT('DCF Valuation'!$I$12:$O$12,(1+$B9)^(-'DCF Valuation'!$I$13:$O$13))+('DCF Valuation'!$O$12*(1+F$5)/($B9-F$5))*(1+$B9)^(-7)+'DCF Valuation'!$C$24)/'DCF Valuation'!$C$26</f>
        <v/>
      </c>
      <c r="G9" s="60">
        <f>(SUMPRODUCT('DCF Valuation'!$I$12:$O$12,(1+$B9)^(-'DCF Valuation'!$I$13:$O$13))+('DCF Valuation'!$O$12*(1+G$5)/($B9-G$5))*(1+$B9)^(-7)+'DCF Valuation'!$C$24)/'DCF Valuation'!$C$26</f>
        <v/>
      </c>
    </row>
    <row r="10">
      <c r="B10" s="59">
        <f>'Assumptions'!C42+-0.02</f>
        <v/>
      </c>
      <c r="C10" s="60">
        <f>(SUMPRODUCT('DCF Valuation'!$I$12:$O$12,(1+$B10)^(-'DCF Valuation'!$I$13:$O$13))+('DCF Valuation'!$O$12*(1+C$5)/($B10-C$5))*(1+$B10)^(-7)+'DCF Valuation'!$C$24)/'DCF Valuation'!$C$26</f>
        <v/>
      </c>
      <c r="D10" s="60">
        <f>(SUMPRODUCT('DCF Valuation'!$I$12:$O$12,(1+$B10)^(-'DCF Valuation'!$I$13:$O$13))+('DCF Valuation'!$O$12*(1+D$5)/($B10-D$5))*(1+$B10)^(-7)+'DCF Valuation'!$C$24)/'DCF Valuation'!$C$26</f>
        <v/>
      </c>
      <c r="E10" s="60">
        <f>(SUMPRODUCT('DCF Valuation'!$I$12:$O$12,(1+$B10)^(-'DCF Valuation'!$I$13:$O$13))+('DCF Valuation'!$O$12*(1+E$5)/($B10-E$5))*(1+$B10)^(-7)+'DCF Valuation'!$C$24)/'DCF Valuation'!$C$26</f>
        <v/>
      </c>
      <c r="F10" s="60">
        <f>(SUMPRODUCT('DCF Valuation'!$I$12:$O$12,(1+$B10)^(-'DCF Valuation'!$I$13:$O$13))+('DCF Valuation'!$O$12*(1+F$5)/($B10-F$5))*(1+$B10)^(-7)+'DCF Valuation'!$C$24)/'DCF Valuation'!$C$26</f>
        <v/>
      </c>
      <c r="G10" s="60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3" t="inlineStr">
        <is>
          <t>Driver / output</t>
        </is>
      </c>
      <c r="B4" s="13" t="inlineStr">
        <is>
          <t>Bear case</t>
        </is>
      </c>
      <c r="C4" s="13" t="inlineStr">
        <is>
          <t>Base case</t>
        </is>
      </c>
      <c r="D4" s="13" t="inlineStr">
        <is>
          <t>Bull case</t>
        </is>
      </c>
    </row>
    <row r="5">
      <c r="A5" s="5" t="inlineStr">
        <is>
          <t>FY2033E revenue (INR Cr)</t>
        </is>
      </c>
      <c r="B5" s="15" t="n">
        <v>68000</v>
      </c>
      <c r="C5" s="49">
        <f>'Forecast Financial Statements'!O5</f>
        <v/>
      </c>
      <c r="D5" s="15" t="n">
        <v>92000</v>
      </c>
    </row>
    <row r="6">
      <c r="A6" s="5" t="inlineStr">
        <is>
          <t>Terminal EBITDA margin</t>
        </is>
      </c>
      <c r="B6" s="14" t="n">
        <v>0.09</v>
      </c>
      <c r="C6" s="47">
        <f>'Forecast Financial Statements'!O12/'Forecast Financial Statements'!O5</f>
        <v/>
      </c>
      <c r="D6" s="14" t="n">
        <v>0.15</v>
      </c>
    </row>
    <row r="7">
      <c r="A7" s="5" t="inlineStr">
        <is>
          <t>Exit EV/EBITDA multiple (x)</t>
        </is>
      </c>
      <c r="B7" s="53" t="n">
        <v>14</v>
      </c>
      <c r="C7" s="53" t="n">
        <v>18</v>
      </c>
      <c r="D7" s="53" t="n">
        <v>24</v>
      </c>
    </row>
    <row r="8">
      <c r="A8" s="5" t="inlineStr">
        <is>
          <t>WACC</t>
        </is>
      </c>
      <c r="B8" s="14" t="n">
        <v>0.155</v>
      </c>
      <c r="C8" s="47">
        <f>'Assumptions'!C42</f>
        <v/>
      </c>
      <c r="D8" s="14" t="n">
        <v>0.12</v>
      </c>
    </row>
    <row r="9">
      <c r="A9" s="5" t="inlineStr">
        <is>
          <t>FY2033E EBITDA (INR Cr)</t>
        </is>
      </c>
      <c r="B9" s="46">
        <f>B5*B6</f>
        <v/>
      </c>
      <c r="C9" s="46">
        <f>C5*C6</f>
        <v/>
      </c>
      <c r="D9" s="46">
        <f>D5*D6</f>
        <v/>
      </c>
    </row>
    <row r="10">
      <c r="A10" s="5" t="inlineStr">
        <is>
          <t>Terminal EV (INR Cr)</t>
        </is>
      </c>
      <c r="B10" s="46">
        <f>B9*B7</f>
        <v/>
      </c>
      <c r="C10" s="46">
        <f>C9*C7</f>
        <v/>
      </c>
      <c r="D10" s="46">
        <f>D9*D7</f>
        <v/>
      </c>
    </row>
    <row r="11">
      <c r="A11" s="5" t="inlineStr">
        <is>
          <t>PV of EV (discounted 7y)</t>
        </is>
      </c>
      <c r="B11" s="46">
        <f>B10/(1+B8)^7</f>
        <v/>
      </c>
      <c r="C11" s="46">
        <f>C10/(1+C8)^7</f>
        <v/>
      </c>
      <c r="D11" s="46">
        <f>D10/(1+D8)^7</f>
        <v/>
      </c>
    </row>
    <row r="12">
      <c r="A12" s="5" t="inlineStr">
        <is>
          <t>Less: net debt (FY26)</t>
        </is>
      </c>
      <c r="B12" s="49">
        <f>'Forecast Financial Statements'!H63-'Forecast Financial Statements'!H58</f>
        <v/>
      </c>
      <c r="C12" s="49">
        <f>'Forecast Financial Statements'!H63-'Forecast Financial Statements'!H58</f>
        <v/>
      </c>
      <c r="D12" s="49">
        <f>'Forecast Financial Statements'!H63-'Forecast Financial Statements'!H58</f>
        <v/>
      </c>
    </row>
    <row r="13">
      <c r="A13" s="5" t="inlineStr">
        <is>
          <t>Equity value (INR Cr)</t>
        </is>
      </c>
      <c r="B13" s="46">
        <f>B11-B12</f>
        <v/>
      </c>
      <c r="C13" s="46">
        <f>C11-C12</f>
        <v/>
      </c>
      <c r="D13" s="46">
        <f>D11-D12</f>
        <v/>
      </c>
    </row>
    <row r="14">
      <c r="A14" s="4" t="inlineStr">
        <is>
          <t>Target price (INR)</t>
        </is>
      </c>
      <c r="B14" s="51">
        <f>B13/'Assumptions'!C43</f>
        <v/>
      </c>
      <c r="C14" s="51">
        <f>C13/'Assumptions'!C43</f>
        <v/>
      </c>
      <c r="D14" s="51">
        <f>D13/'Assumptions'!C43</f>
        <v/>
      </c>
    </row>
    <row r="15">
      <c r="A15" s="4" t="inlineStr">
        <is>
          <t>Scenario probability</t>
        </is>
      </c>
      <c r="B15" s="14" t="n">
        <v>0.25</v>
      </c>
      <c r="C15" s="14" t="n">
        <v>0.5</v>
      </c>
      <c r="D15" s="14" t="n">
        <v>0.25</v>
      </c>
    </row>
    <row r="17">
      <c r="A17" s="4" t="inlineStr">
        <is>
          <t>Probability-weighted target price (INR)</t>
        </is>
      </c>
      <c r="B17" s="58">
        <f>SUMPRODUCT(B14:D14,B15:D15)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61" t="inlineStr">
        <is>
          <t>DCF value / share (INR)</t>
        </is>
      </c>
      <c r="B3" s="61" t="inlineStr">
        <is>
          <t>Current price (INR)</t>
        </is>
      </c>
      <c r="D3" s="61" t="inlineStr">
        <is>
          <t>Upside / (downside)</t>
        </is>
      </c>
      <c r="E3" s="61" t="inlineStr">
        <is>
          <t>Prob-weighted TP (INR)</t>
        </is>
      </c>
      <c r="G3" s="61" t="inlineStr">
        <is>
          <t>Avg relative TP (INR)</t>
        </is>
      </c>
      <c r="H3" s="61" t="inlineStr">
        <is>
          <t>WACC</t>
        </is>
      </c>
    </row>
    <row r="4">
      <c r="A4" s="62">
        <f>'DCF Valuation'!C27</f>
        <v/>
      </c>
      <c r="B4" s="62">
        <f>'DCF Valuation'!C28</f>
        <v/>
      </c>
      <c r="D4" s="63">
        <f>'DCF Valuation'!C29</f>
        <v/>
      </c>
      <c r="E4" s="62">
        <f>'Scenario Analysis'!B17</f>
        <v/>
      </c>
      <c r="G4" s="62">
        <f>'Relative Valuation'!C29</f>
        <v/>
      </c>
      <c r="H4" s="63">
        <f>'Assumptions'!C42</f>
        <v/>
      </c>
    </row>
    <row r="6">
      <c r="A6" s="61" t="inlineStr">
        <is>
          <t>FY27E revenue (INR Cr)</t>
        </is>
      </c>
      <c r="B6" s="61" t="inlineStr">
        <is>
          <t>FY33E revenue (INR Cr)</t>
        </is>
      </c>
      <c r="D6" s="61" t="inlineStr">
        <is>
          <t>FY27E EBITDA margin</t>
        </is>
      </c>
      <c r="E6" s="61" t="inlineStr">
        <is>
          <t>FY33E EBITDA margin</t>
        </is>
      </c>
      <c r="G6" s="61" t="inlineStr">
        <is>
          <t>FY26 order book (INR Cr)</t>
        </is>
      </c>
      <c r="H6" s="61" t="inlineStr">
        <is>
          <t>FY33E PAT (INR Cr)</t>
        </is>
      </c>
    </row>
    <row r="7">
      <c r="A7" s="64">
        <f>'Forecast Financial Statements'!I5</f>
        <v/>
      </c>
      <c r="B7" s="64">
        <f>'Forecast Financial Statements'!O5</f>
        <v/>
      </c>
      <c r="D7" s="63">
        <f>'Forecast Financial Statements'!I12/'Forecast Financial Statements'!I5</f>
        <v/>
      </c>
      <c r="E7" s="63">
        <f>'Forecast Financial Statements'!O12/'Forecast Financial Statements'!O5</f>
        <v/>
      </c>
      <c r="G7" s="64">
        <f>'Revenue Build-up'!H9</f>
        <v/>
      </c>
      <c r="H7" s="64">
        <f>'Forecast Financial Statements'!O20</f>
        <v/>
      </c>
    </row>
    <row r="9">
      <c r="A9" s="6" t="inlineStr">
        <is>
          <t>DCF bridge (INR Cr)</t>
        </is>
      </c>
    </row>
    <row r="10">
      <c r="A10" s="65" t="inlineStr">
        <is>
          <t>PV of explicit FCFF</t>
        </is>
      </c>
      <c r="B10" s="49">
        <f>'DCF Valuation'!C18</f>
        <v/>
      </c>
    </row>
    <row r="11">
      <c r="A11" s="65" t="inlineStr">
        <is>
          <t>PV of terminal value</t>
        </is>
      </c>
      <c r="B11" s="49">
        <f>'DCF Valuation'!C22</f>
        <v/>
      </c>
    </row>
    <row r="12">
      <c r="A12" s="65" t="inlineStr">
        <is>
          <t>Enterprise value</t>
        </is>
      </c>
      <c r="B12" s="49">
        <f>'DCF Valuation'!C23</f>
        <v/>
      </c>
    </row>
    <row r="13">
      <c r="A13" s="65" t="inlineStr">
        <is>
          <t>Less: net debt</t>
        </is>
      </c>
      <c r="B13" s="49">
        <f>'DCF Valuation'!C24</f>
        <v/>
      </c>
    </row>
    <row r="14">
      <c r="A14" s="65" t="inlineStr">
        <is>
          <t>Equity value</t>
        </is>
      </c>
      <c r="B14" s="49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7" t="inlineStr">
        <is>
          <t>Automated integrity checks. "OK" = pass (difference &lt; INR 0.5 Cr).</t>
        </is>
      </c>
    </row>
    <row r="4">
      <c r="A4" s="61" t="inlineStr">
        <is>
          <t>Check</t>
        </is>
      </c>
      <c r="B4" s="13" t="inlineStr"/>
      <c r="C4" s="13" t="inlineStr"/>
      <c r="D4" s="13" t="inlineStr"/>
      <c r="E4" s="13" t="inlineStr"/>
      <c r="F4" s="13" t="inlineStr"/>
      <c r="G4" s="13" t="inlineStr"/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5" t="inlineStr">
        <is>
          <t>Balance sheet balances (TA = TE&amp;L)</t>
        </is>
      </c>
      <c r="B5" s="66">
        <f>IF(ABS('Forecast Financial Statements'!B61-'Forecast Financial Statements'!B42)&lt;0.5,"OK","REVIEW")</f>
        <v/>
      </c>
      <c r="C5" s="66">
        <f>IF(ABS('Forecast Financial Statements'!C61-'Forecast Financial Statements'!C42)&lt;0.5,"OK","REVIEW")</f>
        <v/>
      </c>
      <c r="D5" s="66">
        <f>IF(ABS('Forecast Financial Statements'!D61-'Forecast Financial Statements'!D42)&lt;0.5,"OK","REVIEW")</f>
        <v/>
      </c>
      <c r="E5" s="66">
        <f>IF(ABS('Forecast Financial Statements'!E61-'Forecast Financial Statements'!E42)&lt;0.5,"OK","REVIEW")</f>
        <v/>
      </c>
      <c r="F5" s="66">
        <f>IF(ABS('Forecast Financial Statements'!F61-'Forecast Financial Statements'!F42)&lt;0.5,"OK","REVIEW")</f>
        <v/>
      </c>
      <c r="G5" s="66">
        <f>IF(ABS('Forecast Financial Statements'!G61-'Forecast Financial Statements'!G42)&lt;0.5,"OK","REVIEW")</f>
        <v/>
      </c>
      <c r="H5" s="66">
        <f>IF(ABS('Forecast Financial Statements'!H61-'Forecast Financial Statements'!H42)&lt;0.5,"OK","REVIEW")</f>
        <v/>
      </c>
      <c r="I5" s="66">
        <f>IF(ABS('Forecast Financial Statements'!I61-'Forecast Financial Statements'!I42)&lt;0.5,"OK","REVIEW")</f>
        <v/>
      </c>
      <c r="J5" s="66">
        <f>IF(ABS('Forecast Financial Statements'!J61-'Forecast Financial Statements'!J42)&lt;0.5,"OK","REVIEW")</f>
        <v/>
      </c>
      <c r="K5" s="66">
        <f>IF(ABS('Forecast Financial Statements'!K61-'Forecast Financial Statements'!K42)&lt;0.5,"OK","REVIEW")</f>
        <v/>
      </c>
      <c r="L5" s="66">
        <f>IF(ABS('Forecast Financial Statements'!L61-'Forecast Financial Statements'!L42)&lt;0.5,"OK","REVIEW")</f>
        <v/>
      </c>
      <c r="M5" s="66">
        <f>IF(ABS('Forecast Financial Statements'!M61-'Forecast Financial Statements'!M42)&lt;0.5,"OK","REVIEW")</f>
        <v/>
      </c>
      <c r="N5" s="66">
        <f>IF(ABS('Forecast Financial Statements'!N61-'Forecast Financial Statements'!N42)&lt;0.5,"OK","REVIEW")</f>
        <v/>
      </c>
      <c r="O5" s="66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66">
        <f>IF(ABS('Forecast Financial Statements'!I58-'Cash Flow Statement'!I25)&lt;0.5,"OK","REVIEW")</f>
        <v/>
      </c>
      <c r="J6" s="66">
        <f>IF(ABS('Forecast Financial Statements'!J58-'Cash Flow Statement'!J25)&lt;0.5,"OK","REVIEW")</f>
        <v/>
      </c>
      <c r="K6" s="66">
        <f>IF(ABS('Forecast Financial Statements'!K58-'Cash Flow Statement'!K25)&lt;0.5,"OK","REVIEW")</f>
        <v/>
      </c>
      <c r="L6" s="66">
        <f>IF(ABS('Forecast Financial Statements'!L58-'Cash Flow Statement'!L25)&lt;0.5,"OK","REVIEW")</f>
        <v/>
      </c>
      <c r="M6" s="66">
        <f>IF(ABS('Forecast Financial Statements'!M58-'Cash Flow Statement'!M25)&lt;0.5,"OK","REVIEW")</f>
        <v/>
      </c>
      <c r="N6" s="66">
        <f>IF(ABS('Forecast Financial Statements'!N58-'Cash Flow Statement'!N25)&lt;0.5,"OK","REVIEW")</f>
        <v/>
      </c>
      <c r="O6" s="66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66">
        <f>IF(ABS('Forecast Financial Statements'!I29-'Equity Schedule'!I10)&lt;0.5,"OK","REVIEW")</f>
        <v/>
      </c>
      <c r="J7" s="66">
        <f>IF(ABS('Forecast Financial Statements'!J29-'Equity Schedule'!J10)&lt;0.5,"OK","REVIEW")</f>
        <v/>
      </c>
      <c r="K7" s="66">
        <f>IF(ABS('Forecast Financial Statements'!K29-'Equity Schedule'!K10)&lt;0.5,"OK","REVIEW")</f>
        <v/>
      </c>
      <c r="L7" s="66">
        <f>IF(ABS('Forecast Financial Statements'!L29-'Equity Schedule'!L10)&lt;0.5,"OK","REVIEW")</f>
        <v/>
      </c>
      <c r="M7" s="66">
        <f>IF(ABS('Forecast Financial Statements'!M29-'Equity Schedule'!M10)&lt;0.5,"OK","REVIEW")</f>
        <v/>
      </c>
      <c r="N7" s="66">
        <f>IF(ABS('Forecast Financial Statements'!N29-'Equity Schedule'!N10)&lt;0.5,"OK","REVIEW")</f>
        <v/>
      </c>
      <c r="O7" s="66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66">
        <f>IF(ABS('Forecast Financial Statements'!I63-'Debt Schedule'!I9)&lt;0.5,"OK","REVIEW")</f>
        <v/>
      </c>
      <c r="J8" s="66">
        <f>IF(ABS('Forecast Financial Statements'!J63-'Debt Schedule'!J9)&lt;0.5,"OK","REVIEW")</f>
        <v/>
      </c>
      <c r="K8" s="66">
        <f>IF(ABS('Forecast Financial Statements'!K63-'Debt Schedule'!K9)&lt;0.5,"OK","REVIEW")</f>
        <v/>
      </c>
      <c r="L8" s="66">
        <f>IF(ABS('Forecast Financial Statements'!L63-'Debt Schedule'!L9)&lt;0.5,"OK","REVIEW")</f>
        <v/>
      </c>
      <c r="M8" s="66">
        <f>IF(ABS('Forecast Financial Statements'!M63-'Debt Schedule'!M9)&lt;0.5,"OK","REVIEW")</f>
        <v/>
      </c>
      <c r="N8" s="66">
        <f>IF(ABS('Forecast Financial Statements'!N63-'Debt Schedule'!N9)&lt;0.5,"OK","REVIEW")</f>
        <v/>
      </c>
      <c r="O8" s="66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66">
        <f>IF(ABS('Forecast Financial Statements'!I13-'Depreciation Schedule'!I8)&lt;0.5,"OK","REVIEW")</f>
        <v/>
      </c>
      <c r="J9" s="66">
        <f>IF(ABS('Forecast Financial Statements'!J13-'Depreciation Schedule'!J8)&lt;0.5,"OK","REVIEW")</f>
        <v/>
      </c>
      <c r="K9" s="66">
        <f>IF(ABS('Forecast Financial Statements'!K13-'Depreciation Schedule'!K8)&lt;0.5,"OK","REVIEW")</f>
        <v/>
      </c>
      <c r="L9" s="66">
        <f>IF(ABS('Forecast Financial Statements'!L13-'Depreciation Schedule'!L8)&lt;0.5,"OK","REVIEW")</f>
        <v/>
      </c>
      <c r="M9" s="66">
        <f>IF(ABS('Forecast Financial Statements'!M13-'Depreciation Schedule'!M8)&lt;0.5,"OK","REVIEW")</f>
        <v/>
      </c>
      <c r="N9" s="66">
        <f>IF(ABS('Forecast Financial Statements'!N13-'Depreciation Schedule'!N8)&lt;0.5,"OK","REVIEW")</f>
        <v/>
      </c>
      <c r="O9" s="66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66">
        <f>IF(ABS('Forecast Financial Statements'!I5-'Revenue Build-up'!I11)&lt;0.5,"OK","REVIEW")</f>
        <v/>
      </c>
      <c r="J10" s="66">
        <f>IF(ABS('Forecast Financial Statements'!J5-'Revenue Build-up'!J11)&lt;0.5,"OK","REVIEW")</f>
        <v/>
      </c>
      <c r="K10" s="66">
        <f>IF(ABS('Forecast Financial Statements'!K5-'Revenue Build-up'!K11)&lt;0.5,"OK","REVIEW")</f>
        <v/>
      </c>
      <c r="L10" s="66">
        <f>IF(ABS('Forecast Financial Statements'!L5-'Revenue Build-up'!L11)&lt;0.5,"OK","REVIEW")</f>
        <v/>
      </c>
      <c r="M10" s="66">
        <f>IF(ABS('Forecast Financial Statements'!M5-'Revenue Build-up'!M11)&lt;0.5,"OK","REVIEW")</f>
        <v/>
      </c>
      <c r="N10" s="66">
        <f>IF(ABS('Forecast Financial Statements'!N5-'Revenue Build-up'!N11)&lt;0.5,"OK","REVIEW")</f>
        <v/>
      </c>
      <c r="O10" s="66">
        <f>IF(ABS('Forecast Financial Statements'!O5-'Revenue Build-up'!O11)&lt;0.5,"OK","REVIEW")</f>
        <v/>
      </c>
    </row>
    <row r="11">
      <c r="A11" s="5" t="inlineStr">
        <is>
          <t>Net fixed assets tie to FA schedule</t>
        </is>
      </c>
      <c r="I11" s="66">
        <f>IF(ABS('Forecast Financial Statements'!I47-'Fixed Asset Schedule'!I10)&lt;0.5,"OK","REVIEW")</f>
        <v/>
      </c>
      <c r="J11" s="66">
        <f>IF(ABS('Forecast Financial Statements'!J47-'Fixed Asset Schedule'!J10)&lt;0.5,"OK","REVIEW")</f>
        <v/>
      </c>
      <c r="K11" s="66">
        <f>IF(ABS('Forecast Financial Statements'!K47-'Fixed Asset Schedule'!K10)&lt;0.5,"OK","REVIEW")</f>
        <v/>
      </c>
      <c r="L11" s="66">
        <f>IF(ABS('Forecast Financial Statements'!L47-'Fixed Asset Schedule'!L10)&lt;0.5,"OK","REVIEW")</f>
        <v/>
      </c>
      <c r="M11" s="66">
        <f>IF(ABS('Forecast Financial Statements'!M47-'Fixed Asset Schedule'!M10)&lt;0.5,"OK","REVIEW")</f>
        <v/>
      </c>
      <c r="N11" s="66">
        <f>IF(ABS('Forecast Financial Statements'!N47-'Fixed Asset Schedule'!N10)&lt;0.5,"OK","REVIEW")</f>
        <v/>
      </c>
      <c r="O11" s="66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67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67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68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2026-06-28T19:27:29Z</dcterms:created>
  <dcterms:modified xsi:type="dcterms:W3CDTF">2026-06-28T19:27:29Z</dcterms:modified>
</cp:coreProperties>
</file>